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18ba2946a741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d84ad5f88f64456"/>
    <x:sheet xmlns:r="http://schemas.openxmlformats.org/officeDocument/2006/relationships" name="Raw_Sales" sheetId="2" r:id="Rea6590130ba74727"/>
    <x:sheet xmlns:r="http://schemas.openxmlformats.org/officeDocument/2006/relationships" name="Raw_Product_Costs" sheetId="3" r:id="Rcc1ff25d6bd445bc"/>
    <x:sheet xmlns:r="http://schemas.openxmlformats.org/officeDocument/2006/relationships" name="Raw_Operating_Costs" sheetId="4" r:id="R4ea996f2788a4e5d"/>
    <x:sheet xmlns:r="http://schemas.openxmlformats.org/officeDocument/2006/relationships" name="Clean_Sales" sheetId="5" r:id="Re269c5d5e9264b87"/>
    <x:sheet xmlns:r="http://schemas.openxmlformats.org/officeDocument/2006/relationships" name="Clean_Product_Costs" sheetId="6" r:id="Raca4c2c4ae7947da"/>
    <x:sheet xmlns:r="http://schemas.openxmlformats.org/officeDocument/2006/relationships" name="Operating_Costs" sheetId="7" r:id="Rb9a7c384c3cd40c5"/>
    <x:sheet xmlns:r="http://schemas.openxmlformats.org/officeDocument/2006/relationships" name="SKU_Contribution" sheetId="8" r:id="Rc2ad4b8b97174463"/>
    <x:sheet xmlns:r="http://schemas.openxmlformats.org/officeDocument/2006/relationships" name="Product_Contribution" sheetId="9" r:id="Recd2f24fe9d848c8"/>
    <x:sheet xmlns:r="http://schemas.openxmlformats.org/officeDocument/2006/relationships" name="Channel_Contribution" sheetId="10" r:id="R0b002f97c6e24da7"/>
    <x:sheet xmlns:r="http://schemas.openxmlformats.org/officeDocument/2006/relationships" name="Checks" sheetId="11" r:id="R0f3e6913a96d40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&quot;NT$&quot;#,##0;[Red](&quot;NT$&quot;#,##0);-"/>
    <x:numFmt numFmtId="201" formatCode="0.0%;[Red](0.0%);-"/>
    <x:numFmt numFmtId="202" formatCode="#,##0;[Red](#,##0);-"/>
    <x:numFmt numFmtId="203" formatCode="#,##0.0;[Red](#,##0.0);-"/>
  </x:numFmts>
  <x:fonts count="10">
    <x:font>
      <x:sz val="11"/>
      <x:name val="Carlito"/>
    </x:font>
    <x:font>
      <x:sz val="20"/>
      <x:name val="Carlito"/>
    </x:font>
    <x:font>
      <x:b/>
      <x:sz val="20"/>
      <x:name val="Carlito"/>
    </x:font>
    <x:font>
      <x:b/>
      <x:sz val="20"/>
      <x:color rgb="FFFFFF"/>
      <x:name val="Carlito"/>
    </x:font>
    <x:font>
      <x:b/>
      <x:sz val="11"/>
      <x:name val="Carlito"/>
    </x:font>
    <x:font>
      <x:sz val="11"/>
      <x:color rgb="FFFFFF"/>
      <x:name val="Carlito"/>
    </x:font>
    <x:font>
      <x:b/>
      <x:sz val="11"/>
      <x:color rgb="FFFFFF"/>
      <x:name val="Carlito"/>
    </x:font>
    <x:font>
      <x:b/>
      <x:sz val="20"/>
      <x:color rgb="FFFFFF"/>
      <x:name val="Aptos"/>
    </x:font>
    <x:font>
      <x:sz val="11"/>
      <x:name val="Aptos"/>
    </x:font>
    <x:font>
      <x:b/>
      <x:sz val="11"/>
      <x:color rgb="FFFFFF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12312B"/>
      </x:patternFill>
    </x:fill>
    <x:fill>
      <x:patternFill patternType="solid">
        <x:fgColor rgb="E8EFE7"/>
      </x:patternFill>
    </x:fill>
    <x:fill>
      <x:patternFill patternType="solid">
        <x:fgColor rgb="F6F3EA"/>
      </x:patternFill>
    </x:fill>
    <x:fill>
      <x:patternFill patternType="solid">
        <x:fgColor rgb="7A2E1F"/>
      </x:patternFill>
    </x:fill>
    <x:fill>
      <x:patternFill patternType="solid">
        <x:fgColor rgb="3F4A3C"/>
      </x:patternFill>
    </x:fill>
    <x:fill>
      <x:patternFill patternType="solid">
        <x:fgColor rgb="203A49"/>
      </x:patternFill>
    </x:fill>
  </x:fills>
  <x:borders count="1">
    <x:border/>
  </x:borders>
  <x:cellStyleXfs count="1">
    <x:xf numFmtId="0" fontId="0" fillId="0" borderId="0"/>
  </x:cellStyleXfs>
  <x:cellXfs count="4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  <x:xf numFmtId="201" fontId="4" fillId="4" borderId="0" xfId="0" applyNumberFormat="1" applyFont="1" applyFill="1" applyBorder="1"/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20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200" fontId="4" fillId="3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7" fillId="2" borderId="0" xfId="0" applyNumberFormat="1" applyFont="1" applyFill="1" applyBorder="1"/>
    <x:xf numFmtId="0" fontId="8" fillId="0" borderId="0" xfId="0" applyNumberFormat="1" applyFont="1" applyFill="1" applyBorder="1"/>
    <x:xf numFmtId="0" fontId="9" fillId="6" borderId="0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 applyAlignment="1">
      <x:alignment vertical="top" wrapText="1"/>
    </x:xf>
    <x:xf numFmtId="0" fontId="9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22eb5ee8a146bf" /><Relationship Type="http://schemas.openxmlformats.org/officeDocument/2006/relationships/theme" Target="/xl/theme/theme1.xml" Id="R2bde79f10a614e9f" /><Relationship Type="http://schemas.openxmlformats.org/officeDocument/2006/relationships/sharedStrings" Target="/xl/sharedStrings.xml" Id="Rc3b31f7897704dc3" /><Relationship Type="http://schemas.openxmlformats.org/officeDocument/2006/relationships/worksheet" Target="/xl/worksheets/sheet1.xml" Id="R0d84ad5f88f64456" /><Relationship Type="http://schemas.openxmlformats.org/officeDocument/2006/relationships/worksheet" Target="/xl/worksheets/sheet2.xml" Id="Rea6590130ba74727" /><Relationship Type="http://schemas.openxmlformats.org/officeDocument/2006/relationships/worksheet" Target="/xl/worksheets/sheet3.xml" Id="Rcc1ff25d6bd445bc" /><Relationship Type="http://schemas.openxmlformats.org/officeDocument/2006/relationships/worksheet" Target="/xl/worksheets/sheet4.xml" Id="R4ea996f2788a4e5d" /><Relationship Type="http://schemas.openxmlformats.org/officeDocument/2006/relationships/worksheet" Target="/xl/worksheets/sheet5.xml" Id="Re269c5d5e9264b87" /><Relationship Type="http://schemas.openxmlformats.org/officeDocument/2006/relationships/worksheet" Target="/xl/worksheets/sheet6.xml" Id="Raca4c2c4ae7947da" /><Relationship Type="http://schemas.openxmlformats.org/officeDocument/2006/relationships/worksheet" Target="/xl/worksheets/sheet7.xml" Id="Rb9a7c384c3cd40c5" /><Relationship Type="http://schemas.openxmlformats.org/officeDocument/2006/relationships/worksheet" Target="/xl/worksheets/sheet8.xml" Id="Rc2ad4b8b97174463" /><Relationship Type="http://schemas.openxmlformats.org/officeDocument/2006/relationships/worksheet" Target="/xl/worksheets/sheet9.xml" Id="Recd2f24fe9d848c8" /><Relationship Type="http://schemas.openxmlformats.org/officeDocument/2006/relationships/worksheet" Target="/xl/worksheets/sheet10.xml" Id="R0b002f97c6e24da7" /><Relationship Type="http://schemas.openxmlformats.org/officeDocument/2006/relationships/worksheet" Target="/xl/worksheets/sheet11.xml" Id="R0f3e6913a96d40e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b28d7dbe3704409" /><Relationship Type="http://schemas.openxmlformats.org/officeDocument/2006/relationships/chart" Target="/xl/drawings/charts/chart2.xml" Id="Rcc7473e70063403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SKU/規格貢獻淨利排行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貢獻淨利</c:v>
          </c:tx>
          <c:cat>
            <c:strLit>
              <c:ptCount val="8"/>
              <c:pt idx="0">
                <c:v>黑糖蜜 蜜類瓶裝</c:v>
              </c:pt>
              <c:pt idx="1">
                <c:v>薑汁黑糖 未標示規格</c:v>
              </c:pt>
              <c:pt idx="2">
                <c:v>薑汁黑糖 未標示規格</c:v>
              </c:pt>
              <c:pt idx="3">
                <c:v>桂圓黑糖 未標示規格</c:v>
              </c:pt>
              <c:pt idx="4">
                <c:v>玫瑰四物黑糖 未標示規格</c:v>
              </c:pt>
              <c:pt idx="5">
                <c:v>玫瑰四物黑糖 未標示規格</c:v>
              </c:pt>
              <c:pt idx="6">
                <c:v>薑汁黑糖 未標示規格</c:v>
              </c:pt>
              <c:pt idx="7">
                <c:v>原味黑糖 手切夾鏈袋</c:v>
              </c:pt>
            </c:strLit>
          </c:cat>
          <c:val>
            <c:numLit>
              <c:formatCode/>
              <c:ptCount val="8"/>
              <c:pt idx="0">
                <c:v>41482</c:v>
              </c:pt>
              <c:pt idx="1">
                <c:v>37959</c:v>
              </c:pt>
              <c:pt idx="2">
                <c:v>35184</c:v>
              </c:pt>
              <c:pt idx="3">
                <c:v>14508</c:v>
              </c:pt>
              <c:pt idx="4">
                <c:v>11008</c:v>
              </c:pt>
              <c:pt idx="5">
                <c:v>10334</c:v>
              </c:pt>
              <c:pt idx="6">
                <c:v>9580</c:v>
              </c:pt>
              <c:pt idx="7">
                <c:v>9188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通路營業額排行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營業額</c:v>
          </c:tx>
          <c:cat>
            <c:strLit>
              <c:ptCount val="5"/>
              <c:pt idx="0">
                <c:v>未分類</c:v>
              </c:pt>
              <c:pt idx="1">
                <c:v>農會</c:v>
              </c:pt>
              <c:pt idx="2">
                <c:v>台糖</c:v>
              </c:pt>
              <c:pt idx="3">
                <c:v>埔里農會</c:v>
              </c:pt>
              <c:pt idx="4">
                <c:v>科技中藥廠</c:v>
              </c:pt>
            </c:strLit>
          </c:cat>
          <c:val>
            <c:numLit>
              <c:formatCode/>
              <c:ptCount val="5"/>
              <c:pt idx="0">
                <c:v>1155715</c:v>
              </c:pt>
              <c:pt idx="1">
                <c:v>39600</c:v>
              </c:pt>
              <c:pt idx="2">
                <c:v>35100</c:v>
              </c:pt>
              <c:pt idx="3">
                <c:v>28512</c:v>
              </c:pt>
              <c:pt idx="4">
                <c:v>264320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21</xdr:row>
      <xdr:rowOff>0</xdr:rowOff>
    </xdr:from>
    <xdr:ext cx="6858000" cy="3048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28d7dbe3704409"/>
        </a:graphicData>
      </a:graphic>
    </xdr:graphicFrame>
    <xdr:clientData/>
  </xdr:oneCellAnchor>
  <xdr:oneCellAnchor>
    <xdr:from>
      <xdr:col>8</xdr:col>
      <xdr:colOff>0</xdr:colOff>
      <xdr:row>21</xdr:row>
      <xdr:rowOff>0</xdr:rowOff>
    </xdr:from>
    <xdr:ext cx="5905500" cy="3048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7473e70063403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1b384dcb92c469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1999969482422" hidden="0" customWidth="1"/>
    <x:col min="2" max="2" width="18.84000015258789" hidden="0" customWidth="1"/>
    <x:col min="3" max="3" width="24.899999618530273" hidden="0" customWidth="1"/>
    <x:col min="4" max="4" width="10.770000457763672" hidden="0" customWidth="1"/>
    <x:col min="5" max="5" width="16.149999618530273" hidden="0" customWidth="1"/>
    <x:col min="6" max="6" width="16.149999618530273" hidden="0" customWidth="1"/>
    <x:col min="7" max="7" width="10.770000457763672" hidden="0" customWidth="1"/>
    <x:col min="8" max="8" width="18.84000015258789" hidden="0" customWidth="1"/>
    <x:col min="9" max="9" width="16.81999969482422" hidden="0" customWidth="1"/>
    <x:col min="10" max="10" width="24.899999618530273" hidden="0" customWidth="1"/>
    <x:col min="11" max="11" width="18.84000015258789" hidden="0" customWidth="1"/>
    <x:col min="12" max="12" width="10.770000457763672" hidden="0" customWidth="1"/>
    <x:col min="13" max="13" width="15.479999542236328" hidden="0" customWidth="1"/>
    <x:col min="14" max="14" width="10.770000457763672" hidden="0" customWidth="1"/>
  </x:cols>
  <x:sheetData>
    <x:row r="1">
      <x:c r="A1" s="41" t="str">
        <x:v>鐵比倫 2025 財務與銷售分析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2"/>
      <x:c r="P1" s="42"/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5" t="str">
        <x:v>資料來源：三份原始 CSV；產出時間：2026-05-04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>
      <x:c r="A4" s="7" t="str">
        <x:v>年度營業額</x:v>
      </x:c>
      <x:c r="B4" s="8" t="n">
        <x:v>1523247</x:v>
      </x:c>
      <x:c r="C4" s="7" t="str">
        <x:v>商品貢獻淨利</x:v>
      </x:c>
      <x:c r="D4" s="8" t="n">
        <x:v>233286.8215388</x:v>
      </x:c>
    </x:row>
    <x:row r="5">
      <x:c r="A5" s="7" t="str">
        <x:v>已確認年度營業成本</x:v>
      </x:c>
      <x:c r="B5" s="8" t="n">
        <x:v>1553948</x:v>
      </x:c>
      <x:c r="C5" s="7" t="str">
        <x:v>品牌營業損益(貢獻淨利-固定成本)</x:v>
      </x:c>
      <x:c r="D5" s="8" t="n">
        <x:v>-1320661.1784612</x:v>
      </x:c>
    </x:row>
    <x:row r="6">
      <x:c r="A6" s="7" t="str">
        <x:v>商品貢獻淨利率</x:v>
      </x:c>
      <x:c r="B6" s="9" t="n">
        <x:v>0.15315101328858682</x:v>
      </x:c>
      <x:c r="C6" s="9" t="str">
        <x:v>固定成本覆蓋率</x:v>
      </x:c>
      <x:c r="D6" s="9" t="n">
        <x:v>6.661104942619097</x:v>
      </x:c>
    </x:row>
    <x:row r="9">
      <x:c r="A9" s="12" t="str">
        <x:v>產品</x:v>
      </x:c>
      <x:c r="B9" s="12" t="str">
        <x:v>通路</x:v>
      </x:c>
      <x:c r="C9" s="12" t="str">
        <x:v>規格</x:v>
      </x:c>
      <x:c r="D9" s="12" t="str">
        <x:v>銷量</x:v>
      </x:c>
      <x:c r="E9" s="12" t="str">
        <x:v>營業額</x:v>
      </x:c>
      <x:c r="F9" s="12" t="str">
        <x:v>貢獻淨利</x:v>
      </x:c>
      <x:c r="G9" s="12" t="str">
        <x:v>淨利率</x:v>
      </x:c>
      <x:c r="H9" s="12" t="str">
        <x:v>診斷</x:v>
      </x:c>
      <x:c r="I9" s="17" t="str">
        <x:v>警示SKU</x:v>
      </x:c>
      <x:c r="J9" s="17" t="str">
        <x:v>規格</x:v>
      </x:c>
      <x:c r="K9" s="17" t="str">
        <x:v>類型</x:v>
      </x:c>
      <x:c r="L9" s="17" t="str">
        <x:v>銷量</x:v>
      </x:c>
      <x:c r="M9" s="17" t="str">
        <x:v>貢獻淨利</x:v>
      </x:c>
      <x:c r="N9" s="17" t="str">
        <x:v>淨利率</x:v>
      </x:c>
    </x:row>
    <x:row r="10">
      <x:c r="A10" t="str">
        <x:v>黑糖蜜</x:v>
      </x:c>
      <x:c r="B10" t="str">
        <x:v>未分類</x:v>
      </x:c>
      <x:c r="C10" t="str">
        <x:v>蜜類瓶裝</x:v>
      </x:c>
      <x:c r="D10" t="n">
        <x:v>2362</x:v>
      </x:c>
      <x:c r="E10" s="13" t="n">
        <x:v>307060</x:v>
      </x:c>
      <x:c r="F10" s="13" t="n">
        <x:v>41482</x:v>
      </x:c>
      <x:c r="G10" s="14" t="n">
        <x:v>0.1350941184133394</x:v>
      </x:c>
      <x:c r="H10" t="str">
        <x:v>Core profit driver</x:v>
      </x:c>
      <x:c r="I10" t="str">
        <x:v>黑糖薑母茶</x:v>
      </x:c>
      <x:c r="J10" t="str">
        <x:v>薑母茶</x:v>
      </x:c>
      <x:c r="K10" t="str">
        <x:v>Traffic, low profit</x:v>
      </x:c>
      <x:c r="L10" t="n">
        <x:v>2360</x:v>
      </x:c>
      <x:c r="M10" s="13" t="n">
        <x:v>5630.821538800007</x:v>
      </x:c>
      <x:c r="N10" s="14" t="n">
        <x:v>0.02130304758928574</x:v>
      </x:c>
    </x:row>
    <x:row r="11">
      <x:c r="A11" t="str">
        <x:v>薑汁黑糖</x:v>
      </x:c>
      <x:c r="B11" t="str">
        <x:v>未分類</x:v>
      </x:c>
      <x:c r="C11" t="str">
        <x:v>未標示規格</x:v>
      </x:c>
      <x:c r="D11" t="n">
        <x:v>1776</x:v>
      </x:c>
      <x:c r="E11" s="13" t="n">
        <x:v>195360</x:v>
      </x:c>
      <x:c r="F11" s="13" t="n">
        <x:v>37959</x:v>
      </x:c>
      <x:c r="G11" s="14" t="n">
        <x:v>0.19430282555282555</x:v>
      </x:c>
      <x:c r="H11" t="str">
        <x:v>Core profit driver</x:v>
      </x:c>
      <x:c r="I11" t="str">
        <x:v>黑糖檸檬</x:v>
      </x:c>
      <x:c r="J11" t="str">
        <x:v>蜜類瓶裝</x:v>
      </x:c>
      <x:c r="K11" t="str">
        <x:v>Loss risk</x:v>
      </x:c>
      <x:c r="L11" t="n">
        <x:v>63</x:v>
      </x:c>
      <x:c r="M11" s="13" t="n">
        <x:v>-48</x:v>
      </x:c>
      <x:c r="N11" s="14" t="n">
        <x:v>-0.006512006512006512</x:v>
      </x:c>
    </x:row>
    <x:row r="12">
      <x:c r="A12" t="str">
        <x:v>薑汁黑糖</x:v>
      </x:c>
      <x:c r="B12" t="str">
        <x:v>未分類</x:v>
      </x:c>
      <x:c r="C12" t="str">
        <x:v>未標示規格</x:v>
      </x:c>
      <x:c r="D12" t="n">
        <x:v>1980</x:v>
      </x:c>
      <x:c r="E12" s="13" t="n">
        <x:v>196020</x:v>
      </x:c>
      <x:c r="F12" s="13" t="n">
        <x:v>35184</x:v>
      </x:c>
      <x:c r="G12" s="14" t="n">
        <x:v>0.1794918885827977</x:v>
      </x:c>
      <x:c r="H12" t="str">
        <x:v>Core profit driver</x:v>
      </x:c>
      <x:c r="M12" s="13"/>
      <x:c r="N12" s="14"/>
    </x:row>
    <x:row r="13">
      <x:c r="A13" t="str">
        <x:v>桂圓黑糖</x:v>
      </x:c>
      <x:c r="B13" t="str">
        <x:v>未分類</x:v>
      </x:c>
      <x:c r="C13" t="str">
        <x:v>未標示規格</x:v>
      </x:c>
      <x:c r="D13" t="n">
        <x:v>828</x:v>
      </x:c>
      <x:c r="E13" s="13" t="n">
        <x:v>91080</x:v>
      </x:c>
      <x:c r="F13" s="13" t="n">
        <x:v>14508</x:v>
      </x:c>
      <x:c r="G13" s="14" t="n">
        <x:v>0.1592885375494071</x:v>
      </x:c>
      <x:c r="H13" t="str">
        <x:v>Stable contributor</x:v>
      </x:c>
      <x:c r="M13" s="13"/>
      <x:c r="N13" s="14"/>
    </x:row>
    <x:row r="14">
      <x:c r="A14" t="str">
        <x:v>玫瑰四物黑糖</x:v>
      </x:c>
      <x:c r="B14" t="str">
        <x:v>未分類</x:v>
      </x:c>
      <x:c r="C14" t="str">
        <x:v>未標示規格</x:v>
      </x:c>
      <x:c r="D14" t="n">
        <x:v>468</x:v>
      </x:c>
      <x:c r="E14" s="13" t="n">
        <x:v>51480</x:v>
      </x:c>
      <x:c r="F14" s="13" t="n">
        <x:v>11008</x:v>
      </x:c>
      <x:c r="G14" s="14" t="n">
        <x:v>0.21383061383061383</x:v>
      </x:c>
      <x:c r="H14" t="str">
        <x:v>High-margin niche</x:v>
      </x:c>
      <x:c r="M14" s="13"/>
      <x:c r="N14" s="14"/>
    </x:row>
    <x:row r="15">
      <x:c r="A15" t="str">
        <x:v>玫瑰四物黑糖</x:v>
      </x:c>
      <x:c r="B15" t="str">
        <x:v>未分類</x:v>
      </x:c>
      <x:c r="C15" t="str">
        <x:v>未標示規格</x:v>
      </x:c>
      <x:c r="D15" t="n">
        <x:v>360</x:v>
      </x:c>
      <x:c r="E15" s="13" t="n">
        <x:v>43920</x:v>
      </x:c>
      <x:c r="F15" s="13" t="n">
        <x:v>10334</x:v>
      </x:c>
      <x:c r="G15" s="14" t="n">
        <x:v>0.23529143897996357</x:v>
      </x:c>
      <x:c r="H15" t="str">
        <x:v>High-margin niche</x:v>
      </x:c>
      <x:c r="M15" s="13"/>
      <x:c r="N15" s="14"/>
    </x:row>
    <x:row r="16">
      <x:c r="A16" t="str">
        <x:v>薑汁黑糖</x:v>
      </x:c>
      <x:c r="B16" t="str">
        <x:v>未分類</x:v>
      </x:c>
      <x:c r="C16" t="str">
        <x:v>未標示規格</x:v>
      </x:c>
      <x:c r="D16" t="n">
        <x:v>375</x:v>
      </x:c>
      <x:c r="E16" s="13" t="n">
        <x:v>43875</x:v>
      </x:c>
      <x:c r="F16" s="13" t="n">
        <x:v>9580</x:v>
      </x:c>
      <x:c r="G16" s="14" t="n">
        <x:v>0.21834757834757834</x:v>
      </x:c>
      <x:c r="H16" t="str">
        <x:v>High-margin niche</x:v>
      </x:c>
      <x:c r="M16" s="13"/>
      <x:c r="N16" s="14"/>
    </x:row>
    <x:row r="17">
      <x:c r="A17" t="str">
        <x:v>原味黑糖</x:v>
      </x:c>
      <x:c r="B17" t="str">
        <x:v>農會</x:v>
      </x:c>
      <x:c r="C17" t="str">
        <x:v>手切夾鏈袋</x:v>
      </x:c>
      <x:c r="D17" t="n">
        <x:v>360</x:v>
      </x:c>
      <x:c r="E17" s="13" t="n">
        <x:v>39600</x:v>
      </x:c>
      <x:c r="F17" s="13" t="n">
        <x:v>9188</x:v>
      </x:c>
      <x:c r="G17" s="14" t="n">
        <x:v>0.23202020202020202</x:v>
      </x:c>
      <x:c r="H17" t="str">
        <x:v>High-margin niche</x:v>
      </x:c>
      <x:c r="M17" s="13"/>
      <x:c r="N17" s="14"/>
    </x:row>
    <x:row r="18">
      <x:c r="M18" s="13"/>
      <x:c r="N18" s="14"/>
    </x:row>
    <x:row r="19">
      <x:c r="M19" s="13"/>
      <x:c r="N19" s="14"/>
    </x:row>
    <x:row r="20">
      <x:c r="M20" s="13"/>
      <x:c r="N20" s="14"/>
    </x:row>
  </x:sheetData>
  <x:mergeCells>
    <x:mergeCell ref="A1:N1"/>
    <x:mergeCell ref="A2:N2"/>
  </x:mergeCells>
  <x:pageMargins left="0.7" right="0.7" top="0.75" bottom="0.75" header="0.3" footer="0.3"/>
  <x:drawing xmlns:r="http://schemas.openxmlformats.org/officeDocument/2006/relationships" r:id="R01b384dcb92c469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899999618530273" hidden="0" customWidth="1"/>
    <x:col min="2" max="2" width="24.899999618530273" hidden="0" customWidth="1"/>
    <x:col min="3" max="3" width="24.899999618530273" hidden="0" customWidth="1"/>
    <x:col min="4" max="4" width="14.130000114440918" hidden="0" customWidth="1"/>
    <x:col min="5" max="5" width="14.130000114440918" hidden="0" customWidth="1"/>
    <x:col min="6" max="6" width="14.130000114440918" hidden="0" customWidth="1"/>
    <x:col min="7" max="7" width="14.130000114440918" hidden="0" customWidth="1"/>
    <x:col min="8" max="8" width="14.130000114440918" hidden="0" customWidth="1"/>
    <x:col min="9" max="9" width="14.130000114440918" hidden="0" customWidth="1"/>
    <x:col min="10" max="10" width="14.130000114440918" hidden="0" customWidth="1"/>
    <x:col min="11" max="11" width="14.130000114440918" hidden="0" customWidth="1"/>
    <x:col min="12" max="12" width="14.130000114440918" hidden="0" customWidth="1"/>
    <x:col min="13" max="13" width="14.130000114440918" hidden="0" customWidth="1"/>
    <x:col min="14" max="14" width="14.130000114440918" hidden="0" customWidth="1"/>
    <x:col min="15" max="15" width="14.130000114440918" hidden="0" customWidth="1"/>
    <x:col min="16" max="16" width="14.130000114440918" hidden="0" customWidth="1"/>
    <x:col min="17" max="17" width="14.130000114440918" hidden="0" customWidth="1"/>
    <x:col min="18" max="18" width="14.130000114440918" hidden="0" customWidth="1"/>
    <x:col min="19" max="19" width="14.130000114440918" hidden="0" customWidth="1"/>
    <x:col min="20" max="20" width="14.130000114440918" hidden="0" customWidth="1"/>
    <x:col min="21" max="21" width="14.130000114440918" hidden="0" customWidth="1"/>
    <x:col min="22" max="22" width="14.130000114440918" hidden="0" customWidth="1"/>
    <x:col min="23" max="23" width="14.130000114440918" hidden="0" customWidth="1"/>
    <x:col min="24" max="24" width="14.130000114440918" hidden="0" customWidth="1"/>
    <x:col min="25" max="25" width="14.130000114440918" hidden="0" customWidth="1"/>
    <x:col min="26" max="26" width="14.130000114440918" hidden="0" customWidth="1"/>
    <x:col min="27" max="27" width="14.130000114440918" hidden="0" customWidth="1"/>
    <x:col min="28" max="28" width="14.130000114440918" hidden="0" customWidth="1"/>
    <x:col min="29" max="29" width="14.130000114440918" hidden="0" customWidth="1"/>
    <x:col min="30" max="30" width="14.130000114440918" hidden="0" customWidth="1"/>
    <x:col min="31" max="31" width="14.130000114440918" hidden="0" customWidth="1"/>
    <x:col min="32" max="32" width="14.130000114440918" hidden="0" customWidth="1"/>
    <x:col min="33" max="33" width="14.130000114440918" hidden="0" customWidth="1"/>
  </x:cols>
  <x:sheetData>
    <x:row r="1">
      <x:c r="A1" s="43" t="str">
        <x:v>source_file</x:v>
      </x:c>
      <x:c r="B1" s="43" t="str">
        <x:v>source_row</x:v>
      </x:c>
      <x:c r="C1" s="43" t="str">
        <x:v>raw_route</x:v>
      </x:c>
      <x:c r="D1" s="43" t="str">
        <x:v>raw_moq</x:v>
      </x:c>
      <x:c r="E1" s="43" t="str">
        <x:v>channel_type</x:v>
      </x:c>
      <x:c r="F1" s="43" t="str">
        <x:v>channel_name</x:v>
      </x:c>
      <x:c r="G1" s="43" t="str">
        <x:v>product_name_raw</x:v>
      </x:c>
      <x:c r="H1" s="43" t="str">
        <x:v>product_name_std</x:v>
      </x:c>
      <x:c r="I1" s="43" t="str">
        <x:v>package_type</x:v>
      </x:c>
      <x:c r="J1" s="43" t="str">
        <x:v>unit_quantity</x:v>
      </x:c>
      <x:c r="K1" s="43" t="str">
        <x:v>unit</x:v>
      </x:c>
      <x:c r="L1" s="43" t="str">
        <x:v>sales_unit</x:v>
      </x:c>
      <x:c r="M1" s="43" t="str">
        <x:v>quantity_2025</x:v>
      </x:c>
      <x:c r="N1" s="43" t="str">
        <x:v>wholesale_price</x:v>
      </x:c>
      <x:c r="O1" s="43" t="str">
        <x:v>product_cogs</x:v>
      </x:c>
      <x:c r="P1" s="43" t="str">
        <x:v>gross_profit_per_unit</x:v>
      </x:c>
      <x:c r="Q1" s="43" t="str">
        <x:v>gross_margin</x:v>
      </x:c>
      <x:c r="R1" s="43" t="str">
        <x:v>operating_expense_per_unit</x:v>
      </x:c>
      <x:c r="S1" s="43" t="str">
        <x:v>invoice_tax_per_unit</x:v>
      </x:c>
      <x:c r="T1" s="43" t="str">
        <x:v>expense_subtotal_per_unit</x:v>
      </x:c>
      <x:c r="U1" s="43" t="str">
        <x:v>reported_net_profit_per_unit</x:v>
      </x:c>
      <x:c r="V1" s="43" t="str">
        <x:v>calculated_net_profit_per_unit</x:v>
      </x:c>
      <x:c r="W1" s="43" t="str">
        <x:v>net_profit_per_unit</x:v>
      </x:c>
      <x:c r="X1" s="43" t="str">
        <x:v>reported_contribution_profit</x:v>
      </x:c>
      <x:c r="Y1" s="43" t="str">
        <x:v>calculated_contribution_profit</x:v>
      </x:c>
      <x:c r="Z1" s="43" t="str">
        <x:v>contribution_profit</x:v>
      </x:c>
      <x:c r="AA1" s="43" t="str">
        <x:v>reported_revenue</x:v>
      </x:c>
      <x:c r="AB1" s="23" t="str">
        <x:v>calculated_revenue</x:v>
      </x:c>
      <x:c r="AC1" s="23" t="str">
        <x:v>revenue</x:v>
      </x:c>
      <x:c r="AD1" s="23" t="str">
        <x:v>revenue_source</x:v>
      </x:c>
      <x:c r="AE1" s="23" t="str">
        <x:v>profit_source</x:v>
      </x:c>
      <x:c r="AF1" s="23" t="str">
        <x:v>analysis_sku</x:v>
      </x:c>
      <x:c r="AG1" s="23" t="str">
        <x:v>quality_flags</x:v>
      </x:c>
    </x:row>
    <x:row r="2">
      <x:c r="A2" s="24" t="str">
        <x:v>鐵比倫-產品成本結構試算.xlsx - 2025 營收銷量(原始檔案).csv</x:v>
      </x:c>
      <x:c r="B2" s="24" t="str">
        <x:v>5</x:v>
      </x:c>
      <x:c r="C2" s="24" t="str">
        <x:v>ODM/貼牌</x:v>
      </x:c>
      <x:c r="D2" s="24" t="str">
        <x:v>品牌方提供產品規格、設計圖、配方，代工廠依此生產。</x:v>
      </x:c>
      <x:c r="E2" s="24" t="str">
        <x:v>貼牌</x:v>
      </x:c>
      <x:c r="F2" s="24" t="str"/>
      <x:c r="G2" s="24" t="str"/>
      <x:c r="H2" s="24" t="str"/>
      <x:c r="I2" s="24" t="str"/>
      <x:c r="J2" s="24" t="str"/>
      <x:c r="K2" s="24" t="str"/>
      <x:c r="L2" s="24" t="str"/>
      <x:c r="M2" s="24" t="str"/>
      <x:c r="N2" s="24" t="str"/>
      <x:c r="O2" s="24" t="str"/>
      <x:c r="P2" s="24" t="str"/>
      <x:c r="Q2" s="24" t="str"/>
      <x:c r="R2" s="24" t="str"/>
      <x:c r="S2" s="24" t="str"/>
      <x:c r="T2" s="24" t="str"/>
      <x:c r="U2" s="24" t="str"/>
      <x:c r="V2" s="24" t="str"/>
      <x:c r="W2" s="24" t="str"/>
      <x:c r="X2" s="24" t="str">
        <x:v>227657.0</x:v>
      </x:c>
      <x:c r="Y2" s="24" t="str"/>
      <x:c r="Z2" s="24" t="str">
        <x:v>227657.0</x:v>
      </x:c>
      <x:c r="AA2" s="24" t="str">
        <x:v>1258927.0</x:v>
      </x:c>
      <x:c r="AB2" s="24" t="str"/>
      <x:c r="AC2" s="24" t="str">
        <x:v>1258927.0</x:v>
      </x:c>
      <x:c r="AD2" s="24" t="str">
        <x:v>reported</x:v>
      </x:c>
      <x:c r="AE2" s="24" t="str">
        <x:v>reported</x:v>
      </x:c>
      <x:c r="AF2" s="24" t="str">
        <x:v>_None_None_None</x:v>
      </x:c>
      <x:c r="AG2" s="24" t="str">
        <x:v>missing_price;missing_cost;missing_spec</x:v>
      </x:c>
    </x:row>
    <x:row r="3">
      <x:c r="A3" s="24" t="str">
        <x:v>鐵比倫-產品成本結構試算.xlsx - 2025 營收銷量(原始檔案).csv</x:v>
      </x:c>
      <x:c r="B3" s="24" t="str">
        <x:v>6</x:v>
      </x:c>
      <x:c r="C3" s="24" t="str">
        <x:v>批發-台糖
(單顆包裝夾鏈袋260g)</x:v>
      </x:c>
      <x:c r="D3" s="24" t="str">
        <x:v>長期合作，看他們貨量，有叫就送沒有固定</x:v>
      </x:c>
      <x:c r="E3" s="24" t="str">
        <x:v>批發</x:v>
      </x:c>
      <x:c r="F3" s="24" t="str">
        <x:v>台糖</x:v>
      </x:c>
      <x:c r="G3" s="24" t="str">
        <x:v>原味黑糖</x:v>
      </x:c>
      <x:c r="H3" s="24" t="str">
        <x:v>原味黑糖</x:v>
      </x:c>
      <x:c r="I3" s="24" t="str">
        <x:v>單顆包夾鏈袋</x:v>
      </x:c>
      <x:c r="J3" s="24" t="str">
        <x:v>260.0</x:v>
      </x:c>
      <x:c r="K3" s="24" t="str">
        <x:v>g</x:v>
      </x:c>
      <x:c r="L3" s="24" t="str"/>
      <x:c r="M3" s="24" t="str"/>
      <x:c r="N3" s="24" t="str">
        <x:v>130.0</x:v>
      </x:c>
      <x:c r="O3" s="24" t="str">
        <x:v>25.0</x:v>
      </x:c>
      <x:c r="P3" s="24" t="str">
        <x:v>105.0</x:v>
      </x:c>
      <x:c r="Q3" s="24" t="str">
        <x:v>80.77</x:v>
      </x:c>
      <x:c r="R3" s="24" t="str">
        <x:v>67.33774667</x:v>
      </x:c>
      <x:c r="S3" s="24" t="str">
        <x:v>6.5</x:v>
      </x:c>
      <x:c r="T3" s="24" t="str">
        <x:v>73.8</x:v>
      </x:c>
      <x:c r="U3" s="24" t="str">
        <x:v>31.0</x:v>
      </x:c>
      <x:c r="V3" s="24" t="str">
        <x:v>31.16225333</x:v>
      </x:c>
      <x:c r="W3" s="24" t="str">
        <x:v>31.16225333</x:v>
      </x:c>
      <x:c r="X3" s="24" t="str">
        <x:v>0.0</x:v>
      </x:c>
      <x:c r="Y3" s="24" t="str"/>
      <x:c r="Z3" s="24" t="str">
        <x:v>0.0</x:v>
      </x:c>
      <x:c r="AA3" s="24" t="str">
        <x:v>0.0</x:v>
      </x:c>
      <x:c r="AB3" s="24" t="str"/>
      <x:c r="AC3" s="24" t="str">
        <x:v>0.0</x:v>
      </x:c>
      <x:c r="AD3" s="24" t="str">
        <x:v>reported</x:v>
      </x:c>
      <x:c r="AE3" s="24" t="str">
        <x:v>reported</x:v>
      </x:c>
      <x:c r="AF3" s="24" t="str">
        <x:v>原味黑糖 _台糖_單顆包夾鏈袋_130.0</x:v>
      </x:c>
      <x:c r="AG3" s="24" t="str"/>
    </x:row>
    <x:row r="4">
      <x:c r="A4" s="24" t="str">
        <x:v>鐵比倫-產品成本結構試算.xlsx - 2025 營收銷量(原始檔案).csv</x:v>
      </x:c>
      <x:c r="B4" s="24" t="str">
        <x:v>7</x:v>
      </x:c>
      <x:c r="C4" s="24" t="str"/>
      <x:c r="D4" s="24" t="str"/>
      <x:c r="E4" s="24" t="str">
        <x:v>未分類</x:v>
      </x:c>
      <x:c r="F4" s="24" t="str"/>
      <x:c r="G4" s="24" t="str">
        <x:v>薑汁黑糖</x:v>
      </x:c>
      <x:c r="H4" s="24" t="str">
        <x:v>薑汁黑糖</x:v>
      </x:c>
      <x:c r="I4" s="24" t="str"/>
      <x:c r="J4" s="24" t="str"/>
      <x:c r="K4" s="24" t="str"/>
      <x:c r="L4" s="24" t="str"/>
      <x:c r="M4" s="24" t="str"/>
      <x:c r="N4" s="24" t="str">
        <x:v>140.0</x:v>
      </x:c>
      <x:c r="O4" s="24" t="str">
        <x:v>28.0</x:v>
      </x:c>
      <x:c r="P4" s="24" t="str">
        <x:v>112.0</x:v>
      </x:c>
      <x:c r="Q4" s="24" t="str">
        <x:v>80.0</x:v>
      </x:c>
      <x:c r="R4" s="24" t="str">
        <x:v>72.51757333</x:v>
      </x:c>
      <x:c r="S4" s="24" t="str">
        <x:v>7.0</x:v>
      </x:c>
      <x:c r="T4" s="24" t="str">
        <x:v>79.5</x:v>
      </x:c>
      <x:c r="U4" s="24" t="str">
        <x:v>32.0</x:v>
      </x:c>
      <x:c r="V4" s="24" t="str">
        <x:v>32.482426669999995</x:v>
      </x:c>
      <x:c r="W4" s="24" t="str">
        <x:v>32.482426669999995</x:v>
      </x:c>
      <x:c r="X4" s="24" t="str">
        <x:v>0.0</x:v>
      </x:c>
      <x:c r="Y4" s="24" t="str"/>
      <x:c r="Z4" s="24" t="str">
        <x:v>0.0</x:v>
      </x:c>
      <x:c r="AA4" s="24" t="str">
        <x:v>0.0</x:v>
      </x:c>
      <x:c r="AB4" s="24" t="str"/>
      <x:c r="AC4" s="24" t="str">
        <x:v>0.0</x:v>
      </x:c>
      <x:c r="AD4" s="24" t="str">
        <x:v>reported</x:v>
      </x:c>
      <x:c r="AE4" s="24" t="str">
        <x:v>reported</x:v>
      </x:c>
      <x:c r="AF4" s="24" t="str">
        <x:v>薑汁黑糖_None_None_140.0</x:v>
      </x:c>
      <x:c r="AG4" s="24" t="str">
        <x:v>missing_spec</x:v>
      </x:c>
    </x:row>
    <x:row r="5">
      <x:c r="A5" s="24" t="str">
        <x:v>鐵比倫-產品成本結構試算.xlsx - 2025 營收銷量(原始檔案).csv</x:v>
      </x:c>
      <x:c r="B5" s="24" t="str">
        <x:v>8</x:v>
      </x:c>
      <x:c r="C5" s="24" t="str"/>
      <x:c r="D5" s="24" t="str"/>
      <x:c r="E5" s="24" t="str">
        <x:v>未分類</x:v>
      </x:c>
      <x:c r="F5" s="24" t="str"/>
      <x:c r="G5" s="24" t="str">
        <x:v>桂圓黑糖</x:v>
      </x:c>
      <x:c r="H5" s="24" t="str">
        <x:v>桂圓黑糖</x:v>
      </x:c>
      <x:c r="I5" s="24" t="str"/>
      <x:c r="J5" s="24" t="str"/>
      <x:c r="K5" s="24" t="str"/>
      <x:c r="L5" s="24" t="str"/>
      <x:c r="M5" s="24" t="str"/>
      <x:c r="N5" s="24" t="str">
        <x:v>140.0</x:v>
      </x:c>
      <x:c r="O5" s="24" t="str">
        <x:v>31.0</x:v>
      </x:c>
      <x:c r="P5" s="24" t="str">
        <x:v>109.0</x:v>
      </x:c>
      <x:c r="Q5" s="24" t="str">
        <x:v>77.86</x:v>
      </x:c>
      <x:c r="R5" s="24" t="str">
        <x:v>72.51757333</x:v>
      </x:c>
      <x:c r="S5" s="24" t="str">
        <x:v>7.0</x:v>
      </x:c>
      <x:c r="T5" s="24" t="str">
        <x:v>79.5</x:v>
      </x:c>
      <x:c r="U5" s="24" t="str">
        <x:v>29.0</x:v>
      </x:c>
      <x:c r="V5" s="24" t="str">
        <x:v>29.482426669999995</x:v>
      </x:c>
      <x:c r="W5" s="24" t="str">
        <x:v>29.482426669999995</x:v>
      </x:c>
      <x:c r="X5" s="24" t="str">
        <x:v>0.0</x:v>
      </x:c>
      <x:c r="Y5" s="24" t="str"/>
      <x:c r="Z5" s="24" t="str">
        <x:v>0.0</x:v>
      </x:c>
      <x:c r="AA5" s="24" t="str">
        <x:v>0.0</x:v>
      </x:c>
      <x:c r="AB5" s="24" t="str"/>
      <x:c r="AC5" s="24" t="str">
        <x:v>0.0</x:v>
      </x:c>
      <x:c r="AD5" s="24" t="str">
        <x:v>reported</x:v>
      </x:c>
      <x:c r="AE5" s="24" t="str">
        <x:v>reported</x:v>
      </x:c>
      <x:c r="AF5" s="24" t="str">
        <x:v>桂圓黑糖_None_None_140.0</x:v>
      </x:c>
      <x:c r="AG5" s="24" t="str">
        <x:v>missing_spec</x:v>
      </x:c>
    </x:row>
    <x:row r="6">
      <x:c r="A6" s="24" t="str">
        <x:v>鐵比倫-產品成本結構試算.xlsx - 2025 營收銷量(原始檔案).csv</x:v>
      </x:c>
      <x:c r="B6" s="24" t="str">
        <x:v>9</x:v>
      </x:c>
      <x:c r="C6" s="24" t="str"/>
      <x:c r="D6" s="24" t="str"/>
      <x:c r="E6" s="24" t="str">
        <x:v>未分類</x:v>
      </x:c>
      <x:c r="F6" s="24" t="str"/>
      <x:c r="G6" s="24" t="str">
        <x:v>玫瑰四物黑糖</x:v>
      </x:c>
      <x:c r="H6" s="24" t="str">
        <x:v>玫瑰四物黑糖</x:v>
      </x:c>
      <x:c r="I6" s="24" t="str"/>
      <x:c r="J6" s="24" t="str"/>
      <x:c r="K6" s="24" t="str"/>
      <x:c r="L6" s="24" t="str"/>
      <x:c r="M6" s="24" t="str"/>
      <x:c r="N6" s="24" t="str">
        <x:v>140.0</x:v>
      </x:c>
      <x:c r="O6" s="24" t="str">
        <x:v>28.0</x:v>
      </x:c>
      <x:c r="P6" s="24" t="str">
        <x:v>112.0</x:v>
      </x:c>
      <x:c r="Q6" s="24" t="str">
        <x:v>80.0</x:v>
      </x:c>
      <x:c r="R6" s="24" t="str">
        <x:v>72.51757333</x:v>
      </x:c>
      <x:c r="S6" s="24" t="str">
        <x:v>7.0</x:v>
      </x:c>
      <x:c r="T6" s="24" t="str">
        <x:v>79.5</x:v>
      </x:c>
      <x:c r="U6" s="24" t="str">
        <x:v>32.0</x:v>
      </x:c>
      <x:c r="V6" s="24" t="str">
        <x:v>32.482426669999995</x:v>
      </x:c>
      <x:c r="W6" s="24" t="str">
        <x:v>32.482426669999995</x:v>
      </x:c>
      <x:c r="X6" s="24" t="str">
        <x:v>0.0</x:v>
      </x:c>
      <x:c r="Y6" s="24" t="str"/>
      <x:c r="Z6" s="24" t="str">
        <x:v>0.0</x:v>
      </x:c>
      <x:c r="AA6" s="24" t="str">
        <x:v>0.0</x:v>
      </x:c>
      <x:c r="AB6" s="24" t="str"/>
      <x:c r="AC6" s="24" t="str">
        <x:v>0.0</x:v>
      </x:c>
      <x:c r="AD6" s="24" t="str">
        <x:v>reported</x:v>
      </x:c>
      <x:c r="AE6" s="24" t="str">
        <x:v>reported</x:v>
      </x:c>
      <x:c r="AF6" s="24" t="str">
        <x:v>玫瑰四物黑糖_None_None_140.0</x:v>
      </x:c>
      <x:c r="AG6" s="24" t="str">
        <x:v>missing_spec</x:v>
      </x:c>
    </x:row>
    <x:row r="7">
      <x:c r="A7" s="24" t="str">
        <x:v>鐵比倫-產品成本結構試算.xlsx - 2025 營收銷量(原始檔案).csv</x:v>
      </x:c>
      <x:c r="B7" s="24" t="str">
        <x:v>10</x:v>
      </x:c>
      <x:c r="C7" s="24" t="str"/>
      <x:c r="D7" s="24" t="str"/>
      <x:c r="E7" s="24" t="str">
        <x:v>未分類</x:v>
      </x:c>
      <x:c r="F7" s="24" t="str"/>
      <x:c r="G7" s="24" t="str">
        <x:v>桂圓紅棗薑黑糖</x:v>
      </x:c>
      <x:c r="H7" s="24" t="str">
        <x:v>桂圓紅棗薑黑糖</x:v>
      </x:c>
      <x:c r="I7" s="24" t="str"/>
      <x:c r="J7" s="24" t="str"/>
      <x:c r="K7" s="24" t="str"/>
      <x:c r="L7" s="24" t="str"/>
      <x:c r="M7" s="24" t="str">
        <x:v>272.0</x:v>
      </x:c>
      <x:c r="N7" s="24" t="str">
        <x:v>140.0</x:v>
      </x:c>
      <x:c r="O7" s="24" t="str">
        <x:v>31.0</x:v>
      </x:c>
      <x:c r="P7" s="24" t="str">
        <x:v>109.0</x:v>
      </x:c>
      <x:c r="Q7" s="24" t="str">
        <x:v>77.86</x:v>
      </x:c>
      <x:c r="R7" s="24" t="str">
        <x:v>72.51757333</x:v>
      </x:c>
      <x:c r="S7" s="24" t="str">
        <x:v>7.0</x:v>
      </x:c>
      <x:c r="T7" s="24" t="str">
        <x:v>79.5</x:v>
      </x:c>
      <x:c r="U7" s="24" t="str">
        <x:v>29.0</x:v>
      </x:c>
      <x:c r="V7" s="24" t="str">
        <x:v>29.482426669999995</x:v>
      </x:c>
      <x:c r="W7" s="24" t="str">
        <x:v>29.482426669999995</x:v>
      </x:c>
      <x:c r="X7" s="24" t="str">
        <x:v>8019.0</x:v>
      </x:c>
      <x:c r="Y7" s="24" t="str">
        <x:v>8019.220054239999</x:v>
      </x:c>
      <x:c r="Z7" s="24" t="str">
        <x:v>8019.0</x:v>
      </x:c>
      <x:c r="AA7" s="24" t="str">
        <x:v>38080.0</x:v>
      </x:c>
      <x:c r="AB7" s="24" t="str">
        <x:v>38080.0</x:v>
      </x:c>
      <x:c r="AC7" s="24" t="str">
        <x:v>38080.0</x:v>
      </x:c>
      <x:c r="AD7" s="24" t="str">
        <x:v>reported</x:v>
      </x:c>
      <x:c r="AE7" s="24" t="str">
        <x:v>reported</x:v>
      </x:c>
      <x:c r="AF7" s="24" t="str">
        <x:v>桂圓紅棗薑黑糖_None_None_140.0</x:v>
      </x:c>
      <x:c r="AG7" s="24" t="str">
        <x:v>missing_spec</x:v>
      </x:c>
    </x:row>
    <x:row r="8">
      <x:c r="A8" s="24" t="str">
        <x:v>鐵比倫-產品成本結構試算.xlsx - 2025 營收銷量(原始檔案).csv</x:v>
      </x:c>
      <x:c r="B8" s="24" t="str">
        <x:v>11</x:v>
      </x:c>
      <x:c r="C8" s="24" t="str"/>
      <x:c r="D8" s="24" t="str"/>
      <x:c r="E8" s="24" t="str">
        <x:v>未分類</x:v>
      </x:c>
      <x:c r="F8" s="24" t="str"/>
      <x:c r="G8" s="24" t="str">
        <x:v>冬瓜</x:v>
      </x:c>
      <x:c r="H8" s="24" t="str">
        <x:v>冬瓜</x:v>
      </x:c>
      <x:c r="I8" s="24" t="str"/>
      <x:c r="J8" s="24" t="str"/>
      <x:c r="K8" s="24" t="str"/>
      <x:c r="L8" s="24" t="str"/>
      <x:c r="M8" s="24" t="str">
        <x:v>98.0</x:v>
      </x:c>
      <x:c r="N8" s="24" t="str">
        <x:v>140.0</x:v>
      </x:c>
      <x:c r="O8" s="24" t="str">
        <x:v>28.0</x:v>
      </x:c>
      <x:c r="P8" s="24" t="str">
        <x:v>112.0</x:v>
      </x:c>
      <x:c r="Q8" s="24" t="str">
        <x:v>80.0</x:v>
      </x:c>
      <x:c r="R8" s="24" t="str">
        <x:v>72.51757333</x:v>
      </x:c>
      <x:c r="S8" s="24" t="str">
        <x:v>7.0</x:v>
      </x:c>
      <x:c r="T8" s="24" t="str">
        <x:v>79.5</x:v>
      </x:c>
      <x:c r="U8" s="24" t="str">
        <x:v>32.0</x:v>
      </x:c>
      <x:c r="V8" s="24" t="str">
        <x:v>32.482426669999995</x:v>
      </x:c>
      <x:c r="W8" s="24" t="str">
        <x:v>32.482426669999995</x:v>
      </x:c>
      <x:c r="X8" s="24" t="str">
        <x:v>3183.0</x:v>
      </x:c>
      <x:c r="Y8" s="24" t="str">
        <x:v>3183.2778136599995</x:v>
      </x:c>
      <x:c r="Z8" s="24" t="str">
        <x:v>3183.0</x:v>
      </x:c>
      <x:c r="AA8" s="24" t="str">
        <x:v>13720.0</x:v>
      </x:c>
      <x:c r="AB8" s="24" t="str">
        <x:v>13720.0</x:v>
      </x:c>
      <x:c r="AC8" s="24" t="str">
        <x:v>13720.0</x:v>
      </x:c>
      <x:c r="AD8" s="24" t="str">
        <x:v>reported</x:v>
      </x:c>
      <x:c r="AE8" s="24" t="str">
        <x:v>reported</x:v>
      </x:c>
      <x:c r="AF8" s="24" t="str">
        <x:v>冬瓜_None_None_140.0</x:v>
      </x:c>
      <x:c r="AG8" s="24" t="str">
        <x:v>missing_spec</x:v>
      </x:c>
    </x:row>
    <x:row r="9">
      <x:c r="A9" s="24" t="str">
        <x:v>鐵比倫-產品成本結構試算.xlsx - 2025 營收銷量(原始檔案).csv</x:v>
      </x:c>
      <x:c r="B9" s="24" t="str">
        <x:v>12</x:v>
      </x:c>
      <x:c r="C9" s="24" t="str">
        <x:v>批發-台糖
(手切夾鏈袋380g)</x:v>
      </x:c>
      <x:c r="D9" s="24" t="str">
        <x:v>長期合作，看他們貨量，有叫就送沒有固定</x:v>
      </x:c>
      <x:c r="E9" s="24" t="str">
        <x:v>批發</x:v>
      </x:c>
      <x:c r="F9" s="24" t="str">
        <x:v>台糖</x:v>
      </x:c>
      <x:c r="G9" s="24" t="str">
        <x:v>原味黑糖</x:v>
      </x:c>
      <x:c r="H9" s="24" t="str">
        <x:v>原味黑糖</x:v>
      </x:c>
      <x:c r="I9" s="24" t="str">
        <x:v>手切夾鏈袋</x:v>
      </x:c>
      <x:c r="J9" s="24" t="str">
        <x:v>380.0</x:v>
      </x:c>
      <x:c r="K9" s="24" t="str">
        <x:v>g</x:v>
      </x:c>
      <x:c r="L9" s="24" t="str"/>
      <x:c r="M9" s="24" t="str">
        <x:v>300.0</x:v>
      </x:c>
      <x:c r="N9" s="24" t="str">
        <x:v>117.0</x:v>
      </x:c>
      <x:c r="O9" s="24" t="str">
        <x:v>22.0</x:v>
      </x:c>
      <x:c r="P9" s="24" t="str">
        <x:v>95.0</x:v>
      </x:c>
      <x:c r="Q9" s="24" t="str">
        <x:v>81.2</x:v>
      </x:c>
      <x:c r="R9" s="24" t="str">
        <x:v>60.603972</x:v>
      </x:c>
      <x:c r="S9" s="24" t="str">
        <x:v>5.85</x:v>
      </x:c>
      <x:c r="T9" s="24" t="str">
        <x:v>66.5</x:v>
      </x:c>
      <x:c r="U9" s="24" t="str">
        <x:v>29.0</x:v>
      </x:c>
      <x:c r="V9" s="24" t="str">
        <x:v>28.546028</x:v>
      </x:c>
      <x:c r="W9" s="24" t="str">
        <x:v>28.546028</x:v>
      </x:c>
      <x:c r="X9" s="24" t="str">
        <x:v>8564.0</x:v>
      </x:c>
      <x:c r="Y9" s="24" t="str">
        <x:v>8563.8084</x:v>
      </x:c>
      <x:c r="Z9" s="24" t="str">
        <x:v>8564.0</x:v>
      </x:c>
      <x:c r="AA9" s="24" t="str">
        <x:v>35100.0</x:v>
      </x:c>
      <x:c r="AB9" s="24" t="str">
        <x:v>35100.0</x:v>
      </x:c>
      <x:c r="AC9" s="24" t="str">
        <x:v>35100.0</x:v>
      </x:c>
      <x:c r="AD9" s="24" t="str">
        <x:v>reported</x:v>
      </x:c>
      <x:c r="AE9" s="24" t="str">
        <x:v>reported</x:v>
      </x:c>
      <x:c r="AF9" s="24" t="str">
        <x:v>原味黑糖 _台糖_手切夾鏈袋_117.0</x:v>
      </x:c>
      <x:c r="AG9" s="24" t="str"/>
    </x:row>
    <x:row r="10">
      <x:c r="A10" s="24" t="str">
        <x:v>鐵比倫-產品成本結構試算.xlsx - 2025 營收銷量(原始檔案).csv</x:v>
      </x:c>
      <x:c r="B10" s="24" t="str">
        <x:v>13</x:v>
      </x:c>
      <x:c r="C10" s="24" t="str"/>
      <x:c r="D10" s="24" t="str"/>
      <x:c r="E10" s="24" t="str">
        <x:v>未分類</x:v>
      </x:c>
      <x:c r="F10" s="24" t="str"/>
      <x:c r="G10" s="24" t="str">
        <x:v>薑汁黑糖</x:v>
      </x:c>
      <x:c r="H10" s="24" t="str">
        <x:v>薑汁黑糖</x:v>
      </x:c>
      <x:c r="I10" s="24" t="str"/>
      <x:c r="J10" s="24" t="str"/>
      <x:c r="K10" s="24" t="str"/>
      <x:c r="L10" s="24" t="str"/>
      <x:c r="M10" s="24" t="str">
        <x:v>375.0</x:v>
      </x:c>
      <x:c r="N10" s="24" t="str">
        <x:v>117.0</x:v>
      </x:c>
      <x:c r="O10" s="24" t="str">
        <x:v>25.0</x:v>
      </x:c>
      <x:c r="P10" s="24" t="str">
        <x:v>92.0</x:v>
      </x:c>
      <x:c r="Q10" s="24" t="str">
        <x:v>78.63</x:v>
      </x:c>
      <x:c r="R10" s="24" t="str">
        <x:v>60.603972</x:v>
      </x:c>
      <x:c r="S10" s="24" t="str">
        <x:v>5.85</x:v>
      </x:c>
      <x:c r="T10" s="24" t="str">
        <x:v>66.5</x:v>
      </x:c>
      <x:c r="U10" s="24" t="str">
        <x:v>26.0</x:v>
      </x:c>
      <x:c r="V10" s="24" t="str">
        <x:v>25.546028</x:v>
      </x:c>
      <x:c r="W10" s="24" t="str">
        <x:v>25.546028</x:v>
      </x:c>
      <x:c r="X10" s="24" t="str">
        <x:v>9580.0</x:v>
      </x:c>
      <x:c r="Y10" s="24" t="str">
        <x:v>9579.7605</x:v>
      </x:c>
      <x:c r="Z10" s="24" t="str">
        <x:v>9580.0</x:v>
      </x:c>
      <x:c r="AA10" s="24" t="str">
        <x:v>43875.0</x:v>
      </x:c>
      <x:c r="AB10" s="24" t="str">
        <x:v>43875.0</x:v>
      </x:c>
      <x:c r="AC10" s="24" t="str">
        <x:v>43875.0</x:v>
      </x:c>
      <x:c r="AD10" s="24" t="str">
        <x:v>reported</x:v>
      </x:c>
      <x:c r="AE10" s="24" t="str">
        <x:v>reported</x:v>
      </x:c>
      <x:c r="AF10" s="24" t="str">
        <x:v>薑汁黑糖_None_None_117.0</x:v>
      </x:c>
      <x:c r="AG10" s="24" t="str">
        <x:v>missing_spec</x:v>
      </x:c>
    </x:row>
    <x:row r="11">
      <x:c r="A11" s="24" t="str">
        <x:v>鐵比倫-產品成本結構試算.xlsx - 2025 營收銷量(原始檔案).csv</x:v>
      </x:c>
      <x:c r="B11" s="24" t="str">
        <x:v>14</x:v>
      </x:c>
      <x:c r="C11" s="24" t="str"/>
      <x:c r="D11" s="24" t="str"/>
      <x:c r="E11" s="24" t="str">
        <x:v>未分類</x:v>
      </x:c>
      <x:c r="F11" s="24" t="str"/>
      <x:c r="G11" s="24" t="str">
        <x:v>桂圓黑糖</x:v>
      </x:c>
      <x:c r="H11" s="24" t="str">
        <x:v>桂圓黑糖</x:v>
      </x:c>
      <x:c r="I11" s="24" t="str"/>
      <x:c r="J11" s="24" t="str"/>
      <x:c r="K11" s="24" t="str"/>
      <x:c r="L11" s="24" t="str"/>
      <x:c r="M11" s="24" t="str">
        <x:v>163.0</x:v>
      </x:c>
      <x:c r="N11" s="24" t="str">
        <x:v>130.0</x:v>
      </x:c>
      <x:c r="O11" s="24" t="str">
        <x:v>30.0</x:v>
      </x:c>
      <x:c r="P11" s="24" t="str">
        <x:v>100.0</x:v>
      </x:c>
      <x:c r="Q11" s="24" t="str">
        <x:v>76.92</x:v>
      </x:c>
      <x:c r="R11" s="24" t="str">
        <x:v>67.33774667</x:v>
      </x:c>
      <x:c r="S11" s="24" t="str">
        <x:v>6.5</x:v>
      </x:c>
      <x:c r="T11" s="24" t="str">
        <x:v>73.8</x:v>
      </x:c>
      <x:c r="U11" s="24" t="str">
        <x:v>26.0</x:v>
      </x:c>
      <x:c r="V11" s="24" t="str">
        <x:v>26.16225333</x:v>
      </x:c>
      <x:c r="W11" s="24" t="str">
        <x:v>26.16225333</x:v>
      </x:c>
      <x:c r="X11" s="24" t="str">
        <x:v>4264.0</x:v>
      </x:c>
      <x:c r="Y11" s="24" t="str">
        <x:v>4264.44729279</x:v>
      </x:c>
      <x:c r="Z11" s="24" t="str">
        <x:v>4264.0</x:v>
      </x:c>
      <x:c r="AA11" s="24" t="str">
        <x:v>21190.0</x:v>
      </x:c>
      <x:c r="AB11" s="24" t="str">
        <x:v>21190.0</x:v>
      </x:c>
      <x:c r="AC11" s="24" t="str">
        <x:v>21190.0</x:v>
      </x:c>
      <x:c r="AD11" s="24" t="str">
        <x:v>reported</x:v>
      </x:c>
      <x:c r="AE11" s="24" t="str">
        <x:v>reported</x:v>
      </x:c>
      <x:c r="AF11" s="24" t="str">
        <x:v>桂圓黑糖_None_None_130.0</x:v>
      </x:c>
      <x:c r="AG11" s="24" t="str">
        <x:v>missing_spec</x:v>
      </x:c>
    </x:row>
    <x:row r="12">
      <x:c r="A12" s="24" t="str">
        <x:v>鐵比倫-產品成本結構試算.xlsx - 2025 營收銷量(原始檔案).csv</x:v>
      </x:c>
      <x:c r="B12" s="24" t="str">
        <x:v>15</x:v>
      </x:c>
      <x:c r="C12" s="24" t="str"/>
      <x:c r="D12" s="24" t="str"/>
      <x:c r="E12" s="24" t="str">
        <x:v>未分類</x:v>
      </x:c>
      <x:c r="F12" s="24" t="str"/>
      <x:c r="G12" s="24" t="str">
        <x:v>玫瑰四物黑糖</x:v>
      </x:c>
      <x:c r="H12" s="24" t="str">
        <x:v>玫瑰四物黑糖</x:v>
      </x:c>
      <x:c r="I12" s="24" t="str"/>
      <x:c r="J12" s="24" t="str"/>
      <x:c r="K12" s="24" t="str"/>
      <x:c r="L12" s="24" t="str"/>
      <x:c r="M12" s="24" t="str">
        <x:v>246.0</x:v>
      </x:c>
      <x:c r="N12" s="24" t="str">
        <x:v>130.0</x:v>
      </x:c>
      <x:c r="O12" s="24" t="str">
        <x:v>24.0</x:v>
      </x:c>
      <x:c r="P12" s="24" t="str">
        <x:v>106.0</x:v>
      </x:c>
      <x:c r="Q12" s="24" t="str">
        <x:v>81.54</x:v>
      </x:c>
      <x:c r="R12" s="24" t="str">
        <x:v>67.33774667</x:v>
      </x:c>
      <x:c r="S12" s="24" t="str">
        <x:v>6.5</x:v>
      </x:c>
      <x:c r="T12" s="24" t="str">
        <x:v>73.8</x:v>
      </x:c>
      <x:c r="U12" s="24" t="str">
        <x:v>32.0</x:v>
      </x:c>
      <x:c r="V12" s="24" t="str">
        <x:v>32.16225333</x:v>
      </x:c>
      <x:c r="W12" s="24" t="str">
        <x:v>32.16225333</x:v>
      </x:c>
      <x:c r="X12" s="24" t="str">
        <x:v>7912.0</x:v>
      </x:c>
      <x:c r="Y12" s="24" t="str">
        <x:v>7911.914319179999</x:v>
      </x:c>
      <x:c r="Z12" s="24" t="str">
        <x:v>7912.0</x:v>
      </x:c>
      <x:c r="AA12" s="24" t="str">
        <x:v>31980.0</x:v>
      </x:c>
      <x:c r="AB12" s="24" t="str">
        <x:v>31980.0</x:v>
      </x:c>
      <x:c r="AC12" s="24" t="str">
        <x:v>31980.0</x:v>
      </x:c>
      <x:c r="AD12" s="24" t="str">
        <x:v>reported</x:v>
      </x:c>
      <x:c r="AE12" s="24" t="str">
        <x:v>reported</x:v>
      </x:c>
      <x:c r="AF12" s="24" t="str">
        <x:v>玫瑰四物黑糖_None_None_130.0</x:v>
      </x:c>
      <x:c r="AG12" s="24" t="str">
        <x:v>missing_spec</x:v>
      </x:c>
    </x:row>
    <x:row r="13">
      <x:c r="A13" s="24" t="str">
        <x:v>鐵比倫-產品成本結構試算.xlsx - 2025 營收銷量(原始檔案).csv</x:v>
      </x:c>
      <x:c r="B13" s="24" t="str">
        <x:v>16</x:v>
      </x:c>
      <x:c r="C13" s="24" t="str">
        <x:v>批發-農會
(手切夾鏈袋380g)</x:v>
      </x:c>
      <x:c r="D13" s="24" t="str">
        <x:v>36包(一箱)</x:v>
      </x:c>
      <x:c r="E13" s="24" t="str">
        <x:v>批發</x:v>
      </x:c>
      <x:c r="F13" s="24" t="str">
        <x:v>農會</x:v>
      </x:c>
      <x:c r="G13" s="24" t="str">
        <x:v>原味黑糖</x:v>
      </x:c>
      <x:c r="H13" s="24" t="str">
        <x:v>原味黑糖</x:v>
      </x:c>
      <x:c r="I13" s="24" t="str">
        <x:v>手切夾鏈袋</x:v>
      </x:c>
      <x:c r="J13" s="24" t="str">
        <x:v>380.0</x:v>
      </x:c>
      <x:c r="K13" s="24" t="str">
        <x:v>g</x:v>
      </x:c>
      <x:c r="L13" s="24" t="str"/>
      <x:c r="M13" s="24" t="str">
        <x:v>360.0</x:v>
      </x:c>
      <x:c r="N13" s="24" t="str">
        <x:v>110.0</x:v>
      </x:c>
      <x:c r="O13" s="24" t="str">
        <x:v>22.0</x:v>
      </x:c>
      <x:c r="P13" s="24" t="str">
        <x:v>88.0</x:v>
      </x:c>
      <x:c r="Q13" s="24" t="str">
        <x:v>80.0</x:v>
      </x:c>
      <x:c r="R13" s="24" t="str">
        <x:v>56.97809333</x:v>
      </x:c>
      <x:c r="S13" s="24" t="str">
        <x:v>5.5</x:v>
      </x:c>
      <x:c r="T13" s="24" t="str">
        <x:v>62.5</x:v>
      </x:c>
      <x:c r="U13" s="24" t="str">
        <x:v>26.0</x:v>
      </x:c>
      <x:c r="V13" s="24" t="str">
        <x:v>25.52190667</x:v>
      </x:c>
      <x:c r="W13" s="24" t="str">
        <x:v>25.52190667</x:v>
      </x:c>
      <x:c r="X13" s="24" t="str">
        <x:v>9188.0</x:v>
      </x:c>
      <x:c r="Y13" s="24" t="str">
        <x:v>9187.8864012</x:v>
      </x:c>
      <x:c r="Z13" s="24" t="str">
        <x:v>9188.0</x:v>
      </x:c>
      <x:c r="AA13" s="24" t="str">
        <x:v>39600.0</x:v>
      </x:c>
      <x:c r="AB13" s="24" t="str">
        <x:v>39600.0</x:v>
      </x:c>
      <x:c r="AC13" s="24" t="str">
        <x:v>39600.0</x:v>
      </x:c>
      <x:c r="AD13" s="24" t="str">
        <x:v>reported</x:v>
      </x:c>
      <x:c r="AE13" s="24" t="str">
        <x:v>reported</x:v>
      </x:c>
      <x:c r="AF13" s="24" t="str">
        <x:v>原味黑糖 _農會_手切夾鏈袋_110.0</x:v>
      </x:c>
      <x:c r="AG13" s="24" t="str"/>
    </x:row>
    <x:row r="14">
      <x:c r="A14" s="24" t="str">
        <x:v>鐵比倫-產品成本結構試算.xlsx - 2025 營收銷量(原始檔案).csv</x:v>
      </x:c>
      <x:c r="B14" s="24" t="str">
        <x:v>17</x:v>
      </x:c>
      <x:c r="C14" s="24" t="str"/>
      <x:c r="D14" s="24" t="str"/>
      <x:c r="E14" s="24" t="str">
        <x:v>未分類</x:v>
      </x:c>
      <x:c r="F14" s="24" t="str"/>
      <x:c r="G14" s="24" t="str">
        <x:v>薑汁黑糖</x:v>
      </x:c>
      <x:c r="H14" s="24" t="str">
        <x:v>薑汁黑糖</x:v>
      </x:c>
      <x:c r="I14" s="24" t="str"/>
      <x:c r="J14" s="24" t="str"/>
      <x:c r="K14" s="24" t="str"/>
      <x:c r="L14" s="24" t="str"/>
      <x:c r="M14" s="24" t="str">
        <x:v>756.0</x:v>
      </x:c>
      <x:c r="N14" s="24" t="str">
        <x:v>110.0</x:v>
      </x:c>
      <x:c r="O14" s="24" t="str">
        <x:v>25.0</x:v>
      </x:c>
      <x:c r="P14" s="24" t="str">
        <x:v>85.0</x:v>
      </x:c>
      <x:c r="Q14" s="24" t="str">
        <x:v>77.27</x:v>
      </x:c>
      <x:c r="R14" s="24" t="str">
        <x:v>56.97809333</x:v>
      </x:c>
      <x:c r="S14" s="24" t="str">
        <x:v>5.5</x:v>
      </x:c>
      <x:c r="T14" s="24" t="str">
        <x:v>62.5</x:v>
      </x:c>
      <x:c r="U14" s="24" t="str">
        <x:v>23.0</x:v>
      </x:c>
      <x:c r="V14" s="24" t="str">
        <x:v>22.52190667</x:v>
      </x:c>
      <x:c r="W14" s="24" t="str">
        <x:v>22.52190667</x:v>
      </x:c>
      <x:c r="X14" s="24" t="str">
        <x:v>17027.0</x:v>
      </x:c>
      <x:c r="Y14" s="24" t="str">
        <x:v>17026.56144252</x:v>
      </x:c>
      <x:c r="Z14" s="24" t="str">
        <x:v>17027.0</x:v>
      </x:c>
      <x:c r="AA14" s="24" t="str">
        <x:v>83160.0</x:v>
      </x:c>
      <x:c r="AB14" s="24" t="str">
        <x:v>83160.0</x:v>
      </x:c>
      <x:c r="AC14" s="24" t="str">
        <x:v>83160.0</x:v>
      </x:c>
      <x:c r="AD14" s="24" t="str">
        <x:v>reported</x:v>
      </x:c>
      <x:c r="AE14" s="24" t="str">
        <x:v>reported</x:v>
      </x:c>
      <x:c r="AF14" s="24" t="str">
        <x:v>薑汁黑糖_None_None_110.0</x:v>
      </x:c>
      <x:c r="AG14" s="24" t="str">
        <x:v>missing_spec</x:v>
      </x:c>
    </x:row>
    <x:row r="15">
      <x:c r="A15" s="24" t="str">
        <x:v>鐵比倫-產品成本結構試算.xlsx - 2025 營收銷量(原始檔案).csv</x:v>
      </x:c>
      <x:c r="B15" s="24" t="str">
        <x:v>18</x:v>
      </x:c>
      <x:c r="C15" s="24" t="str"/>
      <x:c r="D15" s="24" t="str"/>
      <x:c r="E15" s="24" t="str">
        <x:v>未分類</x:v>
      </x:c>
      <x:c r="F15" s="24" t="str"/>
      <x:c r="G15" s="24" t="str">
        <x:v>桂圓黑糖</x:v>
      </x:c>
      <x:c r="H15" s="24" t="str">
        <x:v>桂圓黑糖</x:v>
      </x:c>
      <x:c r="I15" s="24" t="str"/>
      <x:c r="J15" s="24" t="str"/>
      <x:c r="K15" s="24" t="str"/>
      <x:c r="L15" s="24" t="str"/>
      <x:c r="M15" s="24" t="str">
        <x:v>396.0</x:v>
      </x:c>
      <x:c r="N15" s="24" t="str">
        <x:v>122.0</x:v>
      </x:c>
      <x:c r="O15" s="24" t="str">
        <x:v>30.0</x:v>
      </x:c>
      <x:c r="P15" s="24" t="str">
        <x:v>92.0</x:v>
      </x:c>
      <x:c r="Q15" s="24" t="str">
        <x:v>75.41</x:v>
      </x:c>
      <x:c r="R15" s="24" t="str">
        <x:v>63.19388533</x:v>
      </x:c>
      <x:c r="S15" s="24" t="str">
        <x:v>6.1</x:v>
      </x:c>
      <x:c r="T15" s="24" t="str">
        <x:v>69.3</x:v>
      </x:c>
      <x:c r="U15" s="24" t="str">
        <x:v>23.0</x:v>
      </x:c>
      <x:c r="V15" s="24" t="str">
        <x:v>22.706114669999998</x:v>
      </x:c>
      <x:c r="W15" s="24" t="str">
        <x:v>22.706114669999998</x:v>
      </x:c>
      <x:c r="X15" s="24" t="str">
        <x:v>8992.0</x:v>
      </x:c>
      <x:c r="Y15" s="24" t="str">
        <x:v>8991.62140932</x:v>
      </x:c>
      <x:c r="Z15" s="24" t="str">
        <x:v>8992.0</x:v>
      </x:c>
      <x:c r="AA15" s="24" t="str">
        <x:v>48312.0</x:v>
      </x:c>
      <x:c r="AB15" s="24" t="str">
        <x:v>48312.0</x:v>
      </x:c>
      <x:c r="AC15" s="24" t="str">
        <x:v>48312.0</x:v>
      </x:c>
      <x:c r="AD15" s="24" t="str">
        <x:v>reported</x:v>
      </x:c>
      <x:c r="AE15" s="24" t="str">
        <x:v>reported</x:v>
      </x:c>
      <x:c r="AF15" s="24" t="str">
        <x:v>桂圓黑糖_None_None_122.0</x:v>
      </x:c>
      <x:c r="AG15" s="24" t="str">
        <x:v>missing_spec</x:v>
      </x:c>
    </x:row>
    <x:row r="16">
      <x:c r="A16" s="24" t="str">
        <x:v>鐵比倫-產品成本結構試算.xlsx - 2025 營收銷量(原始檔案).csv</x:v>
      </x:c>
      <x:c r="B16" s="24" t="str">
        <x:v>19</x:v>
      </x:c>
      <x:c r="C16" s="24" t="str"/>
      <x:c r="D16" s="24" t="str"/>
      <x:c r="E16" s="24" t="str">
        <x:v>未分類</x:v>
      </x:c>
      <x:c r="F16" s="24" t="str"/>
      <x:c r="G16" s="24" t="str">
        <x:v>玫瑰四物黑糖</x:v>
      </x:c>
      <x:c r="H16" s="24" t="str">
        <x:v>玫瑰四物黑糖</x:v>
      </x:c>
      <x:c r="I16" s="24" t="str"/>
      <x:c r="J16" s="24" t="str"/>
      <x:c r="K16" s="24" t="str"/>
      <x:c r="L16" s="24" t="str"/>
      <x:c r="M16" s="24" t="str">
        <x:v>360.0</x:v>
      </x:c>
      <x:c r="N16" s="24" t="str">
        <x:v>122.0</x:v>
      </x:c>
      <x:c r="O16" s="24" t="str">
        <x:v>24.0</x:v>
      </x:c>
      <x:c r="P16" s="24" t="str">
        <x:v>98.0</x:v>
      </x:c>
      <x:c r="Q16" s="24" t="str">
        <x:v>80.33</x:v>
      </x:c>
      <x:c r="R16" s="24" t="str">
        <x:v>63.19388533</x:v>
      </x:c>
      <x:c r="S16" s="24" t="str">
        <x:v>6.1</x:v>
      </x:c>
      <x:c r="T16" s="24" t="str">
        <x:v>69.3</x:v>
      </x:c>
      <x:c r="U16" s="24" t="str">
        <x:v>29.0</x:v>
      </x:c>
      <x:c r="V16" s="24" t="str">
        <x:v>28.706114669999998</x:v>
      </x:c>
      <x:c r="W16" s="24" t="str">
        <x:v>28.706114669999998</x:v>
      </x:c>
      <x:c r="X16" s="24" t="str">
        <x:v>10334.0</x:v>
      </x:c>
      <x:c r="Y16" s="24" t="str">
        <x:v>10334.2012812</x:v>
      </x:c>
      <x:c r="Z16" s="24" t="str">
        <x:v>10334.0</x:v>
      </x:c>
      <x:c r="AA16" s="24" t="str">
        <x:v>43920.0</x:v>
      </x:c>
      <x:c r="AB16" s="24" t="str">
        <x:v>43920.0</x:v>
      </x:c>
      <x:c r="AC16" s="24" t="str">
        <x:v>43920.0</x:v>
      </x:c>
      <x:c r="AD16" s="24" t="str">
        <x:v>reported</x:v>
      </x:c>
      <x:c r="AE16" s="24" t="str">
        <x:v>reported</x:v>
      </x:c>
      <x:c r="AF16" s="24" t="str">
        <x:v>玫瑰四物黑糖_None_None_122.0</x:v>
      </x:c>
      <x:c r="AG16" s="24" t="str">
        <x:v>missing_spec</x:v>
      </x:c>
    </x:row>
    <x:row r="17">
      <x:c r="A17" s="24" t="str">
        <x:v>鐵比倫-產品成本結構試算.xlsx - 2025 營收銷量(原始檔案).csv</x:v>
      </x:c>
      <x:c r="B17" s="24" t="str">
        <x:v>20</x:v>
      </x:c>
      <x:c r="C17" s="24" t="str">
        <x:v>貼牌客戶-埔里農會
(手切夾鏈袋380g)</x:v>
      </x:c>
      <x:c r="D17" s="24" t="str">
        <x:v>36包(一箱)</x:v>
      </x:c>
      <x:c r="E17" s="24" t="str">
        <x:v>貼牌</x:v>
      </x:c>
      <x:c r="F17" s="24" t="str">
        <x:v>埔里農會</x:v>
      </x:c>
      <x:c r="G17" s="24" t="str">
        <x:v>原味黑糖</x:v>
      </x:c>
      <x:c r="H17" s="24" t="str">
        <x:v>原味黑糖</x:v>
      </x:c>
      <x:c r="I17" s="24" t="str">
        <x:v>手切夾鏈袋</x:v>
      </x:c>
      <x:c r="J17" s="24" t="str">
        <x:v>380.0</x:v>
      </x:c>
      <x:c r="K17" s="24" t="str">
        <x:v>g</x:v>
      </x:c>
      <x:c r="L17" s="24" t="str"/>
      <x:c r="M17" s="24" t="str">
        <x:v>288.0</x:v>
      </x:c>
      <x:c r="N17" s="24" t="str">
        <x:v>99.0</x:v>
      </x:c>
      <x:c r="O17" s="24" t="str">
        <x:v>22.0</x:v>
      </x:c>
      <x:c r="P17" s="24" t="str">
        <x:v>77.0</x:v>
      </x:c>
      <x:c r="Q17" s="24" t="str">
        <x:v>77.78</x:v>
      </x:c>
      <x:c r="R17" s="24" t="str">
        <x:v>51.280284</x:v>
      </x:c>
      <x:c r="S17" s="24" t="str">
        <x:v>4.95</x:v>
      </x:c>
      <x:c r="T17" s="24" t="str">
        <x:v>56.2</x:v>
      </x:c>
      <x:c r="U17" s="24" t="str">
        <x:v>21.0</x:v>
      </x:c>
      <x:c r="V17" s="24" t="str">
        <x:v>20.769716</x:v>
      </x:c>
      <x:c r="W17" s="24" t="str">
        <x:v>20.769716</x:v>
      </x:c>
      <x:c r="X17" s="24" t="str">
        <x:v>5982.0</x:v>
      </x:c>
      <x:c r="Y17" s="24" t="str">
        <x:v>5981.678207999999</x:v>
      </x:c>
      <x:c r="Z17" s="24" t="str">
        <x:v>5982.0</x:v>
      </x:c>
      <x:c r="AA17" s="24" t="str">
        <x:v>28512.0</x:v>
      </x:c>
      <x:c r="AB17" s="24" t="str">
        <x:v>28512.0</x:v>
      </x:c>
      <x:c r="AC17" s="24" t="str">
        <x:v>28512.0</x:v>
      </x:c>
      <x:c r="AD17" s="24" t="str">
        <x:v>reported</x:v>
      </x:c>
      <x:c r="AE17" s="24" t="str">
        <x:v>reported</x:v>
      </x:c>
      <x:c r="AF17" s="24" t="str">
        <x:v>原味黑糖 _埔里農會_手切夾鏈袋_99.0</x:v>
      </x:c>
      <x:c r="AG17" s="24" t="str"/>
    </x:row>
    <x:row r="18">
      <x:c r="A18" s="24" t="str">
        <x:v>鐵比倫-產品成本結構試算.xlsx - 2025 營收銷量(原始檔案).csv</x:v>
      </x:c>
      <x:c r="B18" s="24" t="str">
        <x:v>21</x:v>
      </x:c>
      <x:c r="C18" s="24" t="str"/>
      <x:c r="D18" s="24" t="str"/>
      <x:c r="E18" s="24" t="str">
        <x:v>未分類</x:v>
      </x:c>
      <x:c r="F18" s="24" t="str"/>
      <x:c r="G18" s="24" t="str">
        <x:v>薑汁黑糖</x:v>
      </x:c>
      <x:c r="H18" s="24" t="str">
        <x:v>薑汁黑糖</x:v>
      </x:c>
      <x:c r="I18" s="24" t="str"/>
      <x:c r="J18" s="24" t="str"/>
      <x:c r="K18" s="24" t="str"/>
      <x:c r="L18" s="24" t="str"/>
      <x:c r="M18" s="24" t="str">
        <x:v>1980.0</x:v>
      </x:c>
      <x:c r="N18" s="24" t="str">
        <x:v>99.0</x:v>
      </x:c>
      <x:c r="O18" s="24" t="str">
        <x:v>25.0</x:v>
      </x:c>
      <x:c r="P18" s="24" t="str">
        <x:v>74.0</x:v>
      </x:c>
      <x:c r="Q18" s="24" t="str">
        <x:v>74.75</x:v>
      </x:c>
      <x:c r="R18" s="24" t="str">
        <x:v>51.280284</x:v>
      </x:c>
      <x:c r="S18" s="24" t="str">
        <x:v>4.95</x:v>
      </x:c>
      <x:c r="T18" s="24" t="str">
        <x:v>56.2</x:v>
      </x:c>
      <x:c r="U18" s="24" t="str">
        <x:v>18.0</x:v>
      </x:c>
      <x:c r="V18" s="24" t="str">
        <x:v>17.769716</x:v>
      </x:c>
      <x:c r="W18" s="24" t="str">
        <x:v>17.769716</x:v>
      </x:c>
      <x:c r="X18" s="24" t="str">
        <x:v>35184.0</x:v>
      </x:c>
      <x:c r="Y18" s="24" t="str">
        <x:v>35184.03768</x:v>
      </x:c>
      <x:c r="Z18" s="24" t="str">
        <x:v>35184.0</x:v>
      </x:c>
      <x:c r="AA18" s="24" t="str">
        <x:v>196020.0</x:v>
      </x:c>
      <x:c r="AB18" s="24" t="str">
        <x:v>196020.0</x:v>
      </x:c>
      <x:c r="AC18" s="24" t="str">
        <x:v>196020.0</x:v>
      </x:c>
      <x:c r="AD18" s="24" t="str">
        <x:v>reported</x:v>
      </x:c>
      <x:c r="AE18" s="24" t="str">
        <x:v>reported</x:v>
      </x:c>
      <x:c r="AF18" s="24" t="str">
        <x:v>薑汁黑糖_None_None_99.0</x:v>
      </x:c>
      <x:c r="AG18" s="24" t="str">
        <x:v>missing_spec</x:v>
      </x:c>
    </x:row>
    <x:row r="19">
      <x:c r="A19" s="24" t="str">
        <x:v>鐵比倫-產品成本結構試算.xlsx - 2025 營收銷量(原始檔案).csv</x:v>
      </x:c>
      <x:c r="B19" s="24" t="str">
        <x:v>22</x:v>
      </x:c>
      <x:c r="C19" s="24" t="str"/>
      <x:c r="D19" s="24" t="str"/>
      <x:c r="E19" s="24" t="str">
        <x:v>未分類</x:v>
      </x:c>
      <x:c r="F19" s="24" t="str"/>
      <x:c r="G19" s="24" t="str">
        <x:v>桂圓黑糖</x:v>
      </x:c>
      <x:c r="H19" s="24" t="str">
        <x:v>桂圓黑糖</x:v>
      </x:c>
      <x:c r="I19" s="24" t="str"/>
      <x:c r="J19" s="24" t="str"/>
      <x:c r="K19" s="24" t="str"/>
      <x:c r="L19" s="24" t="str"/>
      <x:c r="M19" s="24" t="str">
        <x:v>828.0</x:v>
      </x:c>
      <x:c r="N19" s="24" t="str">
        <x:v>110.0</x:v>
      </x:c>
      <x:c r="O19" s="24" t="str">
        <x:v>30.0</x:v>
      </x:c>
      <x:c r="P19" s="24" t="str">
        <x:v>80.0</x:v>
      </x:c>
      <x:c r="Q19" s="24" t="str">
        <x:v>72.73</x:v>
      </x:c>
      <x:c r="R19" s="24" t="str">
        <x:v>56.97809333</x:v>
      </x:c>
      <x:c r="S19" s="24" t="str">
        <x:v>5.5</x:v>
      </x:c>
      <x:c r="T19" s="24" t="str">
        <x:v>62.5</x:v>
      </x:c>
      <x:c r="U19" s="24" t="str">
        <x:v>18.0</x:v>
      </x:c>
      <x:c r="V19" s="24" t="str">
        <x:v>17.52190667</x:v>
      </x:c>
      <x:c r="W19" s="24" t="str">
        <x:v>17.52190667</x:v>
      </x:c>
      <x:c r="X19" s="24" t="str">
        <x:v>14508.0</x:v>
      </x:c>
      <x:c r="Y19" s="24" t="str">
        <x:v>14508.13872276</x:v>
      </x:c>
      <x:c r="Z19" s="24" t="str">
        <x:v>14508.0</x:v>
      </x:c>
      <x:c r="AA19" s="24" t="str">
        <x:v>91080.0</x:v>
      </x:c>
      <x:c r="AB19" s="24" t="str">
        <x:v>91080.0</x:v>
      </x:c>
      <x:c r="AC19" s="24" t="str">
        <x:v>91080.0</x:v>
      </x:c>
      <x:c r="AD19" s="24" t="str">
        <x:v>reported</x:v>
      </x:c>
      <x:c r="AE19" s="24" t="str">
        <x:v>reported</x:v>
      </x:c>
      <x:c r="AF19" s="24" t="str">
        <x:v>桂圓黑糖_None_None_110.0</x:v>
      </x:c>
      <x:c r="AG19" s="24" t="str">
        <x:v>missing_spec</x:v>
      </x:c>
    </x:row>
    <x:row r="20">
      <x:c r="A20" s="24" t="str">
        <x:v>鐵比倫-產品成本結構試算.xlsx - 2025 營收銷量(原始檔案).csv</x:v>
      </x:c>
      <x:c r="B20" s="24" t="str">
        <x:v>23</x:v>
      </x:c>
      <x:c r="C20" s="24" t="str"/>
      <x:c r="D20" s="24" t="str"/>
      <x:c r="E20" s="24" t="str">
        <x:v>未分類</x:v>
      </x:c>
      <x:c r="F20" s="24" t="str"/>
      <x:c r="G20" s="24" t="str">
        <x:v>玫瑰四物黑糖</x:v>
      </x:c>
      <x:c r="H20" s="24" t="str">
        <x:v>玫瑰四物黑糖</x:v>
      </x:c>
      <x:c r="I20" s="24" t="str"/>
      <x:c r="J20" s="24" t="str"/>
      <x:c r="K20" s="24" t="str"/>
      <x:c r="L20" s="24" t="str"/>
      <x:c r="M20" s="24" t="str">
        <x:v>468.0</x:v>
      </x:c>
      <x:c r="N20" s="24" t="str">
        <x:v>110.0</x:v>
      </x:c>
      <x:c r="O20" s="24" t="str">
        <x:v>24.0</x:v>
      </x:c>
      <x:c r="P20" s="24" t="str">
        <x:v>86.0</x:v>
      </x:c>
      <x:c r="Q20" s="24" t="str">
        <x:v>78.18</x:v>
      </x:c>
      <x:c r="R20" s="24" t="str">
        <x:v>56.97809333</x:v>
      </x:c>
      <x:c r="S20" s="24" t="str">
        <x:v>5.5</x:v>
      </x:c>
      <x:c r="T20" s="24" t="str">
        <x:v>62.5</x:v>
      </x:c>
      <x:c r="U20" s="24" t="str">
        <x:v>24.0</x:v>
      </x:c>
      <x:c r="V20" s="24" t="str">
        <x:v>23.52190667</x:v>
      </x:c>
      <x:c r="W20" s="24" t="str">
        <x:v>23.52190667</x:v>
      </x:c>
      <x:c r="X20" s="24" t="str">
        <x:v>11008.0</x:v>
      </x:c>
      <x:c r="Y20" s="24" t="str">
        <x:v>11008.25232156</x:v>
      </x:c>
      <x:c r="Z20" s="24" t="str">
        <x:v>11008.0</x:v>
      </x:c>
      <x:c r="AA20" s="24" t="str">
        <x:v>51480.0</x:v>
      </x:c>
      <x:c r="AB20" s="24" t="str">
        <x:v>51480.0</x:v>
      </x:c>
      <x:c r="AC20" s="24" t="str">
        <x:v>51480.0</x:v>
      </x:c>
      <x:c r="AD20" s="24" t="str">
        <x:v>reported</x:v>
      </x:c>
      <x:c r="AE20" s="24" t="str">
        <x:v>reported</x:v>
      </x:c>
      <x:c r="AF20" s="24" t="str">
        <x:v>玫瑰四物黑糖_None_None_110.0</x:v>
      </x:c>
      <x:c r="AG20" s="24" t="str">
        <x:v>missing_spec</x:v>
      </x:c>
    </x:row>
    <x:row r="21">
      <x:c r="A21" s="24" t="str">
        <x:v>鐵比倫-產品成本結構試算.xlsx - 2025 營收銷量(原始檔案).csv</x:v>
      </x:c>
      <x:c r="B21" s="24" t="str">
        <x:v>24</x:v>
      </x:c>
      <x:c r="C21" s="24" t="str">
        <x:v>批發-
(手切夾鏈袋380g)</x:v>
      </x:c>
      <x:c r="D21" s="24" t="str">
        <x:v>36包(一箱)</x:v>
      </x:c>
      <x:c r="E21" s="24" t="str">
        <x:v>批發</x:v>
      </x:c>
      <x:c r="F21" s="24" t="str"/>
      <x:c r="G21" s="24" t="str">
        <x:v>原味黑糖</x:v>
      </x:c>
      <x:c r="H21" s="24" t="str">
        <x:v>原味黑糖</x:v>
      </x:c>
      <x:c r="I21" s="24" t="str">
        <x:v>手切夾鏈袋</x:v>
      </x:c>
      <x:c r="J21" s="24" t="str">
        <x:v>380.0</x:v>
      </x:c>
      <x:c r="K21" s="24" t="str">
        <x:v>g</x:v>
      </x:c>
      <x:c r="L21" s="24" t="str"/>
      <x:c r="M21" s="24" t="str"/>
      <x:c r="N21" s="24" t="str">
        <x:v>135.0</x:v>
      </x:c>
      <x:c r="O21" s="24" t="str">
        <x:v>33.0</x:v>
      </x:c>
      <x:c r="P21" s="24" t="str">
        <x:v>102.0</x:v>
      </x:c>
      <x:c r="Q21" s="24" t="str">
        <x:v>75.33</x:v>
      </x:c>
      <x:c r="R21" s="24" t="str">
        <x:v>69.92766</x:v>
      </x:c>
      <x:c r="S21" s="24" t="str">
        <x:v>6.75</x:v>
      </x:c>
      <x:c r="T21" s="24" t="str">
        <x:v>76.7</x:v>
      </x:c>
      <x:c r="U21" s="24" t="str">
        <x:v>25.0</x:v>
      </x:c>
      <x:c r="V21" s="24" t="str">
        <x:v>25.322339999999997</x:v>
      </x:c>
      <x:c r="W21" s="24" t="str">
        <x:v>25.322339999999997</x:v>
      </x:c>
      <x:c r="X21" s="24" t="str">
        <x:v>0.0</x:v>
      </x:c>
      <x:c r="Y21" s="24" t="str"/>
      <x:c r="Z21" s="24" t="str">
        <x:v>0.0</x:v>
      </x:c>
      <x:c r="AA21" s="24" t="str">
        <x:v>0.0</x:v>
      </x:c>
      <x:c r="AB21" s="24" t="str"/>
      <x:c r="AC21" s="24" t="str">
        <x:v>0.0</x:v>
      </x:c>
      <x:c r="AD21" s="24" t="str">
        <x:v>reported</x:v>
      </x:c>
      <x:c r="AE21" s="24" t="str">
        <x:v>reported</x:v>
      </x:c>
      <x:c r="AF21" s="24" t="str">
        <x:v>原味黑糖 _None_手切夾鏈袋_135.0</x:v>
      </x:c>
      <x:c r="AG21" s="24" t="str"/>
    </x:row>
    <x:row r="22">
      <x:c r="A22" s="24" t="str">
        <x:v>鐵比倫-產品成本結構試算.xlsx - 2025 營收銷量(原始檔案).csv</x:v>
      </x:c>
      <x:c r="B22" s="24" t="str">
        <x:v>25</x:v>
      </x:c>
      <x:c r="C22" s="24" t="str"/>
      <x:c r="D22" s="24" t="str"/>
      <x:c r="E22" s="24" t="str">
        <x:v>未分類</x:v>
      </x:c>
      <x:c r="F22" s="24" t="str"/>
      <x:c r="G22" s="24" t="str">
        <x:v>薑汁黑糖</x:v>
      </x:c>
      <x:c r="H22" s="24" t="str">
        <x:v>薑汁黑糖</x:v>
      </x:c>
      <x:c r="I22" s="24" t="str"/>
      <x:c r="J22" s="24" t="str"/>
      <x:c r="K22" s="24" t="str"/>
      <x:c r="L22" s="24" t="str"/>
      <x:c r="M22" s="24" t="str"/>
      <x:c r="N22" s="24" t="str">
        <x:v>135.0</x:v>
      </x:c>
      <x:c r="O22" s="24" t="str">
        <x:v>36.0</x:v>
      </x:c>
      <x:c r="P22" s="24" t="str">
        <x:v>99.0</x:v>
      </x:c>
      <x:c r="Q22" s="24" t="str">
        <x:v>73.11</x:v>
      </x:c>
      <x:c r="R22" s="24" t="str">
        <x:v>69.92766</x:v>
      </x:c>
      <x:c r="S22" s="24" t="str">
        <x:v>6.75</x:v>
      </x:c>
      <x:c r="T22" s="24" t="str">
        <x:v>76.7</x:v>
      </x:c>
      <x:c r="U22" s="24" t="str">
        <x:v>22.0</x:v>
      </x:c>
      <x:c r="V22" s="24" t="str">
        <x:v>22.322339999999997</x:v>
      </x:c>
      <x:c r="W22" s="24" t="str">
        <x:v>22.322339999999997</x:v>
      </x:c>
      <x:c r="X22" s="24" t="str">
        <x:v>0.0</x:v>
      </x:c>
      <x:c r="Y22" s="24" t="str"/>
      <x:c r="Z22" s="24" t="str">
        <x:v>0.0</x:v>
      </x:c>
      <x:c r="AA22" s="24" t="str">
        <x:v>0.0</x:v>
      </x:c>
      <x:c r="AB22" s="24" t="str"/>
      <x:c r="AC22" s="24" t="str">
        <x:v>0.0</x:v>
      </x:c>
      <x:c r="AD22" s="24" t="str">
        <x:v>reported</x:v>
      </x:c>
      <x:c r="AE22" s="24" t="str">
        <x:v>reported</x:v>
      </x:c>
      <x:c r="AF22" s="24" t="str">
        <x:v>薑汁黑糖_None_None_135.0</x:v>
      </x:c>
      <x:c r="AG22" s="24" t="str">
        <x:v>missing_spec</x:v>
      </x:c>
    </x:row>
    <x:row r="23">
      <x:c r="A23" s="24" t="str">
        <x:v>鐵比倫-產品成本結構試算.xlsx - 2025 營收銷量(原始檔案).csv</x:v>
      </x:c>
      <x:c r="B23" s="24" t="str">
        <x:v>26</x:v>
      </x:c>
      <x:c r="C23" s="24" t="str"/>
      <x:c r="D23" s="24" t="str"/>
      <x:c r="E23" s="24" t="str">
        <x:v>未分類</x:v>
      </x:c>
      <x:c r="F23" s="24" t="str"/>
      <x:c r="G23" s="24" t="str">
        <x:v>桂圓黑糖</x:v>
      </x:c>
      <x:c r="H23" s="24" t="str">
        <x:v>桂圓黑糖</x:v>
      </x:c>
      <x:c r="I23" s="24" t="str"/>
      <x:c r="J23" s="24" t="str"/>
      <x:c r="K23" s="24" t="str"/>
      <x:c r="L23" s="24" t="str"/>
      <x:c r="M23" s="24" t="str"/>
      <x:c r="N23" s="24" t="str">
        <x:v>150.0</x:v>
      </x:c>
      <x:c r="O23" s="24" t="str">
        <x:v>42.0</x:v>
      </x:c>
      <x:c r="P23" s="24" t="str">
        <x:v>109.0</x:v>
      </x:c>
      <x:c r="Q23" s="24" t="str">
        <x:v>72.33</x:v>
      </x:c>
      <x:c r="R23" s="24" t="str">
        <x:v>77.6974</x:v>
      </x:c>
      <x:c r="S23" s="24" t="str">
        <x:v>7.5</x:v>
      </x:c>
      <x:c r="T23" s="24" t="str">
        <x:v>85.2</x:v>
      </x:c>
      <x:c r="U23" s="24" t="str">
        <x:v>23.0</x:v>
      </x:c>
      <x:c r="V23" s="24" t="str">
        <x:v>23.802599999999998</x:v>
      </x:c>
      <x:c r="W23" s="24" t="str">
        <x:v>23.802599999999998</x:v>
      </x:c>
      <x:c r="X23" s="24" t="str">
        <x:v>0.0</x:v>
      </x:c>
      <x:c r="Y23" s="24" t="str"/>
      <x:c r="Z23" s="24" t="str">
        <x:v>0.0</x:v>
      </x:c>
      <x:c r="AA23" s="24" t="str">
        <x:v>0.0</x:v>
      </x:c>
      <x:c r="AB23" s="24" t="str"/>
      <x:c r="AC23" s="24" t="str">
        <x:v>0.0</x:v>
      </x:c>
      <x:c r="AD23" s="24" t="str">
        <x:v>reported</x:v>
      </x:c>
      <x:c r="AE23" s="24" t="str">
        <x:v>reported</x:v>
      </x:c>
      <x:c r="AF23" s="24" t="str">
        <x:v>桂圓黑糖_None_None_150.0</x:v>
      </x:c>
      <x:c r="AG23" s="24" t="str">
        <x:v>missing_spec</x:v>
      </x:c>
    </x:row>
    <x:row r="24">
      <x:c r="A24" s="24" t="str">
        <x:v>鐵比倫-產品成本結構試算.xlsx - 2025 營收銷量(原始檔案).csv</x:v>
      </x:c>
      <x:c r="B24" s="24" t="str">
        <x:v>27</x:v>
      </x:c>
      <x:c r="C24" s="24" t="str"/>
      <x:c r="D24" s="24" t="str"/>
      <x:c r="E24" s="24" t="str">
        <x:v>未分類</x:v>
      </x:c>
      <x:c r="F24" s="24" t="str"/>
      <x:c r="G24" s="24" t="str">
        <x:v>玫瑰四物黑糖</x:v>
      </x:c>
      <x:c r="H24" s="24" t="str">
        <x:v>玫瑰四物黑糖</x:v>
      </x:c>
      <x:c r="I24" s="24" t="str"/>
      <x:c r="J24" s="24" t="str"/>
      <x:c r="K24" s="24" t="str"/>
      <x:c r="L24" s="24" t="str"/>
      <x:c r="M24" s="24" t="str"/>
      <x:c r="N24" s="24" t="str">
        <x:v>150.0</x:v>
      </x:c>
      <x:c r="O24" s="24" t="str">
        <x:v>35.0</x:v>
      </x:c>
      <x:c r="P24" s="24" t="str">
        <x:v>115.0</x:v>
      </x:c>
      <x:c r="Q24" s="24" t="str">
        <x:v>76.47</x:v>
      </x:c>
      <x:c r="R24" s="24" t="str">
        <x:v>77.6974</x:v>
      </x:c>
      <x:c r="S24" s="24" t="str">
        <x:v>7.5</x:v>
      </x:c>
      <x:c r="T24" s="24" t="str">
        <x:v>85.2</x:v>
      </x:c>
      <x:c r="U24" s="24" t="str">
        <x:v>30.0</x:v>
      </x:c>
      <x:c r="V24" s="24" t="str">
        <x:v>29.802599999999998</x:v>
      </x:c>
      <x:c r="W24" s="24" t="str">
        <x:v>29.802599999999998</x:v>
      </x:c>
      <x:c r="X24" s="24" t="str">
        <x:v>0.0</x:v>
      </x:c>
      <x:c r="Y24" s="24" t="str"/>
      <x:c r="Z24" s="24" t="str">
        <x:v>0.0</x:v>
      </x:c>
      <x:c r="AA24" s="24" t="str">
        <x:v>0.0</x:v>
      </x:c>
      <x:c r="AB24" s="24" t="str"/>
      <x:c r="AC24" s="24" t="str">
        <x:v>0.0</x:v>
      </x:c>
      <x:c r="AD24" s="24" t="str">
        <x:v>reported</x:v>
      </x:c>
      <x:c r="AE24" s="24" t="str">
        <x:v>reported</x:v>
      </x:c>
      <x:c r="AF24" s="24" t="str">
        <x:v>玫瑰四物黑糖_None_None_150.0</x:v>
      </x:c>
      <x:c r="AG24" s="24" t="str">
        <x:v>missing_spec</x:v>
      </x:c>
    </x:row>
    <x:row r="25">
      <x:c r="A25" s="24" t="str">
        <x:v>鐵比倫-產品成本結構試算.xlsx - 2025 營收銷量(原始檔案).csv</x:v>
      </x:c>
      <x:c r="B25" s="24" t="str">
        <x:v>28</x:v>
      </x:c>
      <x:c r="C25" s="24" t="str">
        <x:v>手切(每台斤)</x:v>
      </x:c>
      <x:c r="D25" s="24" t="str">
        <x:v>40台斤(一箱)</x:v>
      </x:c>
      <x:c r="E25" s="24" t="str">
        <x:v>未分類</x:v>
      </x:c>
      <x:c r="F25" s="24" t="str"/>
      <x:c r="G25" s="24" t="str">
        <x:v>原味黑糖</x:v>
      </x:c>
      <x:c r="H25" s="24" t="str">
        <x:v>原味黑糖</x:v>
      </x:c>
      <x:c r="I25" s="24" t="str">
        <x:v>手切</x:v>
      </x:c>
      <x:c r="J25" s="24" t="str">
        <x:v>600</x:v>
      </x:c>
      <x:c r="K25" s="24" t="str">
        <x:v>g</x:v>
      </x:c>
      <x:c r="L25" s="24" t="str">
        <x:v>台斤</x:v>
      </x:c>
      <x:c r="M25" s="24" t="str">
        <x:v>240.0</x:v>
      </x:c>
      <x:c r="N25" s="24" t="str">
        <x:v>100.0</x:v>
      </x:c>
      <x:c r="O25" s="24" t="str">
        <x:v>21.0</x:v>
      </x:c>
      <x:c r="P25" s="24" t="str">
        <x:v>79.0</x:v>
      </x:c>
      <x:c r="Q25" s="24" t="str">
        <x:v>79.0</x:v>
      </x:c>
      <x:c r="R25" s="24" t="str">
        <x:v>51.79826667</x:v>
      </x:c>
      <x:c r="S25" s="24" t="str">
        <x:v>5.0</x:v>
      </x:c>
      <x:c r="T25" s="24" t="str">
        <x:v>56.8</x:v>
      </x:c>
      <x:c r="U25" s="24" t="str">
        <x:v>22.0</x:v>
      </x:c>
      <x:c r="V25" s="24" t="str">
        <x:v>22.201733330000003</x:v>
      </x:c>
      <x:c r="W25" s="24" t="str">
        <x:v>22.201733330000003</x:v>
      </x:c>
      <x:c r="X25" s="24" t="str">
        <x:v>5328.0</x:v>
      </x:c>
      <x:c r="Y25" s="24" t="str">
        <x:v>5328.4159992</x:v>
      </x:c>
      <x:c r="Z25" s="24" t="str">
        <x:v>5328.0</x:v>
      </x:c>
      <x:c r="AA25" s="24" t="str">
        <x:v>24000.0</x:v>
      </x:c>
      <x:c r="AB25" s="24" t="str">
        <x:v>24000.0</x:v>
      </x:c>
      <x:c r="AC25" s="24" t="str">
        <x:v>24000.0</x:v>
      </x:c>
      <x:c r="AD25" s="24" t="str">
        <x:v>reported</x:v>
      </x:c>
      <x:c r="AE25" s="24" t="str">
        <x:v>reported</x:v>
      </x:c>
      <x:c r="AF25" s="24" t="str">
        <x:v>原味黑糖 _None_手切_100.0</x:v>
      </x:c>
      <x:c r="AG25" s="24" t="str"/>
    </x:row>
    <x:row r="26">
      <x:c r="A26" s="24" t="str">
        <x:v>鐵比倫-產品成本結構試算.xlsx - 2025 營收銷量(原始檔案).csv</x:v>
      </x:c>
      <x:c r="B26" s="24" t="str">
        <x:v>29</x:v>
      </x:c>
      <x:c r="C26" s="24" t="str"/>
      <x:c r="D26" s="24" t="str"/>
      <x:c r="E26" s="24" t="str">
        <x:v>未分類</x:v>
      </x:c>
      <x:c r="F26" s="24" t="str"/>
      <x:c r="G26" s="24" t="str">
        <x:v>薑汁黑糖</x:v>
      </x:c>
      <x:c r="H26" s="24" t="str">
        <x:v>薑汁黑糖</x:v>
      </x:c>
      <x:c r="I26" s="24" t="str"/>
      <x:c r="J26" s="24" t="str"/>
      <x:c r="K26" s="24" t="str"/>
      <x:c r="L26" s="24" t="str"/>
      <x:c r="M26" s="24" t="str">
        <x:v>1020.0</x:v>
      </x:c>
      <x:c r="N26" s="24" t="str">
        <x:v>110.0</x:v>
      </x:c>
      <x:c r="O26" s="24" t="str">
        <x:v>27.0</x:v>
      </x:c>
      <x:c r="P26" s="24" t="str">
        <x:v>83.0</x:v>
      </x:c>
      <x:c r="Q26" s="24" t="str">
        <x:v>75.45</x:v>
      </x:c>
      <x:c r="R26" s="24" t="str">
        <x:v>56.97809333</x:v>
      </x:c>
      <x:c r="S26" s="24" t="str">
        <x:v>5.5</x:v>
      </x:c>
      <x:c r="T26" s="24" t="str">
        <x:v>62.5</x:v>
      </x:c>
      <x:c r="U26" s="24" t="str">
        <x:v>21.0</x:v>
      </x:c>
      <x:c r="V26" s="24" t="str">
        <x:v>20.52190667</x:v>
      </x:c>
      <x:c r="W26" s="24" t="str">
        <x:v>20.52190667</x:v>
      </x:c>
      <x:c r="X26" s="24" t="str">
        <x:v>20932.0</x:v>
      </x:c>
      <x:c r="Y26" s="24" t="str">
        <x:v>20932.3448034</x:v>
      </x:c>
      <x:c r="Z26" s="24" t="str">
        <x:v>20932.0</x:v>
      </x:c>
      <x:c r="AA26" s="24" t="str">
        <x:v>112200.0</x:v>
      </x:c>
      <x:c r="AB26" s="24" t="str">
        <x:v>112200.0</x:v>
      </x:c>
      <x:c r="AC26" s="24" t="str">
        <x:v>112200.0</x:v>
      </x:c>
      <x:c r="AD26" s="24" t="str">
        <x:v>reported</x:v>
      </x:c>
      <x:c r="AE26" s="24" t="str">
        <x:v>reported</x:v>
      </x:c>
      <x:c r="AF26" s="24" t="str">
        <x:v>薑汁黑糖_None_None_110.0</x:v>
      </x:c>
      <x:c r="AG26" s="24" t="str">
        <x:v>missing_spec</x:v>
      </x:c>
    </x:row>
    <x:row r="27">
      <x:c r="A27" s="24" t="str">
        <x:v>鐵比倫-產品成本結構試算.xlsx - 2025 營收銷量(原始檔案).csv</x:v>
      </x:c>
      <x:c r="B27" s="24" t="str">
        <x:v>30</x:v>
      </x:c>
      <x:c r="C27" s="24" t="str"/>
      <x:c r="D27" s="24" t="str"/>
      <x:c r="E27" s="24" t="str">
        <x:v>未分類</x:v>
      </x:c>
      <x:c r="F27" s="24" t="str"/>
      <x:c r="G27" s="24" t="str">
        <x:v>桂圓黑糖</x:v>
      </x:c>
      <x:c r="H27" s="24" t="str">
        <x:v>桂圓黑糖</x:v>
      </x:c>
      <x:c r="I27" s="24" t="str"/>
      <x:c r="J27" s="24" t="str"/>
      <x:c r="K27" s="24" t="str"/>
      <x:c r="L27" s="24" t="str"/>
      <x:c r="M27" s="24" t="str">
        <x:v>120.0</x:v>
      </x:c>
      <x:c r="N27" s="24" t="str">
        <x:v>140.0</x:v>
      </x:c>
      <x:c r="O27" s="24" t="str">
        <x:v>33.0</x:v>
      </x:c>
      <x:c r="P27" s="24" t="str">
        <x:v>107.0</x:v>
      </x:c>
      <x:c r="Q27" s="24" t="str">
        <x:v>76.43</x:v>
      </x:c>
      <x:c r="R27" s="24" t="str">
        <x:v>72.51757333</x:v>
      </x:c>
      <x:c r="S27" s="24" t="str">
        <x:v>7.0</x:v>
      </x:c>
      <x:c r="T27" s="24" t="str">
        <x:v>79.5</x:v>
      </x:c>
      <x:c r="U27" s="24" t="str">
        <x:v>27.0</x:v>
      </x:c>
      <x:c r="V27" s="24" t="str">
        <x:v>27.482426669999995</x:v>
      </x:c>
      <x:c r="W27" s="24" t="str">
        <x:v>27.482426669999995</x:v>
      </x:c>
      <x:c r="X27" s="24" t="str">
        <x:v>3298.0</x:v>
      </x:c>
      <x:c r="Y27" s="24" t="str">
        <x:v>3297.8912003999994</x:v>
      </x:c>
      <x:c r="Z27" s="24" t="str">
        <x:v>3298.0</x:v>
      </x:c>
      <x:c r="AA27" s="24" t="str">
        <x:v>16800.0</x:v>
      </x:c>
      <x:c r="AB27" s="24" t="str">
        <x:v>16800.0</x:v>
      </x:c>
      <x:c r="AC27" s="24" t="str">
        <x:v>16800.0</x:v>
      </x:c>
      <x:c r="AD27" s="24" t="str">
        <x:v>reported</x:v>
      </x:c>
      <x:c r="AE27" s="24" t="str">
        <x:v>reported</x:v>
      </x:c>
      <x:c r="AF27" s="24" t="str">
        <x:v>桂圓黑糖_None_None_140.0</x:v>
      </x:c>
      <x:c r="AG27" s="24" t="str">
        <x:v>missing_spec</x:v>
      </x:c>
    </x:row>
    <x:row r="28">
      <x:c r="A28" s="24" t="str">
        <x:v>鐵比倫-產品成本結構試算.xlsx - 2025 營收銷量(原始檔案).csv</x:v>
      </x:c>
      <x:c r="B28" s="24" t="str">
        <x:v>31</x:v>
      </x:c>
      <x:c r="C28" s="24" t="str"/>
      <x:c r="D28" s="24" t="str"/>
      <x:c r="E28" s="24" t="str">
        <x:v>未分類</x:v>
      </x:c>
      <x:c r="F28" s="24" t="str"/>
      <x:c r="G28" s="24" t="str">
        <x:v>玫瑰四物黑糖</x:v>
      </x:c>
      <x:c r="H28" s="24" t="str">
        <x:v>玫瑰四物黑糖</x:v>
      </x:c>
      <x:c r="I28" s="24" t="str"/>
      <x:c r="J28" s="24" t="str"/>
      <x:c r="K28" s="24" t="str"/>
      <x:c r="L28" s="24" t="str"/>
      <x:c r="M28" s="24" t="str">
        <x:v>40.0</x:v>
      </x:c>
      <x:c r="N28" s="24" t="str">
        <x:v>130.0</x:v>
      </x:c>
      <x:c r="O28" s="24" t="str">
        <x:v>26.0</x:v>
      </x:c>
      <x:c r="P28" s="24" t="str">
        <x:v>104.0</x:v>
      </x:c>
      <x:c r="Q28" s="24" t="str">
        <x:v>80.0</x:v>
      </x:c>
      <x:c r="R28" s="24" t="str">
        <x:v>67.33774667</x:v>
      </x:c>
      <x:c r="S28" s="24" t="str">
        <x:v>6.5</x:v>
      </x:c>
      <x:c r="T28" s="24" t="str">
        <x:v>73.8</x:v>
      </x:c>
      <x:c r="U28" s="24" t="str">
        <x:v>30.0</x:v>
      </x:c>
      <x:c r="V28" s="24" t="str">
        <x:v>30.16225333</x:v>
      </x:c>
      <x:c r="W28" s="24" t="str">
        <x:v>30.16225333</x:v>
      </x:c>
      <x:c r="X28" s="24" t="str">
        <x:v>1206.0</x:v>
      </x:c>
      <x:c r="Y28" s="24" t="str">
        <x:v>1206.4901332</x:v>
      </x:c>
      <x:c r="Z28" s="24" t="str">
        <x:v>1206.0</x:v>
      </x:c>
      <x:c r="AA28" s="24" t="str">
        <x:v>5200.0</x:v>
      </x:c>
      <x:c r="AB28" s="24" t="str">
        <x:v>5200.0</x:v>
      </x:c>
      <x:c r="AC28" s="24" t="str">
        <x:v>5200.0</x:v>
      </x:c>
      <x:c r="AD28" s="24" t="str">
        <x:v>reported</x:v>
      </x:c>
      <x:c r="AE28" s="24" t="str">
        <x:v>reported</x:v>
      </x:c>
      <x:c r="AF28" s="24" t="str">
        <x:v>玫瑰四物黑糖_None_None_130.0</x:v>
      </x:c>
      <x:c r="AG28" s="24" t="str">
        <x:v>missing_spec</x:v>
      </x:c>
    </x:row>
    <x:row r="29">
      <x:c r="A29" s="24" t="str">
        <x:v>鐵比倫-產品成本結構試算.xlsx - 2025 營收銷量(原始檔案).csv</x:v>
      </x:c>
      <x:c r="B29" s="24" t="str">
        <x:v>32</x:v>
      </x:c>
      <x:c r="C29" s="24" t="str">
        <x:v>單顆包(每台斤）</x:v>
      </x:c>
      <x:c r="D29" s="24" t="str">
        <x:v>25台斤(一箱)</x:v>
      </x:c>
      <x:c r="E29" s="24" t="str">
        <x:v>未分類</x:v>
      </x:c>
      <x:c r="F29" s="24" t="str"/>
      <x:c r="G29" s="24" t="str">
        <x:v>原味黑糖</x:v>
      </x:c>
      <x:c r="H29" s="24" t="str">
        <x:v>原味黑糖</x:v>
      </x:c>
      <x:c r="I29" s="24" t="str">
        <x:v>單顆包</x:v>
      </x:c>
      <x:c r="J29" s="24" t="str">
        <x:v>600</x:v>
      </x:c>
      <x:c r="K29" s="24" t="str">
        <x:v>g</x:v>
      </x:c>
      <x:c r="L29" s="24" t="str">
        <x:v>台斤</x:v>
      </x:c>
      <x:c r="M29" s="24" t="str"/>
      <x:c r="N29" s="24" t="str">
        <x:v>100.0</x:v>
      </x:c>
      <x:c r="O29" s="24" t="str">
        <x:v>34.0</x:v>
      </x:c>
      <x:c r="P29" s="24" t="str">
        <x:v>66.0</x:v>
      </x:c>
      <x:c r="Q29" s="24" t="str">
        <x:v>66.0</x:v>
      </x:c>
      <x:c r="R29" s="24" t="str">
        <x:v>51.79826667</x:v>
      </x:c>
      <x:c r="S29" s="24" t="str">
        <x:v>5.0</x:v>
      </x:c>
      <x:c r="T29" s="24" t="str">
        <x:v>56.8</x:v>
      </x:c>
      <x:c r="U29" s="24" t="str">
        <x:v>9.0</x:v>
      </x:c>
      <x:c r="V29" s="24" t="str">
        <x:v>9.201733330000003</x:v>
      </x:c>
      <x:c r="W29" s="24" t="str">
        <x:v>9.201733330000003</x:v>
      </x:c>
      <x:c r="X29" s="24" t="str">
        <x:v>0.0</x:v>
      </x:c>
      <x:c r="Y29" s="24" t="str"/>
      <x:c r="Z29" s="24" t="str">
        <x:v>0.0</x:v>
      </x:c>
      <x:c r="AA29" s="24" t="str">
        <x:v>0.0</x:v>
      </x:c>
      <x:c r="AB29" s="24" t="str"/>
      <x:c r="AC29" s="24" t="str">
        <x:v>0.0</x:v>
      </x:c>
      <x:c r="AD29" s="24" t="str">
        <x:v>reported</x:v>
      </x:c>
      <x:c r="AE29" s="24" t="str">
        <x:v>reported</x:v>
      </x:c>
      <x:c r="AF29" s="24" t="str">
        <x:v>原味黑糖 _None_單顆包_100.0</x:v>
      </x:c>
      <x:c r="AG29" s="24" t="str"/>
    </x:row>
    <x:row r="30">
      <x:c r="A30" s="24" t="str">
        <x:v>鐵比倫-產品成本結構試算.xlsx - 2025 營收銷量(原始檔案).csv</x:v>
      </x:c>
      <x:c r="B30" s="24" t="str">
        <x:v>33</x:v>
      </x:c>
      <x:c r="C30" s="24" t="str"/>
      <x:c r="D30" s="24" t="str"/>
      <x:c r="E30" s="24" t="str">
        <x:v>未分類</x:v>
      </x:c>
      <x:c r="F30" s="24" t="str"/>
      <x:c r="G30" s="24" t="str">
        <x:v>薑汁黑糖</x:v>
      </x:c>
      <x:c r="H30" s="24" t="str">
        <x:v>薑汁黑糖</x:v>
      </x:c>
      <x:c r="I30" s="24" t="str"/>
      <x:c r="J30" s="24" t="str"/>
      <x:c r="K30" s="24" t="str"/>
      <x:c r="L30" s="24" t="str"/>
      <x:c r="M30" s="24" t="str"/>
      <x:c r="N30" s="24" t="str">
        <x:v>130.0</x:v>
      </x:c>
      <x:c r="O30" s="24" t="str">
        <x:v>40.0</x:v>
      </x:c>
      <x:c r="P30" s="24" t="str">
        <x:v>90.0</x:v>
      </x:c>
      <x:c r="Q30" s="24" t="str">
        <x:v>69.23</x:v>
      </x:c>
      <x:c r="R30" s="24" t="str">
        <x:v>67.33774667</x:v>
      </x:c>
      <x:c r="S30" s="24" t="str">
        <x:v>6.5</x:v>
      </x:c>
      <x:c r="T30" s="24" t="str">
        <x:v>73.8</x:v>
      </x:c>
      <x:c r="U30" s="24" t="str">
        <x:v>16.0</x:v>
      </x:c>
      <x:c r="V30" s="24" t="str">
        <x:v>16.16225333</x:v>
      </x:c>
      <x:c r="W30" s="24" t="str">
        <x:v>16.16225333</x:v>
      </x:c>
      <x:c r="X30" s="24" t="str">
        <x:v>0.0</x:v>
      </x:c>
      <x:c r="Y30" s="24" t="str"/>
      <x:c r="Z30" s="24" t="str">
        <x:v>0.0</x:v>
      </x:c>
      <x:c r="AA30" s="24" t="str">
        <x:v>0.0</x:v>
      </x:c>
      <x:c r="AB30" s="24" t="str"/>
      <x:c r="AC30" s="24" t="str">
        <x:v>0.0</x:v>
      </x:c>
      <x:c r="AD30" s="24" t="str">
        <x:v>reported</x:v>
      </x:c>
      <x:c r="AE30" s="24" t="str">
        <x:v>reported</x:v>
      </x:c>
      <x:c r="AF30" s="24" t="str">
        <x:v>薑汁黑糖_None_None_130.0</x:v>
      </x:c>
      <x:c r="AG30" s="24" t="str">
        <x:v>missing_spec</x:v>
      </x:c>
    </x:row>
    <x:row r="31">
      <x:c r="A31" s="24" t="str">
        <x:v>鐵比倫-產品成本結構試算.xlsx - 2025 營收銷量(原始檔案).csv</x:v>
      </x:c>
      <x:c r="B31" s="24" t="str">
        <x:v>34</x:v>
      </x:c>
      <x:c r="C31" s="24" t="str"/>
      <x:c r="D31" s="24" t="str"/>
      <x:c r="E31" s="24" t="str">
        <x:v>未分類</x:v>
      </x:c>
      <x:c r="F31" s="24" t="str"/>
      <x:c r="G31" s="24" t="str">
        <x:v>桂圓黑糖</x:v>
      </x:c>
      <x:c r="H31" s="24" t="str">
        <x:v>桂圓黑糖</x:v>
      </x:c>
      <x:c r="I31" s="24" t="str"/>
      <x:c r="J31" s="24" t="str"/>
      <x:c r="K31" s="24" t="str"/>
      <x:c r="L31" s="24" t="str"/>
      <x:c r="M31" s="24" t="str"/>
      <x:c r="N31" s="24" t="str">
        <x:v>130.0</x:v>
      </x:c>
      <x:c r="O31" s="24" t="str">
        <x:v>47.0</x:v>
      </x:c>
      <x:c r="P31" s="24" t="str">
        <x:v>83.0</x:v>
      </x:c>
      <x:c r="Q31" s="24" t="str">
        <x:v>63.85</x:v>
      </x:c>
      <x:c r="R31" s="24" t="str">
        <x:v>67.33774667</x:v>
      </x:c>
      <x:c r="S31" s="24" t="str">
        <x:v>6.5</x:v>
      </x:c>
      <x:c r="T31" s="24" t="str">
        <x:v>73.8</x:v>
      </x:c>
      <x:c r="U31" s="24" t="str">
        <x:v>9.0</x:v>
      </x:c>
      <x:c r="V31" s="24" t="str">
        <x:v>9.162253329999999</x:v>
      </x:c>
      <x:c r="W31" s="24" t="str">
        <x:v>9.162253329999999</x:v>
      </x:c>
      <x:c r="X31" s="24" t="str">
        <x:v>0.0</x:v>
      </x:c>
      <x:c r="Y31" s="24" t="str"/>
      <x:c r="Z31" s="24" t="str">
        <x:v>0.0</x:v>
      </x:c>
      <x:c r="AA31" s="24" t="str">
        <x:v>0.0</x:v>
      </x:c>
      <x:c r="AB31" s="24" t="str"/>
      <x:c r="AC31" s="24" t="str">
        <x:v>0.0</x:v>
      </x:c>
      <x:c r="AD31" s="24" t="str">
        <x:v>reported</x:v>
      </x:c>
      <x:c r="AE31" s="24" t="str">
        <x:v>reported</x:v>
      </x:c>
      <x:c r="AF31" s="24" t="str">
        <x:v>桂圓黑糖_None_None_130.0</x:v>
      </x:c>
      <x:c r="AG31" s="24" t="str">
        <x:v>missing_spec</x:v>
      </x:c>
    </x:row>
    <x:row r="32">
      <x:c r="A32" s="24" t="str">
        <x:v>鐵比倫-產品成本結構試算.xlsx - 2025 營收銷量(原始檔案).csv</x:v>
      </x:c>
      <x:c r="B32" s="24" t="str">
        <x:v>35</x:v>
      </x:c>
      <x:c r="C32" s="24" t="str"/>
      <x:c r="D32" s="24" t="str"/>
      <x:c r="E32" s="24" t="str">
        <x:v>未分類</x:v>
      </x:c>
      <x:c r="F32" s="24" t="str"/>
      <x:c r="G32" s="24" t="str">
        <x:v>玫瑰四物黑糖</x:v>
      </x:c>
      <x:c r="H32" s="24" t="str">
        <x:v>玫瑰四物黑糖</x:v>
      </x:c>
      <x:c r="I32" s="24" t="str"/>
      <x:c r="J32" s="24" t="str"/>
      <x:c r="K32" s="24" t="str"/>
      <x:c r="L32" s="24" t="str"/>
      <x:c r="M32" s="24" t="str"/>
      <x:c r="N32" s="24" t="str">
        <x:v>130.0</x:v>
      </x:c>
      <x:c r="O32" s="24" t="str">
        <x:v>39.0</x:v>
      </x:c>
      <x:c r="P32" s="24" t="str">
        <x:v>91.0</x:v>
      </x:c>
      <x:c r="Q32" s="24" t="str">
        <x:v>70.0</x:v>
      </x:c>
      <x:c r="R32" s="24" t="str">
        <x:v>67.33774667</x:v>
      </x:c>
      <x:c r="S32" s="24" t="str">
        <x:v>6.5</x:v>
      </x:c>
      <x:c r="T32" s="24" t="str">
        <x:v>73.8</x:v>
      </x:c>
      <x:c r="U32" s="24" t="str">
        <x:v>17.0</x:v>
      </x:c>
      <x:c r="V32" s="24" t="str">
        <x:v>17.16225333</x:v>
      </x:c>
      <x:c r="W32" s="24" t="str">
        <x:v>17.16225333</x:v>
      </x:c>
      <x:c r="X32" s="24" t="str">
        <x:v>0.0</x:v>
      </x:c>
      <x:c r="Y32" s="24" t="str"/>
      <x:c r="Z32" s="24" t="str">
        <x:v>0.0</x:v>
      </x:c>
      <x:c r="AA32" s="24" t="str">
        <x:v>0.0</x:v>
      </x:c>
      <x:c r="AB32" s="24" t="str"/>
      <x:c r="AC32" s="24" t="str">
        <x:v>0.0</x:v>
      </x:c>
      <x:c r="AD32" s="24" t="str">
        <x:v>reported</x:v>
      </x:c>
      <x:c r="AE32" s="24" t="str">
        <x:v>reported</x:v>
      </x:c>
      <x:c r="AF32" s="24" t="str">
        <x:v>玫瑰四物黑糖_None_None_130.0</x:v>
      </x:c>
      <x:c r="AG32" s="24" t="str">
        <x:v>missing_spec</x:v>
      </x:c>
    </x:row>
    <x:row r="33">
      <x:c r="A33" s="24" t="str">
        <x:v>鐵比倫-產品成本結構試算.xlsx - 2025 營收銷量(原始檔案).csv</x:v>
      </x:c>
      <x:c r="B33" s="24" t="str">
        <x:v>36</x:v>
      </x:c>
      <x:c r="C33" s="24" t="str"/>
      <x:c r="D33" s="24" t="str"/>
      <x:c r="E33" s="24" t="str">
        <x:v>未分類</x:v>
      </x:c>
      <x:c r="F33" s="24" t="str"/>
      <x:c r="G33" s="24" t="str">
        <x:v>桂圓紅棗薑</x:v>
      </x:c>
      <x:c r="H33" s="24" t="str">
        <x:v>桂圓紅棗薑</x:v>
      </x:c>
      <x:c r="I33" s="24" t="str"/>
      <x:c r="J33" s="24" t="str"/>
      <x:c r="K33" s="24" t="str"/>
      <x:c r="L33" s="24" t="str"/>
      <x:c r="M33" s="24" t="str"/>
      <x:c r="N33" s="24" t="str">
        <x:v>150.0</x:v>
      </x:c>
      <x:c r="O33" s="24" t="str">
        <x:v>46.0</x:v>
      </x:c>
      <x:c r="P33" s="24" t="str">
        <x:v>104.0</x:v>
      </x:c>
      <x:c r="Q33" s="24" t="str">
        <x:v>69.33</x:v>
      </x:c>
      <x:c r="R33" s="24" t="str">
        <x:v>77.6974</x:v>
      </x:c>
      <x:c r="S33" s="24" t="str">
        <x:v>7.5</x:v>
      </x:c>
      <x:c r="T33" s="24" t="str">
        <x:v>85.2</x:v>
      </x:c>
      <x:c r="U33" s="24" t="str">
        <x:v>19.0</x:v>
      </x:c>
      <x:c r="V33" s="24" t="str">
        <x:v>18.802599999999998</x:v>
      </x:c>
      <x:c r="W33" s="24" t="str">
        <x:v>18.802599999999998</x:v>
      </x:c>
      <x:c r="X33" s="24" t="str">
        <x:v>0.0</x:v>
      </x:c>
      <x:c r="Y33" s="24" t="str"/>
      <x:c r="Z33" s="24" t="str">
        <x:v>0.0</x:v>
      </x:c>
      <x:c r="AA33" s="24" t="str">
        <x:v>0.0</x:v>
      </x:c>
      <x:c r="AB33" s="24" t="str"/>
      <x:c r="AC33" s="24" t="str">
        <x:v>0.0</x:v>
      </x:c>
      <x:c r="AD33" s="24" t="str">
        <x:v>reported</x:v>
      </x:c>
      <x:c r="AE33" s="24" t="str">
        <x:v>reported</x:v>
      </x:c>
      <x:c r="AF33" s="24" t="str">
        <x:v>桂圓紅棗薑_None_None_150.0</x:v>
      </x:c>
      <x:c r="AG33" s="24" t="str">
        <x:v>missing_spec</x:v>
      </x:c>
    </x:row>
    <x:row r="34">
      <x:c r="A34" s="24" t="str">
        <x:v>鐵比倫-產品成本結構試算.xlsx - 2025 營收銷量(原始檔案).csv</x:v>
      </x:c>
      <x:c r="B34" s="24" t="str">
        <x:v>37</x:v>
      </x:c>
      <x:c r="C34" s="24" t="str"/>
      <x:c r="D34" s="24" t="str"/>
      <x:c r="E34" s="24" t="str">
        <x:v>未分類</x:v>
      </x:c>
      <x:c r="F34" s="24" t="str"/>
      <x:c r="G34" s="24" t="str">
        <x:v>冬瓜</x:v>
      </x:c>
      <x:c r="H34" s="24" t="str">
        <x:v>冬瓜</x:v>
      </x:c>
      <x:c r="I34" s="24" t="str"/>
      <x:c r="J34" s="24" t="str"/>
      <x:c r="K34" s="24" t="str"/>
      <x:c r="L34" s="24" t="str"/>
      <x:c r="M34" s="24" t="str"/>
      <x:c r="N34" s="24" t="str">
        <x:v>140.0</x:v>
      </x:c>
      <x:c r="O34" s="24" t="str">
        <x:v>41.0</x:v>
      </x:c>
      <x:c r="P34" s="24" t="str">
        <x:v>99.0</x:v>
      </x:c>
      <x:c r="Q34" s="24" t="str">
        <x:v>70.71</x:v>
      </x:c>
      <x:c r="R34" s="24" t="str">
        <x:v>72.51757333</x:v>
      </x:c>
      <x:c r="S34" s="24" t="str">
        <x:v>7.0</x:v>
      </x:c>
      <x:c r="T34" s="24" t="str">
        <x:v>79.5</x:v>
      </x:c>
      <x:c r="U34" s="24" t="str">
        <x:v>19.0</x:v>
      </x:c>
      <x:c r="V34" s="24" t="str">
        <x:v>19.482426669999995</x:v>
      </x:c>
      <x:c r="W34" s="24" t="str">
        <x:v>19.482426669999995</x:v>
      </x:c>
      <x:c r="X34" s="24" t="str">
        <x:v>0.0</x:v>
      </x:c>
      <x:c r="Y34" s="24" t="str"/>
      <x:c r="Z34" s="24" t="str">
        <x:v>0.0</x:v>
      </x:c>
      <x:c r="AA34" s="24" t="str">
        <x:v>0.0</x:v>
      </x:c>
      <x:c r="AB34" s="24" t="str"/>
      <x:c r="AC34" s="24" t="str">
        <x:v>0.0</x:v>
      </x:c>
      <x:c r="AD34" s="24" t="str">
        <x:v>reported</x:v>
      </x:c>
      <x:c r="AE34" s="24" t="str">
        <x:v>reported</x:v>
      </x:c>
      <x:c r="AF34" s="24" t="str">
        <x:v>冬瓜_None_None_140.0</x:v>
      </x:c>
      <x:c r="AG34" s="24" t="str">
        <x:v>missing_spec</x:v>
      </x:c>
    </x:row>
    <x:row r="35">
      <x:c r="A35" s="24" t="str">
        <x:v>鐵比倫-產品成本結構試算.xlsx - 2025 營收銷量(原始檔案).csv</x:v>
      </x:c>
      <x:c r="B35" s="24" t="str">
        <x:v>38</x:v>
      </x:c>
      <x:c r="C35" s="24" t="str">
        <x:v>蜜類-350ml</x:v>
      </x:c>
      <x:c r="D35" s="24" t="str"/>
      <x:c r="E35" s="24" t="str">
        <x:v>未分類</x:v>
      </x:c>
      <x:c r="F35" s="24" t="str"/>
      <x:c r="G35" s="24" t="str">
        <x:v>黑糖蜜</x:v>
      </x:c>
      <x:c r="H35" s="24" t="str">
        <x:v>黑糖蜜</x:v>
      </x:c>
      <x:c r="I35" s="24" t="str">
        <x:v>蜜類瓶裝</x:v>
      </x:c>
      <x:c r="J35" s="24" t="str">
        <x:v>350.0</x:v>
      </x:c>
      <x:c r="K35" s="24" t="str">
        <x:v>ml</x:v>
      </x:c>
      <x:c r="L35" s="24" t="str">
        <x:v>瓶</x:v>
      </x:c>
      <x:c r="M35" s="24" t="str">
        <x:v>2362.0</x:v>
      </x:c>
      <x:c r="N35" s="24" t="str">
        <x:v>130.0</x:v>
      </x:c>
      <x:c r="O35" s="24" t="str">
        <x:v>39.0</x:v>
      </x:c>
      <x:c r="P35" s="24" t="str">
        <x:v>91.0</x:v>
      </x:c>
      <x:c r="Q35" s="24" t="str">
        <x:v>70.31</x:v>
      </x:c>
      <x:c r="R35" s="24" t="str">
        <x:v>67.33774667</x:v>
      </x:c>
      <x:c r="S35" s="24" t="str">
        <x:v>6.5</x:v>
      </x:c>
      <x:c r="T35" s="24" t="str">
        <x:v>73.8</x:v>
      </x:c>
      <x:c r="U35" s="24" t="str">
        <x:v>18.0</x:v>
      </x:c>
      <x:c r="V35" s="24" t="str">
        <x:v>17.16225333</x:v>
      </x:c>
      <x:c r="W35" s="24" t="str">
        <x:v>17.16225333</x:v>
      </x:c>
      <x:c r="X35" s="24" t="str">
        <x:v>41482.0</x:v>
      </x:c>
      <x:c r="Y35" s="24" t="str">
        <x:v>40537.24236546</x:v>
      </x:c>
      <x:c r="Z35" s="24" t="str">
        <x:v>41482.0</x:v>
      </x:c>
      <x:c r="AA35" s="24" t="str">
        <x:v>307060.0</x:v>
      </x:c>
      <x:c r="AB35" s="24" t="str">
        <x:v>307060.0</x:v>
      </x:c>
      <x:c r="AC35" s="24" t="str">
        <x:v>307060.0</x:v>
      </x:c>
      <x:c r="AD35" s="24" t="str">
        <x:v>reported</x:v>
      </x:c>
      <x:c r="AE35" s="24" t="str">
        <x:v>reported</x:v>
      </x:c>
      <x:c r="AF35" s="24" t="str">
        <x:v>黑糖蜜_None_蜜類瓶裝_130.0</x:v>
      </x:c>
      <x:c r="AG35" s="24" t="str"/>
    </x:row>
    <x:row r="36">
      <x:c r="A36" s="24" t="str">
        <x:v>鐵比倫-產品成本結構試算.xlsx - 2025 營收銷量(原始檔案).csv</x:v>
      </x:c>
      <x:c r="B36" s="24" t="str">
        <x:v>39</x:v>
      </x:c>
      <x:c r="C36" s="24" t="str">
        <x:v>蜜類-150ml</x:v>
      </x:c>
      <x:c r="D36" s="24" t="str"/>
      <x:c r="E36" s="24" t="str">
        <x:v>未分類</x:v>
      </x:c>
      <x:c r="F36" s="24" t="str"/>
      <x:c r="G36" s="24" t="str">
        <x:v>黑糖檸檬</x:v>
      </x:c>
      <x:c r="H36" s="24" t="str">
        <x:v>黑糖檸檬</x:v>
      </x:c>
      <x:c r="I36" s="24" t="str">
        <x:v>蜜類瓶裝</x:v>
      </x:c>
      <x:c r="J36" s="24" t="str">
        <x:v>150.0</x:v>
      </x:c>
      <x:c r="K36" s="24" t="str">
        <x:v>ml</x:v>
      </x:c>
      <x:c r="L36" s="24" t="str">
        <x:v>瓶</x:v>
      </x:c>
      <x:c r="M36" s="24" t="str">
        <x:v>63.0</x:v>
      </x:c>
      <x:c r="N36" s="24" t="str">
        <x:v>117.0</x:v>
      </x:c>
      <x:c r="O36" s="24" t="str">
        <x:v>51.0</x:v>
      </x:c>
      <x:c r="P36" s="24" t="str">
        <x:v>66.0</x:v>
      </x:c>
      <x:c r="Q36" s="24" t="str">
        <x:v>56.15</x:v>
      </x:c>
      <x:c r="R36" s="24" t="str">
        <x:v>60.603972</x:v>
      </x:c>
      <x:c r="S36" s="24" t="str">
        <x:v>5.85</x:v>
      </x:c>
      <x:c r="T36" s="24" t="str">
        <x:v>66.5</x:v>
      </x:c>
      <x:c r="U36" s="24" t="str">
        <x:v>-1.0</x:v>
      </x:c>
      <x:c r="V36" s="24" t="str">
        <x:v>-0.4539719999999985</x:v>
      </x:c>
      <x:c r="W36" s="24" t="str">
        <x:v>-0.4539719999999985</x:v>
      </x:c>
      <x:c r="X36" s="24" t="str">
        <x:v>-48.0</x:v>
      </x:c>
      <x:c r="Y36" s="24" t="str">
        <x:v>-28.600235999999903</x:v>
      </x:c>
      <x:c r="Z36" s="24" t="str">
        <x:v>-48.0</x:v>
      </x:c>
      <x:c r="AA36" s="24" t="str">
        <x:v>7371.0</x:v>
      </x:c>
      <x:c r="AB36" s="24" t="str">
        <x:v>7371.0</x:v>
      </x:c>
      <x:c r="AC36" s="24" t="str">
        <x:v>7371.0</x:v>
      </x:c>
      <x:c r="AD36" s="24" t="str">
        <x:v>reported</x:v>
      </x:c>
      <x:c r="AE36" s="24" t="str">
        <x:v>reported</x:v>
      </x:c>
      <x:c r="AF36" s="24" t="str">
        <x:v>黑糖檸檬_None_蜜類瓶裝_117.0</x:v>
      </x:c>
      <x:c r="AG36" s="24" t="str">
        <x:v>negative_profit</x:v>
      </x:c>
    </x:row>
    <x:row r="37">
      <x:c r="A37" s="24" t="str">
        <x:v>鐵比倫-產品成本結構試算.xlsx - 2025 營收銷量(原始檔案).csv</x:v>
      </x:c>
      <x:c r="B37" s="24" t="str">
        <x:v>40</x:v>
      </x:c>
      <x:c r="C37" s="24" t="str"/>
      <x:c r="D37" s="24" t="str"/>
      <x:c r="E37" s="24" t="str">
        <x:v>未分類</x:v>
      </x:c>
      <x:c r="F37" s="24" t="str"/>
      <x:c r="G37" s="24" t="str">
        <x:v>百香果黑糖</x:v>
      </x:c>
      <x:c r="H37" s="24" t="str">
        <x:v>百香果黑糖</x:v>
      </x:c>
      <x:c r="I37" s="24" t="str"/>
      <x:c r="J37" s="24" t="str"/>
      <x:c r="K37" s="24" t="str"/>
      <x:c r="L37" s="24" t="str"/>
      <x:c r="M37" s="24" t="str">
        <x:v>40.0</x:v>
      </x:c>
      <x:c r="N37" s="24" t="str">
        <x:v>117.0</x:v>
      </x:c>
      <x:c r="O37" s="24" t="str">
        <x:v>48.0</x:v>
      </x:c>
      <x:c r="P37" s="24" t="str">
        <x:v>69.0</x:v>
      </x:c>
      <x:c r="Q37" s="24" t="str">
        <x:v>58.97</x:v>
      </x:c>
      <x:c r="R37" s="24" t="str">
        <x:v>60.603972</x:v>
      </x:c>
      <x:c r="S37" s="24" t="str">
        <x:v>5.85</x:v>
      </x:c>
      <x:c r="T37" s="24" t="str">
        <x:v>66.5</x:v>
      </x:c>
      <x:c r="U37" s="24" t="str">
        <x:v>3.0</x:v>
      </x:c>
      <x:c r="V37" s="24" t="str">
        <x:v>2.5460280000000015</x:v>
      </x:c>
      <x:c r="W37" s="24" t="str">
        <x:v>2.5460280000000015</x:v>
      </x:c>
      <x:c r="X37" s="24" t="str">
        <x:v>102.0</x:v>
      </x:c>
      <x:c r="Y37" s="24" t="str">
        <x:v>101.84112000000006</x:v>
      </x:c>
      <x:c r="Z37" s="24" t="str">
        <x:v>102.0</x:v>
      </x:c>
      <x:c r="AA37" s="24" t="str">
        <x:v>4680.0</x:v>
      </x:c>
      <x:c r="AB37" s="24" t="str">
        <x:v>4680.0</x:v>
      </x:c>
      <x:c r="AC37" s="24" t="str">
        <x:v>4680.0</x:v>
      </x:c>
      <x:c r="AD37" s="24" t="str">
        <x:v>reported</x:v>
      </x:c>
      <x:c r="AE37" s="24" t="str">
        <x:v>reported</x:v>
      </x:c>
      <x:c r="AF37" s="24" t="str">
        <x:v>百香果黑糖_None_None_117.0</x:v>
      </x:c>
      <x:c r="AG37" s="24" t="str">
        <x:v>missing_spec</x:v>
      </x:c>
    </x:row>
    <x:row r="38">
      <x:c r="A38" s="24" t="str">
        <x:v>鐵比倫-產品成本結構試算.xlsx - 2025 營收銷量(原始檔案).csv</x:v>
      </x:c>
      <x:c r="B38" s="24" t="str">
        <x:v>41</x:v>
      </x:c>
      <x:c r="C38" s="24" t="str"/>
      <x:c r="D38" s="24" t="str"/>
      <x:c r="E38" s="24" t="str">
        <x:v>未分類</x:v>
      </x:c>
      <x:c r="F38" s="24" t="str"/>
      <x:c r="G38" s="24" t="str">
        <x:v>梅精黑糖</x:v>
      </x:c>
      <x:c r="H38" s="24" t="str">
        <x:v>梅精黑糖</x:v>
      </x:c>
      <x:c r="I38" s="24" t="str"/>
      <x:c r="J38" s="24" t="str"/>
      <x:c r="K38" s="24" t="str"/>
      <x:c r="L38" s="24" t="str"/>
      <x:c r="M38" s="24" t="str">
        <x:v>109.0</x:v>
      </x:c>
      <x:c r="N38" s="24" t="str">
        <x:v>143.0</x:v>
      </x:c>
      <x:c r="O38" s="24" t="str">
        <x:v>47.0</x:v>
      </x:c>
      <x:c r="P38" s="24" t="str">
        <x:v>96.0</x:v>
      </x:c>
      <x:c r="Q38" s="24" t="str">
        <x:v>67.13</x:v>
      </x:c>
      <x:c r="R38" s="24" t="str">
        <x:v>74.07152133</x:v>
      </x:c>
      <x:c r="S38" s="24" t="str">
        <x:v>7.15</x:v>
      </x:c>
      <x:c r="T38" s="24" t="str">
        <x:v>81.2</x:v>
      </x:c>
      <x:c r="U38" s="24" t="str">
        <x:v>15.0</x:v>
      </x:c>
      <x:c r="V38" s="24" t="str">
        <x:v>14.778478670000004</x:v>
      </x:c>
      <x:c r="W38" s="24" t="str">
        <x:v>14.778478670000004</x:v>
      </x:c>
      <x:c r="X38" s="24" t="str">
        <x:v>1611.0</x:v>
      </x:c>
      <x:c r="Y38" s="24" t="str">
        <x:v>1610.8541750300003</x:v>
      </x:c>
      <x:c r="Z38" s="24" t="str">
        <x:v>1611.0</x:v>
      </x:c>
      <x:c r="AA38" s="24" t="str">
        <x:v>15587.0</x:v>
      </x:c>
      <x:c r="AB38" s="24" t="str">
        <x:v>15587.0</x:v>
      </x:c>
      <x:c r="AC38" s="24" t="str">
        <x:v>15587.0</x:v>
      </x:c>
      <x:c r="AD38" s="24" t="str">
        <x:v>reported</x:v>
      </x:c>
      <x:c r="AE38" s="24" t="str">
        <x:v>reported</x:v>
      </x:c>
      <x:c r="AF38" s="24" t="str">
        <x:v>梅精黑糖_None_None_143.0</x:v>
      </x:c>
      <x:c r="AG38" s="24" t="str">
        <x:v>missing_spec</x:v>
      </x:c>
    </x:row>
    <x:row r="39">
      <x:c r="A39" s="24" t="str">
        <x:v>鐵比倫-產品成本結構試算.xlsx - 2025 營收銷量(原始檔案).csv</x:v>
      </x:c>
      <x:c r="B39" s="24" t="str">
        <x:v>42</x:v>
      </x:c>
      <x:c r="C39" s="24" t="str">
        <x:v>蜜類-1890ml</x:v>
      </x:c>
      <x:c r="D39" s="24" t="str"/>
      <x:c r="E39" s="24" t="str">
        <x:v>未分類</x:v>
      </x:c>
      <x:c r="F39" s="24" t="str"/>
      <x:c r="G39" s="24" t="str">
        <x:v>黑糖蜜</x:v>
      </x:c>
      <x:c r="H39" s="24" t="str">
        <x:v>黑糖蜜</x:v>
      </x:c>
      <x:c r="I39" s="24" t="str">
        <x:v>蜜類瓶裝</x:v>
      </x:c>
      <x:c r="J39" s="24" t="str">
        <x:v>1890.0</x:v>
      </x:c>
      <x:c r="K39" s="24" t="str">
        <x:v>ml</x:v>
      </x:c>
      <x:c r="L39" s="24" t="str">
        <x:v>瓶</x:v>
      </x:c>
      <x:c r="M39" s="24" t="str">
        <x:v>50.0</x:v>
      </x:c>
      <x:c r="N39" s="24" t="str"/>
      <x:c r="O39" s="24" t="str"/>
      <x:c r="P39" s="24" t="str"/>
      <x:c r="Q39" s="24" t="str"/>
      <x:c r="R39" s="24" t="str"/>
      <x:c r="S39" s="24" t="str"/>
      <x:c r="T39" s="24" t="str"/>
      <x:c r="U39" s="24" t="str"/>
      <x:c r="V39" s="24" t="str"/>
      <x:c r="W39" s="24" t="str"/>
      <x:c r="X39" s="24" t="str">
        <x:v>0.0</x:v>
      </x:c>
      <x:c r="Y39" s="24" t="str"/>
      <x:c r="Z39" s="24" t="str">
        <x:v>0.0</x:v>
      </x:c>
      <x:c r="AA39" s="24" t="str">
        <x:v>0.0</x:v>
      </x:c>
      <x:c r="AB39" s="24" t="str"/>
      <x:c r="AC39" s="24" t="str">
        <x:v>0.0</x:v>
      </x:c>
      <x:c r="AD39" s="24" t="str">
        <x:v>reported</x:v>
      </x:c>
      <x:c r="AE39" s="24" t="str">
        <x:v>reported</x:v>
      </x:c>
      <x:c r="AF39" s="24" t="str">
        <x:v>黑糖蜜_None_蜜類瓶裝_None</x:v>
      </x:c>
      <x:c r="AG39" s="24" t="str">
        <x:v>missing_price;missing_cost</x:v>
      </x:c>
    </x:row>
    <x:row r="40">
      <x:c r="A40" s="24" t="str">
        <x:v>鐵比倫-產品成本結構試算.xlsx - 2025 營收銷量(原始檔案).csv</x:v>
      </x:c>
      <x:c r="B40" s="24" t="str">
        <x:v>43</x:v>
      </x:c>
      <x:c r="C40" s="24" t="str">
        <x:v>蜜類-1890ml</x:v>
      </x:c>
      <x:c r="D40" s="24" t="str"/>
      <x:c r="E40" s="24" t="str">
        <x:v>未分類</x:v>
      </x:c>
      <x:c r="F40" s="24" t="str"/>
      <x:c r="G40" s="24" t="str">
        <x:v>梅精黑糖</x:v>
      </x:c>
      <x:c r="H40" s="24" t="str">
        <x:v>梅精黑糖</x:v>
      </x:c>
      <x:c r="I40" s="24" t="str">
        <x:v>蜜類瓶裝</x:v>
      </x:c>
      <x:c r="J40" s="24" t="str">
        <x:v>1890.0</x:v>
      </x:c>
      <x:c r="K40" s="24" t="str">
        <x:v>ml</x:v>
      </x:c>
      <x:c r="L40" s="24" t="str">
        <x:v>瓶</x:v>
      </x:c>
      <x:c r="M40" s="24" t="str">
        <x:v>45.0</x:v>
      </x:c>
      <x:c r="N40" s="24" t="str"/>
      <x:c r="O40" s="24" t="str"/>
      <x:c r="P40" s="24" t="str"/>
      <x:c r="Q40" s="24" t="str"/>
      <x:c r="R40" s="24" t="str"/>
      <x:c r="S40" s="24" t="str"/>
      <x:c r="T40" s="24" t="str"/>
      <x:c r="U40" s="24" t="str"/>
      <x:c r="V40" s="24" t="str"/>
      <x:c r="W40" s="24" t="str"/>
      <x:c r="X40" s="24" t="str">
        <x:v>0.0</x:v>
      </x:c>
      <x:c r="Y40" s="24" t="str"/>
      <x:c r="Z40" s="24" t="str">
        <x:v>0.0</x:v>
      </x:c>
      <x:c r="AA40" s="24" t="str">
        <x:v>0.0</x:v>
      </x:c>
      <x:c r="AB40" s="24" t="str"/>
      <x:c r="AC40" s="24" t="str">
        <x:v>0.0</x:v>
      </x:c>
      <x:c r="AD40" s="24" t="str">
        <x:v>reported</x:v>
      </x:c>
      <x:c r="AE40" s="24" t="str">
        <x:v>reported</x:v>
      </x:c>
      <x:c r="AF40" s="24" t="str">
        <x:v>梅精黑糖_None_蜜類瓶裝_None</x:v>
      </x:c>
      <x:c r="AG40" s="24" t="str">
        <x:v>missing_price;missing_cost</x:v>
      </x:c>
    </x:row>
    <x:row r="41">
      <x:c r="A41" s="24" t="str">
        <x:v>鐵比倫-產品成本結構試算.xlsx - 2025 營收銷量(原始檔案).csv</x:v>
      </x:c>
      <x:c r="B41" s="24" t="str">
        <x:v>44</x:v>
      </x:c>
      <x:c r="C41" s="24" t="str">
        <x:v>通路上架</x:v>
      </x:c>
      <x:c r="D41" s="24" t="str"/>
      <x:c r="E41" s="24" t="str">
        <x:v>未分類</x:v>
      </x:c>
      <x:c r="F41" s="24" t="str"/>
      <x:c r="G41" s="24" t="str"/>
      <x:c r="H41" s="24" t="str"/>
      <x:c r="I41" s="24" t="str"/>
      <x:c r="J41" s="24" t="str"/>
      <x:c r="K41" s="24" t="str"/>
      <x:c r="L41" s="24" t="str"/>
      <x:c r="M41" s="24" t="str"/>
      <x:c r="N41" s="24" t="str"/>
      <x:c r="O41" s="24" t="str"/>
      <x:c r="P41" s="24" t="str"/>
      <x:c r="Q41" s="24" t="str"/>
      <x:c r="R41" s="24" t="str"/>
      <x:c r="S41" s="24" t="str"/>
      <x:c r="T41" s="24" t="str"/>
      <x:c r="U41" s="24" t="str"/>
      <x:c r="V41" s="24" t="str"/>
      <x:c r="W41" s="24" t="str"/>
      <x:c r="X41" s="24" t="str"/>
      <x:c r="Y41" s="24" t="str"/>
      <x:c r="Z41" s="24" t="str"/>
      <x:c r="AA41" s="24" t="str">
        <x:v>0.0</x:v>
      </x:c>
      <x:c r="AB41" s="24" t="str"/>
      <x:c r="AC41" s="24" t="str">
        <x:v>0.0</x:v>
      </x:c>
      <x:c r="AD41" s="24" t="str">
        <x:v>reported</x:v>
      </x:c>
      <x:c r="AE41" s="24" t="str">
        <x:v>missing</x:v>
      </x:c>
      <x:c r="AF41" s="24" t="str">
        <x:v>_None_None_None</x:v>
      </x:c>
      <x:c r="AG41" s="24" t="str">
        <x:v>missing_price;missing_cost;missing_spec</x:v>
      </x:c>
    </x:row>
    <x:row r="42">
      <x:c r="A42" s="24" t="str">
        <x:v>鐵比倫-產品成本結構試算.xlsx - 2025 營收銷量(原始檔案).csv</x:v>
      </x:c>
      <x:c r="B42" s="24" t="str">
        <x:v>45</x:v>
      </x:c>
      <x:c r="C42" s="24" t="str">
        <x:v>日月町罐裝(160g）</x:v>
      </x:c>
      <x:c r="D42" s="24" t="str"/>
      <x:c r="E42" s="24" t="str">
        <x:v>通路上架</x:v>
      </x:c>
      <x:c r="F42" s="24" t="str">
        <x:v>日月町</x:v>
      </x:c>
      <x:c r="G42" s="24" t="str">
        <x:v>原味黑糖</x:v>
      </x:c>
      <x:c r="H42" s="24" t="str">
        <x:v>原味黑糖</x:v>
      </x:c>
      <x:c r="I42" s="24" t="str">
        <x:v>禮盒</x:v>
      </x:c>
      <x:c r="J42" s="24" t="str">
        <x:v>160.0</x:v>
      </x:c>
      <x:c r="K42" s="24" t="str">
        <x:v>g</x:v>
      </x:c>
      <x:c r="L42" s="24" t="str"/>
      <x:c r="M42" s="24" t="str"/>
      <x:c r="N42" s="24" t="str">
        <x:v>0.0</x:v>
      </x:c>
      <x:c r="O42" s="24" t="str">
        <x:v>43.0</x:v>
      </x:c>
      <x:c r="P42" s="24" t="str">
        <x:v>-43.0</x:v>
      </x:c>
      <x:c r="Q42" s="24" t="str">
        <x:v>0.0</x:v>
      </x:c>
      <x:c r="R42" s="24" t="str">
        <x:v>0.0</x:v>
      </x:c>
      <x:c r="S42" s="24" t="str">
        <x:v>0.0</x:v>
      </x:c>
      <x:c r="T42" s="24" t="str">
        <x:v>0.0</x:v>
      </x:c>
      <x:c r="U42" s="24" t="str">
        <x:v>-43.0</x:v>
      </x:c>
      <x:c r="V42" s="24" t="str">
        <x:v>-43.0</x:v>
      </x:c>
      <x:c r="W42" s="24" t="str">
        <x:v>-43.0</x:v>
      </x:c>
      <x:c r="X42" s="24" t="str"/>
      <x:c r="Y42" s="24" t="str"/>
      <x:c r="Z42" s="24" t="str"/>
      <x:c r="AA42" s="24" t="str">
        <x:v>0.0</x:v>
      </x:c>
      <x:c r="AB42" s="24" t="str"/>
      <x:c r="AC42" s="24" t="str">
        <x:v>0.0</x:v>
      </x:c>
      <x:c r="AD42" s="24" t="str">
        <x:v>reported</x:v>
      </x:c>
      <x:c r="AE42" s="24" t="str">
        <x:v>missing</x:v>
      </x:c>
      <x:c r="AF42" s="24" t="str">
        <x:v>原味黑糖 _日月町_禮盒_0.0</x:v>
      </x:c>
      <x:c r="AG42" s="24" t="str">
        <x:v>negative_profit</x:v>
      </x:c>
    </x:row>
    <x:row r="43">
      <x:c r="A43" s="24" t="str">
        <x:v>鐵比倫-產品成本結構試算.xlsx - 2025 營收銷量(原始檔案).csv</x:v>
      </x:c>
      <x:c r="B43" s="24" t="str">
        <x:v>46</x:v>
      </x:c>
      <x:c r="C43" s="24" t="str"/>
      <x:c r="D43" s="24" t="str"/>
      <x:c r="E43" s="24" t="str">
        <x:v>未分類</x:v>
      </x:c>
      <x:c r="F43" s="24" t="str"/>
      <x:c r="G43" s="24" t="str">
        <x:v>薑汁黑糖</x:v>
      </x:c>
      <x:c r="H43" s="24" t="str">
        <x:v>薑汁黑糖</x:v>
      </x:c>
      <x:c r="I43" s="24" t="str"/>
      <x:c r="J43" s="24" t="str"/>
      <x:c r="K43" s="24" t="str"/>
      <x:c r="L43" s="24" t="str"/>
      <x:c r="M43" s="24" t="str"/>
      <x:c r="N43" s="24" t="str">
        <x:v>126.0</x:v>
      </x:c>
      <x:c r="O43" s="24" t="str">
        <x:v>43.0</x:v>
      </x:c>
      <x:c r="P43" s="24" t="str">
        <x:v>83.0</x:v>
      </x:c>
      <x:c r="Q43" s="24" t="str">
        <x:v>65.87</x:v>
      </x:c>
      <x:c r="R43" s="24" t="str">
        <x:v>65.265816</x:v>
      </x:c>
      <x:c r="S43" s="24" t="str">
        <x:v>6.3</x:v>
      </x:c>
      <x:c r="T43" s="24" t="str">
        <x:v>71.6</x:v>
      </x:c>
      <x:c r="U43" s="24" t="str">
        <x:v>11.0</x:v>
      </x:c>
      <x:c r="V43" s="24" t="str">
        <x:v>11.434183999999998</x:v>
      </x:c>
      <x:c r="W43" s="24" t="str">
        <x:v>11.434183999999998</x:v>
      </x:c>
      <x:c r="X43" s="24" t="str"/>
      <x:c r="Y43" s="24" t="str"/>
      <x:c r="Z43" s="24" t="str"/>
      <x:c r="AA43" s="24" t="str">
        <x:v>0.0</x:v>
      </x:c>
      <x:c r="AB43" s="24" t="str"/>
      <x:c r="AC43" s="24" t="str">
        <x:v>0.0</x:v>
      </x:c>
      <x:c r="AD43" s="24" t="str">
        <x:v>reported</x:v>
      </x:c>
      <x:c r="AE43" s="24" t="str">
        <x:v>missing</x:v>
      </x:c>
      <x:c r="AF43" s="24" t="str">
        <x:v>薑汁黑糖_None_None_126.0</x:v>
      </x:c>
      <x:c r="AG43" s="24" t="str">
        <x:v>missing_spec</x:v>
      </x:c>
    </x:row>
    <x:row r="44">
      <x:c r="A44" s="24" t="str">
        <x:v>鐵比倫-產品成本結構試算.xlsx - 2025 營收銷量(原始檔案).csv</x:v>
      </x:c>
      <x:c r="B44" s="24" t="str">
        <x:v>47</x:v>
      </x:c>
      <x:c r="C44" s="24" t="str"/>
      <x:c r="D44" s="24" t="str"/>
      <x:c r="E44" s="24" t="str">
        <x:v>未分類</x:v>
      </x:c>
      <x:c r="F44" s="24" t="str"/>
      <x:c r="G44" s="24" t="str">
        <x:v>桂圓黑糖</x:v>
      </x:c>
      <x:c r="H44" s="24" t="str">
        <x:v>桂圓黑糖</x:v>
      </x:c>
      <x:c r="I44" s="24" t="str"/>
      <x:c r="J44" s="24" t="str"/>
      <x:c r="K44" s="24" t="str"/>
      <x:c r="L44" s="24" t="str"/>
      <x:c r="M44" s="24" t="str"/>
      <x:c r="N44" s="24" t="str">
        <x:v>126.0</x:v>
      </x:c>
      <x:c r="O44" s="24" t="str">
        <x:v>43.0</x:v>
      </x:c>
      <x:c r="P44" s="24" t="str">
        <x:v>83.0</x:v>
      </x:c>
      <x:c r="Q44" s="24" t="str">
        <x:v>65.87</x:v>
      </x:c>
      <x:c r="R44" s="24" t="str">
        <x:v>65.265816</x:v>
      </x:c>
      <x:c r="S44" s="24" t="str">
        <x:v>6.3</x:v>
      </x:c>
      <x:c r="T44" s="24" t="str">
        <x:v>71.6</x:v>
      </x:c>
      <x:c r="U44" s="24" t="str">
        <x:v>11.0</x:v>
      </x:c>
      <x:c r="V44" s="24" t="str">
        <x:v>11.434183999999998</x:v>
      </x:c>
      <x:c r="W44" s="24" t="str">
        <x:v>11.434183999999998</x:v>
      </x:c>
      <x:c r="X44" s="24" t="str"/>
      <x:c r="Y44" s="24" t="str"/>
      <x:c r="Z44" s="24" t="str"/>
      <x:c r="AA44" s="24" t="str">
        <x:v>0.0</x:v>
      </x:c>
      <x:c r="AB44" s="24" t="str"/>
      <x:c r="AC44" s="24" t="str">
        <x:v>0.0</x:v>
      </x:c>
      <x:c r="AD44" s="24" t="str">
        <x:v>reported</x:v>
      </x:c>
      <x:c r="AE44" s="24" t="str">
        <x:v>missing</x:v>
      </x:c>
      <x:c r="AF44" s="24" t="str">
        <x:v>桂圓黑糖_None_None_126.0</x:v>
      </x:c>
      <x:c r="AG44" s="24" t="str">
        <x:v>missing_spec</x:v>
      </x:c>
    </x:row>
    <x:row r="45">
      <x:c r="A45" s="24" t="str">
        <x:v>鐵比倫-產品成本結構試算.xlsx - 2025 營收銷量(原始檔案).csv</x:v>
      </x:c>
      <x:c r="B45" s="24" t="str">
        <x:v>48</x:v>
      </x:c>
      <x:c r="C45" s="24" t="str"/>
      <x:c r="D45" s="24" t="str"/>
      <x:c r="E45" s="24" t="str">
        <x:v>未分類</x:v>
      </x:c>
      <x:c r="F45" s="24" t="str"/>
      <x:c r="G45" s="24" t="str">
        <x:v>玫瑰四物黑糖</x:v>
      </x:c>
      <x:c r="H45" s="24" t="str">
        <x:v>玫瑰四物黑糖</x:v>
      </x:c>
      <x:c r="I45" s="24" t="str"/>
      <x:c r="J45" s="24" t="str"/>
      <x:c r="K45" s="24" t="str"/>
      <x:c r="L45" s="24" t="str"/>
      <x:c r="M45" s="24" t="str"/>
      <x:c r="N45" s="24" t="str">
        <x:v>126.0</x:v>
      </x:c>
      <x:c r="O45" s="24" t="str">
        <x:v>43.0</x:v>
      </x:c>
      <x:c r="P45" s="24" t="str">
        <x:v>83.0</x:v>
      </x:c>
      <x:c r="Q45" s="24" t="str">
        <x:v>65.87</x:v>
      </x:c>
      <x:c r="R45" s="24" t="str">
        <x:v>65.265816</x:v>
      </x:c>
      <x:c r="S45" s="24" t="str">
        <x:v>6.3</x:v>
      </x:c>
      <x:c r="T45" s="24" t="str">
        <x:v>71.6</x:v>
      </x:c>
      <x:c r="U45" s="24" t="str">
        <x:v>11.0</x:v>
      </x:c>
      <x:c r="V45" s="24" t="str">
        <x:v>11.434183999999998</x:v>
      </x:c>
      <x:c r="W45" s="24" t="str">
        <x:v>11.434183999999998</x:v>
      </x:c>
      <x:c r="X45" s="24" t="str"/>
      <x:c r="Y45" s="24" t="str"/>
      <x:c r="Z45" s="24" t="str"/>
      <x:c r="AA45" s="24" t="str">
        <x:v>0.0</x:v>
      </x:c>
      <x:c r="AB45" s="24" t="str"/>
      <x:c r="AC45" s="24" t="str">
        <x:v>0.0</x:v>
      </x:c>
      <x:c r="AD45" s="24" t="str">
        <x:v>reported</x:v>
      </x:c>
      <x:c r="AE45" s="24" t="str">
        <x:v>missing</x:v>
      </x:c>
      <x:c r="AF45" s="24" t="str">
        <x:v>玫瑰四物黑糖_None_None_126.0</x:v>
      </x:c>
      <x:c r="AG45" s="24" t="str">
        <x:v>missing_spec</x:v>
      </x:c>
    </x:row>
    <x:row r="46">
      <x:c r="A46" s="24" t="str">
        <x:v>鐵比倫-產品成本結構試算.xlsx - 2025 營收銷量(原始檔案).csv</x:v>
      </x:c>
      <x:c r="B46" s="24" t="str">
        <x:v>49</x:v>
      </x:c>
      <x:c r="C46" s="24" t="str"/>
      <x:c r="D46" s="24" t="str"/>
      <x:c r="E46" s="24" t="str">
        <x:v>未分類</x:v>
      </x:c>
      <x:c r="F46" s="24" t="str"/>
      <x:c r="G46" s="24" t="str">
        <x:v>桂圓紅棗薑</x:v>
      </x:c>
      <x:c r="H46" s="24" t="str">
        <x:v>桂圓紅棗薑</x:v>
      </x:c>
      <x:c r="I46" s="24" t="str"/>
      <x:c r="J46" s="24" t="str"/>
      <x:c r="K46" s="24" t="str"/>
      <x:c r="L46" s="24" t="str"/>
      <x:c r="M46" s="24" t="str"/>
      <x:c r="N46" s="24" t="str">
        <x:v>126.0</x:v>
      </x:c>
      <x:c r="O46" s="24" t="str">
        <x:v>43.0</x:v>
      </x:c>
      <x:c r="P46" s="24" t="str">
        <x:v>83.0</x:v>
      </x:c>
      <x:c r="Q46" s="24" t="str">
        <x:v>65.87</x:v>
      </x:c>
      <x:c r="R46" s="24" t="str">
        <x:v>65.265816</x:v>
      </x:c>
      <x:c r="S46" s="24" t="str">
        <x:v>6.3</x:v>
      </x:c>
      <x:c r="T46" s="24" t="str">
        <x:v>71.6</x:v>
      </x:c>
      <x:c r="U46" s="24" t="str">
        <x:v>11.0</x:v>
      </x:c>
      <x:c r="V46" s="24" t="str">
        <x:v>11.434183999999998</x:v>
      </x:c>
      <x:c r="W46" s="24" t="str">
        <x:v>11.434183999999998</x:v>
      </x:c>
      <x:c r="X46" s="24" t="str"/>
      <x:c r="Y46" s="24" t="str"/>
      <x:c r="Z46" s="24" t="str"/>
      <x:c r="AA46" s="24" t="str">
        <x:v>0.0</x:v>
      </x:c>
      <x:c r="AB46" s="24" t="str"/>
      <x:c r="AC46" s="24" t="str">
        <x:v>0.0</x:v>
      </x:c>
      <x:c r="AD46" s="24" t="str">
        <x:v>reported</x:v>
      </x:c>
      <x:c r="AE46" s="24" t="str">
        <x:v>missing</x:v>
      </x:c>
      <x:c r="AF46" s="24" t="str">
        <x:v>桂圓紅棗薑_None_None_126.0</x:v>
      </x:c>
      <x:c r="AG46" s="24" t="str">
        <x:v>missing_spec</x:v>
      </x:c>
    </x:row>
    <x:row r="47">
      <x:c r="A47" s="24" t="str">
        <x:v>鐵比倫-產品成本結構試算.xlsx - 2025 營收銷量(原始檔案).csv</x:v>
      </x:c>
      <x:c r="B47" s="24" t="str">
        <x:v>50</x:v>
      </x:c>
      <x:c r="C47" s="24" t="str"/>
      <x:c r="D47" s="24" t="str"/>
      <x:c r="E47" s="24" t="str">
        <x:v>未分類</x:v>
      </x:c>
      <x:c r="F47" s="24" t="str"/>
      <x:c r="G47" s="24" t="str">
        <x:v>冬瓜</x:v>
      </x:c>
      <x:c r="H47" s="24" t="str">
        <x:v>冬瓜</x:v>
      </x:c>
      <x:c r="I47" s="24" t="str"/>
      <x:c r="J47" s="24" t="str"/>
      <x:c r="K47" s="24" t="str"/>
      <x:c r="L47" s="24" t="str"/>
      <x:c r="M47" s="24" t="str"/>
      <x:c r="N47" s="24" t="str">
        <x:v>126.0</x:v>
      </x:c>
      <x:c r="O47" s="24" t="str">
        <x:v>43.0</x:v>
      </x:c>
      <x:c r="P47" s="24" t="str">
        <x:v>83.0</x:v>
      </x:c>
      <x:c r="Q47" s="24" t="str">
        <x:v>65.87</x:v>
      </x:c>
      <x:c r="R47" s="24" t="str">
        <x:v>65.265816</x:v>
      </x:c>
      <x:c r="S47" s="24" t="str">
        <x:v>6.3</x:v>
      </x:c>
      <x:c r="T47" s="24" t="str">
        <x:v>71.6</x:v>
      </x:c>
      <x:c r="U47" s="24" t="str">
        <x:v>11.0</x:v>
      </x:c>
      <x:c r="V47" s="24" t="str">
        <x:v>11.434183999999998</x:v>
      </x:c>
      <x:c r="W47" s="24" t="str">
        <x:v>11.434183999999998</x:v>
      </x:c>
      <x:c r="X47" s="24" t="str"/>
      <x:c r="Y47" s="24" t="str"/>
      <x:c r="Z47" s="24" t="str"/>
      <x:c r="AA47" s="24" t="str">
        <x:v>0.0</x:v>
      </x:c>
      <x:c r="AB47" s="24" t="str"/>
      <x:c r="AC47" s="24" t="str">
        <x:v>0.0</x:v>
      </x:c>
      <x:c r="AD47" s="24" t="str">
        <x:v>reported</x:v>
      </x:c>
      <x:c r="AE47" s="24" t="str">
        <x:v>missing</x:v>
      </x:c>
      <x:c r="AF47" s="24" t="str">
        <x:v>冬瓜_None_None_126.0</x:v>
      </x:c>
      <x:c r="AG47" s="24" t="str">
        <x:v>missing_spec</x:v>
      </x:c>
    </x:row>
    <x:row r="48">
      <x:c r="A48" s="24" t="str">
        <x:v>鐵比倫-產品成本結構試算.xlsx - 2025 營收銷量(原始檔案).csv</x:v>
      </x:c>
      <x:c r="B48" s="24" t="str">
        <x:v>51</x:v>
      </x:c>
      <x:c r="C48" s="24" t="str">
        <x:v>日月町禮盒組</x:v>
      </x:c>
      <x:c r="D48" s="24" t="str"/>
      <x:c r="E48" s="24" t="str">
        <x:v>通路上架</x:v>
      </x:c>
      <x:c r="F48" s="24" t="str">
        <x:v>日月町</x:v>
      </x:c>
      <x:c r="G48" s="24" t="str">
        <x:v>2入任搭組合</x:v>
      </x:c>
      <x:c r="H48" s="24" t="str">
        <x:v>2入任搭組合</x:v>
      </x:c>
      <x:c r="I48" s="24" t="str">
        <x:v>禮盒</x:v>
      </x:c>
      <x:c r="J48" s="24" t="str"/>
      <x:c r="K48" s="24" t="str"/>
      <x:c r="L48" s="24" t="str"/>
      <x:c r="M48" s="24" t="str"/>
      <x:c r="N48" s="24" t="str">
        <x:v>301.0</x:v>
      </x:c>
      <x:c r="O48" s="24" t="str">
        <x:v>172.0</x:v>
      </x:c>
      <x:c r="P48" s="24" t="str">
        <x:v>129.0</x:v>
      </x:c>
      <x:c r="Q48" s="24" t="str">
        <x:v>42.86</x:v>
      </x:c>
      <x:c r="R48" s="24" t="str">
        <x:v>155.9127827</x:v>
      </x:c>
      <x:c r="S48" s="24" t="str">
        <x:v>15.05</x:v>
      </x:c>
      <x:c r="T48" s="24" t="str">
        <x:v>171.0</x:v>
      </x:c>
      <x:c r="U48" s="24" t="str">
        <x:v>-42.0</x:v>
      </x:c>
      <x:c r="V48" s="24" t="str">
        <x:v>-41.962782700000005</x:v>
      </x:c>
      <x:c r="W48" s="24" t="str">
        <x:v>-41.962782700000005</x:v>
      </x:c>
      <x:c r="X48" s="24" t="str"/>
      <x:c r="Y48" s="24" t="str"/>
      <x:c r="Z48" s="24" t="str"/>
      <x:c r="AA48" s="24" t="str">
        <x:v>0.0</x:v>
      </x:c>
      <x:c r="AB48" s="24" t="str"/>
      <x:c r="AC48" s="24" t="str">
        <x:v>0.0</x:v>
      </x:c>
      <x:c r="AD48" s="24" t="str">
        <x:v>reported</x:v>
      </x:c>
      <x:c r="AE48" s="24" t="str">
        <x:v>missing</x:v>
      </x:c>
      <x:c r="AF48" s="24" t="str">
        <x:v>2入任搭組合_日月町_禮盒_301.0</x:v>
      </x:c>
      <x:c r="AG48" s="24" t="str">
        <x:v>missing_spec;negative_profit</x:v>
      </x:c>
    </x:row>
    <x:row r="49">
      <x:c r="A49" s="24" t="str">
        <x:v>鐵比倫-產品成本結構試算.xlsx - 2025 營收銷量(原始檔案).csv</x:v>
      </x:c>
      <x:c r="B49" s="24" t="str">
        <x:v>52</x:v>
      </x:c>
      <x:c r="C49" s="24" t="str">
        <x:v>OEM：客戶提供產品規格、設計圖、配方，我們依照客戶需求生產。</x:v>
      </x:c>
      <x:c r="D49" s="24" t="str"/>
      <x:c r="E49" s="24" t="str">
        <x:v>未分類</x:v>
      </x:c>
      <x:c r="F49" s="24" t="str"/>
      <x:c r="G49" s="24" t="str"/>
      <x:c r="H49" s="24" t="str"/>
      <x:c r="I49" s="24" t="str"/>
      <x:c r="J49" s="24" t="str"/>
      <x:c r="K49" s="24" t="str"/>
      <x:c r="L49" s="24" t="str"/>
      <x:c r="M49" s="24" t="str"/>
      <x:c r="N49" s="24" t="str"/>
      <x:c r="O49" s="24" t="str"/>
      <x:c r="P49" s="24" t="str"/>
      <x:c r="Q49" s="24" t="str"/>
      <x:c r="R49" s="24" t="str"/>
      <x:c r="S49" s="24" t="str"/>
      <x:c r="T49" s="24" t="str"/>
      <x:c r="U49" s="24" t="str"/>
      <x:c r="V49" s="24" t="str"/>
      <x:c r="W49" s="24" t="str"/>
      <x:c r="X49" s="24" t="str"/>
      <x:c r="Y49" s="24" t="str"/>
      <x:c r="Z49" s="24" t="str"/>
      <x:c r="AA49" s="24" t="str"/>
      <x:c r="AB49" s="24" t="str"/>
      <x:c r="AC49" s="24" t="str"/>
      <x:c r="AD49" s="24" t="str">
        <x:v>missing</x:v>
      </x:c>
      <x:c r="AE49" s="24" t="str">
        <x:v>missing</x:v>
      </x:c>
      <x:c r="AF49" s="24" t="str">
        <x:v>_None_None_None</x:v>
      </x:c>
      <x:c r="AG49" s="24" t="str">
        <x:v>missing_price;missing_cost;missing_spec</x:v>
      </x:c>
    </x:row>
    <x:row r="50">
      <x:c r="A50" s="24" t="str">
        <x:v>鐵比倫-產品成本結構試算.xlsx - 2025 營收銷量(原始檔案).csv</x:v>
      </x:c>
      <x:c r="B50" s="24" t="str">
        <x:v>53</x:v>
      </x:c>
      <x:c r="C50" s="24" t="str">
        <x:v>科技中藥廠</x:v>
      </x:c>
      <x:c r="D50" s="24" t="str">
        <x:v>40台斤(一箱)</x:v>
      </x:c>
      <x:c r="E50" s="24" t="str">
        <x:v>OEM</x:v>
      </x:c>
      <x:c r="F50" s="24" t="str">
        <x:v>科技中藥廠</x:v>
      </x:c>
      <x:c r="G50" s="24" t="str">
        <x:v>黑糖薑母茶</x:v>
      </x:c>
      <x:c r="H50" s="24" t="str">
        <x:v>黑糖薑母茶</x:v>
      </x:c>
      <x:c r="I50" s="24" t="str">
        <x:v>薑母茶</x:v>
      </x:c>
      <x:c r="J50" s="24" t="str"/>
      <x:c r="K50" s="24" t="str"/>
      <x:c r="L50" s="24" t="str"/>
      <x:c r="M50" s="24" t="str">
        <x:v>2360.0</x:v>
      </x:c>
      <x:c r="N50" s="24" t="str">
        <x:v>112.0</x:v>
      </x:c>
      <x:c r="O50" s="24" t="str">
        <x:v>46.0</x:v>
      </x:c>
      <x:c r="P50" s="24" t="str">
        <x:v>66.0</x:v>
      </x:c>
      <x:c r="Q50" s="24" t="str">
        <x:v>58.93</x:v>
      </x:c>
      <x:c r="R50" s="24" t="str">
        <x:v>58.01405867</x:v>
      </x:c>
      <x:c r="S50" s="24" t="str">
        <x:v>5.6</x:v>
      </x:c>
      <x:c r="T50" s="24" t="str">
        <x:v>63.6</x:v>
      </x:c>
      <x:c r="U50" s="24" t="str">
        <x:v>2.0</x:v>
      </x:c>
      <x:c r="V50" s="24" t="str">
        <x:v>2.385941330000003</x:v>
      </x:c>
      <x:c r="W50" s="24" t="str">
        <x:v>2.385941330000003</x:v>
      </x:c>
      <x:c r="X50" s="24" t="str"/>
      <x:c r="Y50" s="24" t="str">
        <x:v>5630.821538800007</x:v>
      </x:c>
      <x:c r="Z50" s="24" t="str">
        <x:v>5630.821538800007</x:v>
      </x:c>
      <x:c r="AA50" s="24" t="str"/>
      <x:c r="AB50" s="24" t="str">
        <x:v>264320.0</x:v>
      </x:c>
      <x:c r="AC50" s="24" t="str">
        <x:v>264320.0</x:v>
      </x:c>
      <x:c r="AD50" s="24" t="str">
        <x:v>calculated</x:v>
      </x:c>
      <x:c r="AE50" s="24" t="str">
        <x:v>calculated</x:v>
      </x:c>
      <x:c r="AF50" s="24" t="str">
        <x:v>黑糖薑母茶_科技中藥廠_薑母茶_112.0</x:v>
      </x:c>
      <x:c r="AG50" s="24" t="str">
        <x:v>calculated_revenue;calculated_profit;missing_spec</x:v>
      </x:c>
    </x:row>
    <x:row r="51">
      <x:c r="A51" s="24" t="str">
        <x:v>鐵比倫-產品成本結構試算.xlsx - 2025 營收銷量(原始檔案).csv</x:v>
      </x:c>
      <x:c r="B51" s="24" t="str">
        <x:v>110</x:v>
      </x:c>
      <x:c r="C51" s="24" t="str"/>
      <x:c r="D51" s="24" t="str">
        <x:v>競品</x:v>
      </x:c>
      <x:c r="E51" s="24" t="str">
        <x:v>未分類</x:v>
      </x:c>
      <x:c r="F51" s="24" t="str"/>
      <x:c r="G51" s="24" t="str"/>
      <x:c r="H51" s="24" t="str"/>
      <x:c r="I51" s="24" t="str"/>
      <x:c r="J51" s="24" t="str"/>
      <x:c r="K51" s="24" t="str"/>
      <x:c r="L51" s="24" t="str"/>
      <x:c r="M51" s="24" t="str"/>
      <x:c r="N51" s="24" t="str"/>
      <x:c r="O51" s="24" t="str"/>
      <x:c r="P51" s="24" t="str"/>
      <x:c r="Q51" s="24" t="str"/>
      <x:c r="R51" s="24" t="str"/>
      <x:c r="S51" s="24" t="str"/>
      <x:c r="T51" s="24" t="str"/>
      <x:c r="U51" s="24" t="str"/>
      <x:c r="V51" s="24" t="str"/>
      <x:c r="W51" s="24" t="str"/>
      <x:c r="X51" s="24" t="str"/>
      <x:c r="Y51" s="24" t="str"/>
      <x:c r="Z51" s="24" t="str"/>
      <x:c r="AA51" s="24" t="str"/>
      <x:c r="AB51" s="24" t="str"/>
      <x:c r="AC51" s="24" t="str"/>
      <x:c r="AD51" s="24" t="str">
        <x:v>missing</x:v>
      </x:c>
      <x:c r="AE51" s="24" t="str">
        <x:v>missing</x:v>
      </x:c>
      <x:c r="AF51" s="24" t="str">
        <x:v>_None_None_None</x:v>
      </x:c>
      <x:c r="AG51" s="24" t="str">
        <x:v>missing_price;missing_cost;missing_spec</x:v>
      </x:c>
    </x:row>
    <x:row r="52">
      <x:c r="A52" s="24" t="str">
        <x:v>鐵比倫-產品成本結構試算.xlsx - 2025 營收銷量(原始檔案).csv</x:v>
      </x:c>
      <x:c r="B52" s="24" t="str">
        <x:v>111</x:v>
      </x:c>
      <x:c r="C52" s="24" t="str"/>
      <x:c r="D52" s="24" t="str">
        <x:v>就是愛海鮮</x:v>
      </x:c>
      <x:c r="E52" s="24" t="str">
        <x:v>未分類</x:v>
      </x:c>
      <x:c r="F52" s="24" t="str"/>
      <x:c r="G52" s="24" t="str">
        <x:v>海陸奢華霸王組8~10人
贈玫瑰鹽一罐(市價89元)</x:v>
      </x:c>
      <x:c r="H52" s="24" t="str">
        <x:v>海陸奢華霸王組8~10人
贈玫瑰鹽一罐(市價89元)</x:v>
      </x:c>
      <x:c r="I52" s="24" t="str"/>
      <x:c r="J52" s="24" t="str"/>
      <x:c r="K52" s="24" t="str"/>
      <x:c r="L52" s="24" t="str"/>
      <x:c r="M52" s="24" t="str">
        <x:v>6680.0</x:v>
      </x:c>
      <x:c r="N52" s="24" t="str">
        <x:v>5680.0</x:v>
      </x:c>
      <x:c r="O52" s="24" t="str"/>
      <x:c r="P52" s="24" t="str"/>
      <x:c r="Q52" s="24" t="str"/>
      <x:c r="R52" s="24" t="str"/>
      <x:c r="S52" s="24" t="str"/>
      <x:c r="T52" s="24" t="str"/>
      <x:c r="U52" s="24" t="str"/>
      <x:c r="V52" s="24" t="str"/>
      <x:c r="W52" s="24" t="str"/>
      <x:c r="X52" s="24" t="str"/>
      <x:c r="Y52" s="24" t="str"/>
      <x:c r="Z52" s="24" t="str"/>
      <x:c r="AA52" s="24" t="str"/>
      <x:c r="AB52" s="24" t="str">
        <x:v>37942400.0</x:v>
      </x:c>
      <x:c r="AC52" s="24" t="str">
        <x:v>37942400.0</x:v>
      </x:c>
      <x:c r="AD52" s="24" t="str">
        <x:v>calculated</x:v>
      </x:c>
      <x:c r="AE52" s="24" t="str">
        <x:v>missing</x:v>
      </x:c>
      <x:c r="AF52" s="24" t="str">
        <x:v>海陸奢華霸王組8~10人
贈玫瑰鹽一罐(市價89元)_None_None_5680.0</x:v>
      </x:c>
      <x:c r="AG52" s="24" t="str">
        <x:v>calculated_revenue;missing_cost;missing_spec</x:v>
      </x:c>
    </x:row>
    <x:row r="53">
      <x:c r="A53" s="24" t="str">
        <x:v>鐵比倫-產品成本結構試算.xlsx - 2025 營收銷量(原始檔案).csv</x:v>
      </x:c>
      <x:c r="B53" s="24" t="str">
        <x:v>112</x:v>
      </x:c>
      <x:c r="C53" s="24" t="str"/>
      <x:c r="D53" s="24" t="str">
        <x:v>真美味</x:v>
      </x:c>
      <x:c r="E53" s="24" t="str">
        <x:v>未分類</x:v>
      </x:c>
      <x:c r="F53" s="24" t="str"/>
      <x:c r="G53" s="24" t="str">
        <x:v>五星級海陸烤肉組(5-8人份)</x:v>
      </x:c>
      <x:c r="H53" s="24" t="str">
        <x:v>五星級海陸烤肉組(5-8人份)</x:v>
      </x:c>
      <x:c r="I53" s="24" t="str"/>
      <x:c r="J53" s="24" t="str"/>
      <x:c r="K53" s="24" t="str"/>
      <x:c r="L53" s="24" t="str"/>
      <x:c r="M53" s="24" t="str">
        <x:v>1688.0</x:v>
      </x:c>
      <x:c r="N53" s="24" t="str">
        <x:v>1570.0</x:v>
      </x:c>
      <x:c r="O53" s="24" t="str"/>
      <x:c r="P53" s="24" t="str"/>
      <x:c r="Q53" s="24" t="str"/>
      <x:c r="R53" s="24" t="str"/>
      <x:c r="S53" s="24" t="str"/>
      <x:c r="T53" s="24" t="str"/>
      <x:c r="U53" s="24" t="str"/>
      <x:c r="V53" s="24" t="str"/>
      <x:c r="W53" s="24" t="str"/>
      <x:c r="X53" s="24" t="str"/>
      <x:c r="Y53" s="24" t="str"/>
      <x:c r="Z53" s="24" t="str"/>
      <x:c r="AA53" s="24" t="str"/>
      <x:c r="AB53" s="24" t="str">
        <x:v>2650160.0</x:v>
      </x:c>
      <x:c r="AC53" s="24" t="str">
        <x:v>2650160.0</x:v>
      </x:c>
      <x:c r="AD53" s="24" t="str">
        <x:v>calculated</x:v>
      </x:c>
      <x:c r="AE53" s="24" t="str">
        <x:v>missing</x:v>
      </x:c>
      <x:c r="AF53" s="24" t="str">
        <x:v>五星級海陸烤肉組(5-8人份)_None_None_1570.0</x:v>
      </x:c>
      <x:c r="AG53" s="24" t="str">
        <x:v>calculated_revenue;missing_cost;missing_spec</x:v>
      </x:c>
    </x:row>
    <x:row r="54">
      <x:c r="A54" s="24" t="str">
        <x:v>鐵比倫-產品成本結構試算.xlsx - 2025 營收銷量(原始檔案).csv</x:v>
      </x:c>
      <x:c r="B54" s="24" t="str">
        <x:v>113</x:v>
      </x:c>
      <x:c r="C54" s="24" t="str"/>
      <x:c r="D54" s="24" t="str">
        <x:v>達米肉舖</x:v>
      </x:c>
      <x:c r="E54" s="24" t="str">
        <x:v>未分類</x:v>
      </x:c>
      <x:c r="F54" s="24" t="str"/>
      <x:c r="G54" s="24" t="str">
        <x:v>超值燒肉烤肉組</x:v>
      </x:c>
      <x:c r="H54" s="24" t="str">
        <x:v>超值燒肉烤肉組</x:v>
      </x:c>
      <x:c r="I54" s="24" t="str"/>
      <x:c r="J54" s="24" t="str"/>
      <x:c r="K54" s="24" t="str"/>
      <x:c r="L54" s="24" t="str"/>
      <x:c r="M54" s="24" t="str">
        <x:v>2000.0</x:v>
      </x:c>
      <x:c r="N54" s="24" t="str">
        <x:v>2000.0</x:v>
      </x:c>
      <x:c r="O54" s="24" t="str"/>
      <x:c r="P54" s="24" t="str"/>
      <x:c r="Q54" s="24" t="str"/>
      <x:c r="R54" s="24" t="str"/>
      <x:c r="S54" s="24" t="str"/>
      <x:c r="T54" s="24" t="str"/>
      <x:c r="U54" s="24" t="str"/>
      <x:c r="V54" s="24" t="str"/>
      <x:c r="W54" s="24" t="str"/>
      <x:c r="X54" s="24" t="str"/>
      <x:c r="Y54" s="24" t="str"/>
      <x:c r="Z54" s="24" t="str"/>
      <x:c r="AA54" s="24" t="str"/>
      <x:c r="AB54" s="24" t="str">
        <x:v>4000000.0</x:v>
      </x:c>
      <x:c r="AC54" s="24" t="str">
        <x:v>4000000.0</x:v>
      </x:c>
      <x:c r="AD54" s="24" t="str">
        <x:v>calculated</x:v>
      </x:c>
      <x:c r="AE54" s="24" t="str">
        <x:v>missing</x:v>
      </x:c>
      <x:c r="AF54" s="24" t="str">
        <x:v>超值燒肉烤肉組_None_None_2000.0</x:v>
      </x:c>
      <x:c r="AG54" s="24" t="str">
        <x:v>calculated_revenue;missing_cost;missing_spec</x:v>
      </x:c>
    </x:row>
    <x:row r="55">
      <x:c r="A55" s="24" t="str">
        <x:v>鐵比倫-產品成本結構試算.xlsx - 2025 營收銷量(原始檔案).csv</x:v>
      </x:c>
      <x:c r="B55" s="24" t="str">
        <x:v>114</x:v>
      </x:c>
      <x:c r="C55" s="24" t="str"/>
      <x:c r="D55" s="24" t="str">
        <x:v>愛上吃肉</x:v>
      </x:c>
      <x:c r="E55" s="24" t="str">
        <x:v>未分類</x:v>
      </x:c>
      <x:c r="F55" s="24" t="str"/>
      <x:c r="G55" s="24" t="str">
        <x:v>中秋烤肉海陸豪華14件組(約5-7人/份)</x:v>
      </x:c>
      <x:c r="H55" s="24" t="str">
        <x:v>中秋烤肉海陸豪華14件組(約5-7人/份)</x:v>
      </x:c>
      <x:c r="I55" s="24" t="str"/>
      <x:c r="J55" s="24" t="str"/>
      <x:c r="K55" s="24" t="str"/>
      <x:c r="L55" s="24" t="str"/>
      <x:c r="M55" s="24" t="str">
        <x:v>2390.0</x:v>
      </x:c>
      <x:c r="N55" s="24" t="str">
        <x:v>1580.0</x:v>
      </x:c>
      <x:c r="O55" s="24" t="str"/>
      <x:c r="P55" s="24" t="str"/>
      <x:c r="Q55" s="24" t="str"/>
      <x:c r="R55" s="24" t="str"/>
      <x:c r="S55" s="24" t="str"/>
      <x:c r="T55" s="24" t="str"/>
      <x:c r="U55" s="24" t="str"/>
      <x:c r="V55" s="24" t="str"/>
      <x:c r="W55" s="24" t="str"/>
      <x:c r="X55" s="24" t="str"/>
      <x:c r="Y55" s="24" t="str"/>
      <x:c r="Z55" s="24" t="str"/>
      <x:c r="AA55" s="24" t="str"/>
      <x:c r="AB55" s="24" t="str">
        <x:v>3776200.0</x:v>
      </x:c>
      <x:c r="AC55" s="24" t="str">
        <x:v>3776200.0</x:v>
      </x:c>
      <x:c r="AD55" s="24" t="str">
        <x:v>calculated</x:v>
      </x:c>
      <x:c r="AE55" s="24" t="str">
        <x:v>missing</x:v>
      </x:c>
      <x:c r="AF55" s="24" t="str">
        <x:v>中秋烤肉海陸豪華14件組(約5-7人/份)_None_None_1580.0</x:v>
      </x:c>
      <x:c r="AG55" s="24" t="str">
        <x:v>calculated_revenue;missing_cost;missing_spec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899999618530273" hidden="0" customWidth="1"/>
    <x:col min="2" max="2" width="24.899999618530273" hidden="0" customWidth="1"/>
    <x:col min="3" max="3" width="24.899999618530273" hidden="0" customWidth="1"/>
    <x:col min="4" max="4" width="14.130000114440918" hidden="0" customWidth="1"/>
    <x:col min="5" max="5" width="14.130000114440918" hidden="0" customWidth="1"/>
    <x:col min="6" max="6" width="14.130000114440918" hidden="0" customWidth="1"/>
    <x:col min="7" max="7" width="14.130000114440918" hidden="0" customWidth="1"/>
    <x:col min="8" max="8" width="14.130000114440918" hidden="0" customWidth="1"/>
    <x:col min="9" max="9" width="14.130000114440918" hidden="0" customWidth="1"/>
    <x:col min="10" max="10" width="14.130000114440918" hidden="0" customWidth="1"/>
    <x:col min="11" max="11" width="14.130000114440918" hidden="0" customWidth="1"/>
    <x:col min="12" max="12" width="14.130000114440918" hidden="0" customWidth="1"/>
    <x:col min="13" max="13" width="14.130000114440918" hidden="0" customWidth="1"/>
    <x:col min="14" max="14" width="14.130000114440918" hidden="0" customWidth="1"/>
    <x:col min="15" max="15" width="14.130000114440918" hidden="0" customWidth="1"/>
    <x:col min="16" max="16" width="14.130000114440918" hidden="0" customWidth="1"/>
    <x:col min="17" max="17" width="14.130000114440918" hidden="0" customWidth="1"/>
  </x:cols>
  <x:sheetData>
    <x:row r="1">
      <x:c r="A1" s="43" t="str"/>
      <x:c r="B1" s="43" t="str">
        <x:v>請填寫黃底欄位，其餘欄位勿動，各費用占比請於分頁1調整</x:v>
      </x:c>
      <x:c r="C1" s="43" t="str"/>
      <x:c r="D1" s="43" t="str"/>
      <x:c r="E1" s="43" t="str"/>
      <x:c r="F1" s="43" t="str"/>
      <x:c r="G1" s="43" t="str"/>
      <x:c r="H1" s="43" t="str"/>
      <x:c r="I1" s="43" t="str"/>
      <x:c r="J1" s="43" t="str"/>
      <x:c r="K1" s="43" t="str"/>
      <x:c r="L1" s="43" t="str"/>
      <x:c r="M1" s="43" t="str"/>
      <x:c r="N1" s="43" t="str"/>
      <x:c r="O1" s="43" t="str"/>
      <x:c r="P1" s="43" t="str"/>
      <x:c r="Q1" s="43" t="str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str"/>
      <x:c r="B2" s="24" t="str">
        <x:v>產品成本：讓產品可直接販售產生的所有成本 (原料/外包裝/製作人事/製造設備攤提折舊..等）</x:v>
      </x:c>
      <x:c r="C2" s="24" t="str"/>
      <x:c r="D2" s="24" t="str"/>
      <x:c r="E2" s="24" t="str"/>
      <x:c r="F2" s="24" t="str"/>
      <x:c r="G2" s="24" t="str"/>
      <x:c r="H2" s="24" t="str"/>
      <x:c r="I2" s="24" t="str"/>
      <x:c r="J2" s="24" t="str"/>
      <x:c r="K2" s="24" t="str"/>
      <x:c r="L2" s="24" t="str"/>
      <x:c r="M2" s="24" t="str"/>
      <x:c r="N2" s="24" t="str"/>
      <x:c r="O2" s="24" t="str"/>
      <x:c r="P2" s="24" t="str"/>
      <x:c r="Q2" s="24" t="str"/>
    </x:row>
    <x:row r="3">
      <x:c r="A3" s="24" t="str">
        <x:v>產品</x:v>
      </x:c>
      <x:c r="B3" s="24" t="str"/>
      <x:c r="C3" s="24" t="str"/>
      <x:c r="D3" s="24" t="str"/>
      <x:c r="E3" s="24" t="str"/>
      <x:c r="F3" s="24" t="str"/>
      <x:c r="G3" s="24" t="str"/>
      <x:c r="H3" s="24" t="str"/>
      <x:c r="I3" s="24" t="str"/>
      <x:c r="J3" s="24" t="str">
        <x:v>銷售費用</x:v>
      </x:c>
      <x:c r="K3" s="24" t="str"/>
      <x:c r="L3" s="24" t="str"/>
      <x:c r="M3" s="24" t="str"/>
      <x:c r="N3" s="24" t="str"/>
      <x:c r="O3" s="24" t="str"/>
      <x:c r="P3" s="24" t="str"/>
      <x:c r="Q3" s="24" t="str"/>
    </x:row>
    <x:row r="4">
      <x:c r="A4" s="24" t="str">
        <x:v>通路/規格</x:v>
      </x:c>
      <x:c r="B4" s="24" t="str">
        <x:v>MOQ</x:v>
      </x:c>
      <x:c r="C4" s="24" t="str">
        <x:v>品名</x:v>
      </x:c>
      <x:c r="D4" s="24" t="str">
        <x:v>售價</x:v>
      </x:c>
      <x:c r="E4" s="24" t="str">
        <x:v>批價</x:v>
      </x:c>
      <x:c r="F4" s="24" t="str">
        <x:v>基本折數</x:v>
      </x:c>
      <x:c r="G4" s="24" t="str">
        <x:v>產品成本</x:v>
      </x:c>
      <x:c r="H4" s="24" t="str">
        <x:v>商品毛利</x:v>
      </x:c>
      <x:c r="I4" s="24" t="str">
        <x:v>商品毛利率</x:v>
      </x:c>
      <x:c r="J4" s="24" t="str">
        <x:v>運費負擔</x:v>
      </x:c>
      <x:c r="K4" s="24" t="str">
        <x:v>營業費用</x:v>
      </x:c>
      <x:c r="L4" s="24" t="str">
        <x:v>行銷費用</x:v>
      </x:c>
      <x:c r="M4" s="24" t="str">
        <x:v>金流費用</x:v>
      </x:c>
      <x:c r="N4" s="24" t="str">
        <x:v>發票5%</x:v>
      </x:c>
      <x:c r="O4" s="24" t="str">
        <x:v>費用小計</x:v>
      </x:c>
      <x:c r="P4" s="24" t="str">
        <x:v>淨利</x:v>
      </x:c>
      <x:c r="Q4" s="24" t="str">
        <x:v>淨利率</x:v>
      </x:c>
    </x:row>
    <x:row r="5">
      <x:c r="A5" s="24" t="str">
        <x:v>ODM/貼牌</x:v>
      </x:c>
      <x:c r="B5" s="24" t="str">
        <x:v>品牌方提供產品規格、設計圖、配方，代工廠依此生產。</x:v>
      </x:c>
      <x:c r="C5" s="24" t="str"/>
      <x:c r="D5" s="24" t="str"/>
      <x:c r="E5" s="24" t="str"/>
      <x:c r="F5" s="24" t="str"/>
      <x:c r="G5" s="24" t="str"/>
      <x:c r="H5" s="24" t="str"/>
      <x:c r="I5" s="24" t="str"/>
      <x:c r="J5" s="24" t="str"/>
      <x:c r="K5" s="24" t="str"/>
      <x:c r="L5" s="24" t="str"/>
      <x:c r="M5" s="24" t="str"/>
      <x:c r="N5" s="24" t="str"/>
      <x:c r="O5" s="24" t="str"/>
      <x:c r="P5" s="24" t="str"/>
      <x:c r="Q5" s="24" t="str"/>
    </x:row>
    <x:row r="6">
      <x:c r="A6" s="24" t="str">
        <x:v>批發-台糖
(單顆包裝夾鏈袋260g)
客戶：花蓮糖廠</x:v>
      </x:c>
      <x:c r="B6" s="24" t="str">
        <x:v>長期合作，看他們貨量，有叫就送沒有固定</x:v>
      </x:c>
      <x:c r="C6" s="24" t="str">
        <x:v>原味黑糖</x:v>
      </x:c>
      <x:c r="D6" s="24" t="str"/>
      <x:c r="E6" s="24" t="str">
        <x:v>140</x:v>
      </x:c>
      <x:c r="F6" s="24" t="str"/>
      <x:c r="G6" s="24" t="str">
        <x:v>25</x:v>
      </x:c>
      <x:c r="H6" s="24" t="str">
        <x:v>115</x:v>
      </x:c>
      <x:c r="I6" s="24" t="str">
        <x:v>82.14%</x:v>
      </x:c>
      <x:c r="J6" s="24" t="str">
        <x:v>0.0</x:v>
      </x:c>
      <x:c r="K6" s="24" t="str">
        <x:v>72.51757333</x:v>
      </x:c>
      <x:c r="L6" s="24" t="str">
        <x:v>0</x:v>
      </x:c>
      <x:c r="M6" s="24" t="str">
        <x:v>0</x:v>
      </x:c>
      <x:c r="N6" s="24" t="str">
        <x:v>7</x:v>
      </x:c>
      <x:c r="O6" s="24" t="str">
        <x:v>79.5</x:v>
      </x:c>
      <x:c r="P6" s="24" t="str">
        <x:v>35</x:v>
      </x:c>
      <x:c r="Q6" s="24" t="str">
        <x:v>25.34%</x:v>
      </x:c>
    </x:row>
    <x:row r="7">
      <x:c r="A7" s="24" t="str"/>
      <x:c r="B7" s="24" t="str"/>
      <x:c r="C7" s="24" t="str">
        <x:v>薑汁黑糖</x:v>
      </x:c>
      <x:c r="D7" s="24" t="str"/>
      <x:c r="E7" s="24" t="str">
        <x:v>140</x:v>
      </x:c>
      <x:c r="F7" s="24" t="str"/>
      <x:c r="G7" s="24" t="str">
        <x:v>28</x:v>
      </x:c>
      <x:c r="H7" s="24" t="str">
        <x:v>112</x:v>
      </x:c>
      <x:c r="I7" s="24" t="str">
        <x:v>80.00%</x:v>
      </x:c>
      <x:c r="J7" s="24" t="str">
        <x:v>0.0</x:v>
      </x:c>
      <x:c r="K7" s="24" t="str">
        <x:v>72.51757333</x:v>
      </x:c>
      <x:c r="L7" s="24" t="str">
        <x:v>0</x:v>
      </x:c>
      <x:c r="M7" s="24" t="str">
        <x:v>0</x:v>
      </x:c>
      <x:c r="N7" s="24" t="str">
        <x:v>7</x:v>
      </x:c>
      <x:c r="O7" s="24" t="str">
        <x:v>79.5</x:v>
      </x:c>
      <x:c r="P7" s="24" t="str">
        <x:v>32</x:v>
      </x:c>
      <x:c r="Q7" s="24" t="str">
        <x:v>23.20%</x:v>
      </x:c>
    </x:row>
    <x:row r="8">
      <x:c r="A8" s="24" t="str"/>
      <x:c r="B8" s="24" t="str"/>
      <x:c r="C8" s="24" t="str">
        <x:v>桂圓黑糖</x:v>
      </x:c>
      <x:c r="D8" s="24" t="str"/>
      <x:c r="E8" s="24" t="str">
        <x:v>140</x:v>
      </x:c>
      <x:c r="F8" s="24" t="str"/>
      <x:c r="G8" s="24" t="str">
        <x:v>31</x:v>
      </x:c>
      <x:c r="H8" s="24" t="str">
        <x:v>109</x:v>
      </x:c>
      <x:c r="I8" s="24" t="str">
        <x:v>77.86%</x:v>
      </x:c>
      <x:c r="J8" s="24" t="str">
        <x:v>0.0</x:v>
      </x:c>
      <x:c r="K8" s="24" t="str">
        <x:v>72.51757333</x:v>
      </x:c>
      <x:c r="L8" s="24" t="str">
        <x:v>0</x:v>
      </x:c>
      <x:c r="M8" s="24" t="str">
        <x:v>0</x:v>
      </x:c>
      <x:c r="N8" s="24" t="str">
        <x:v>7</x:v>
      </x:c>
      <x:c r="O8" s="24" t="str">
        <x:v>79.5</x:v>
      </x:c>
      <x:c r="P8" s="24" t="str">
        <x:v>29</x:v>
      </x:c>
      <x:c r="Q8" s="24" t="str">
        <x:v>21.06%</x:v>
      </x:c>
    </x:row>
    <x:row r="9">
      <x:c r="A9" s="24" t="str"/>
      <x:c r="B9" s="24" t="str"/>
      <x:c r="C9" s="24" t="str">
        <x:v>玫瑰四物黑糖</x:v>
      </x:c>
      <x:c r="D9" s="24" t="str"/>
      <x:c r="E9" s="24" t="str">
        <x:v>140</x:v>
      </x:c>
      <x:c r="F9" s="24" t="str"/>
      <x:c r="G9" s="24" t="str">
        <x:v>28</x:v>
      </x:c>
      <x:c r="H9" s="24" t="str">
        <x:v>112</x:v>
      </x:c>
      <x:c r="I9" s="24" t="str">
        <x:v>80.00%</x:v>
      </x:c>
      <x:c r="J9" s="24" t="str">
        <x:v>0.0</x:v>
      </x:c>
      <x:c r="K9" s="24" t="str">
        <x:v>72.51757333</x:v>
      </x:c>
      <x:c r="L9" s="24" t="str">
        <x:v>0</x:v>
      </x:c>
      <x:c r="M9" s="24" t="str">
        <x:v>0</x:v>
      </x:c>
      <x:c r="N9" s="24" t="str">
        <x:v>7</x:v>
      </x:c>
      <x:c r="O9" s="24" t="str">
        <x:v>79.5</x:v>
      </x:c>
      <x:c r="P9" s="24" t="str">
        <x:v>32</x:v>
      </x:c>
      <x:c r="Q9" s="24" t="str">
        <x:v>23.20%</x:v>
      </x:c>
    </x:row>
    <x:row r="10">
      <x:c r="A10" s="24" t="str"/>
      <x:c r="B10" s="24" t="str"/>
      <x:c r="C10" s="24" t="str">
        <x:v>桂圓紅棗薑黑糖</x:v>
      </x:c>
      <x:c r="D10" s="24" t="str">
        <x:v>200</x:v>
      </x:c>
      <x:c r="E10" s="24" t="str">
        <x:v>140</x:v>
      </x:c>
      <x:c r="F10" s="24" t="str">
        <x:v>70%</x:v>
      </x:c>
      <x:c r="G10" s="24" t="str">
        <x:v>31</x:v>
      </x:c>
      <x:c r="H10" s="24" t="str">
        <x:v>109</x:v>
      </x:c>
      <x:c r="I10" s="24" t="str">
        <x:v>77.86%</x:v>
      </x:c>
      <x:c r="J10" s="24" t="str">
        <x:v>0.0</x:v>
      </x:c>
      <x:c r="K10" s="24" t="str">
        <x:v>72.51757333</x:v>
      </x:c>
      <x:c r="L10" s="24" t="str">
        <x:v>0</x:v>
      </x:c>
      <x:c r="M10" s="24" t="str">
        <x:v>0</x:v>
      </x:c>
      <x:c r="N10" s="24" t="str">
        <x:v>7</x:v>
      </x:c>
      <x:c r="O10" s="24" t="str">
        <x:v>79.5</x:v>
      </x:c>
      <x:c r="P10" s="24" t="str">
        <x:v>29</x:v>
      </x:c>
      <x:c r="Q10" s="24" t="str">
        <x:v>21.06%</x:v>
      </x:c>
    </x:row>
    <x:row r="11">
      <x:c r="A11" s="24" t="str"/>
      <x:c r="B11" s="24" t="str"/>
      <x:c r="C11" s="24" t="str">
        <x:v>冬瓜</x:v>
      </x:c>
      <x:c r="D11" s="24" t="str">
        <x:v>200</x:v>
      </x:c>
      <x:c r="E11" s="24" t="str">
        <x:v>140</x:v>
      </x:c>
      <x:c r="F11" s="24" t="str">
        <x:v>70%</x:v>
      </x:c>
      <x:c r="G11" s="24" t="str">
        <x:v>28</x:v>
      </x:c>
      <x:c r="H11" s="24" t="str">
        <x:v>112</x:v>
      </x:c>
      <x:c r="I11" s="24" t="str">
        <x:v>80.00%</x:v>
      </x:c>
      <x:c r="J11" s="24" t="str">
        <x:v>0.0</x:v>
      </x:c>
      <x:c r="K11" s="24" t="str">
        <x:v>72.51757333</x:v>
      </x:c>
      <x:c r="L11" s="24" t="str">
        <x:v>0</x:v>
      </x:c>
      <x:c r="M11" s="24" t="str">
        <x:v>0</x:v>
      </x:c>
      <x:c r="N11" s="24" t="str">
        <x:v>7</x:v>
      </x:c>
      <x:c r="O11" s="24" t="str">
        <x:v>79.5</x:v>
      </x:c>
      <x:c r="P11" s="24" t="str">
        <x:v>32</x:v>
      </x:c>
      <x:c r="Q11" s="24" t="str">
        <x:v>23.20%</x:v>
      </x:c>
    </x:row>
    <x:row r="12">
      <x:c r="A12" s="24" t="str">
        <x:v>批發-台糖
(手切夾鏈袋380g)
客戶：花蓮糖廠</x:v>
      </x:c>
      <x:c r="B12" s="24" t="str">
        <x:v>長期合作，看他們貨量，有叫就送沒有固定</x:v>
      </x:c>
      <x:c r="C12" s="24" t="str">
        <x:v>原味黑糖</x:v>
      </x:c>
      <x:c r="D12" s="24" t="str">
        <x:v>180</x:v>
      </x:c>
      <x:c r="E12" s="24" t="str">
        <x:v>117</x:v>
      </x:c>
      <x:c r="F12" s="24" t="str">
        <x:v>65%</x:v>
      </x:c>
      <x:c r="G12" s="24" t="str">
        <x:v>22</x:v>
      </x:c>
      <x:c r="H12" s="24" t="str">
        <x:v>95</x:v>
      </x:c>
      <x:c r="I12" s="24" t="str">
        <x:v>81.20%</x:v>
      </x:c>
      <x:c r="J12" s="24" t="str">
        <x:v>0.0</x:v>
      </x:c>
      <x:c r="K12" s="24" t="str">
        <x:v>60.603972</x:v>
      </x:c>
      <x:c r="L12" s="24" t="str">
        <x:v>0</x:v>
      </x:c>
      <x:c r="M12" s="24" t="str">
        <x:v>0</x:v>
      </x:c>
      <x:c r="N12" s="24" t="str">
        <x:v>5.85</x:v>
      </x:c>
      <x:c r="O12" s="24" t="str">
        <x:v>66.5</x:v>
      </x:c>
      <x:c r="P12" s="24" t="str">
        <x:v>29</x:v>
      </x:c>
      <x:c r="Q12" s="24" t="str">
        <x:v>24.40%</x:v>
      </x:c>
    </x:row>
    <x:row r="13">
      <x:c r="A13" s="24" t="str"/>
      <x:c r="B13" s="24" t="str"/>
      <x:c r="C13" s="24" t="str">
        <x:v>薑汁黑糖</x:v>
      </x:c>
      <x:c r="D13" s="24" t="str">
        <x:v>180</x:v>
      </x:c>
      <x:c r="E13" s="24" t="str">
        <x:v>117</x:v>
      </x:c>
      <x:c r="F13" s="24" t="str">
        <x:v>65%</x:v>
      </x:c>
      <x:c r="G13" s="24" t="str">
        <x:v>25</x:v>
      </x:c>
      <x:c r="H13" s="24" t="str">
        <x:v>92</x:v>
      </x:c>
      <x:c r="I13" s="24" t="str">
        <x:v>78.63%</x:v>
      </x:c>
      <x:c r="J13" s="24" t="str">
        <x:v>0.0</x:v>
      </x:c>
      <x:c r="K13" s="24" t="str">
        <x:v>60.603972</x:v>
      </x:c>
      <x:c r="L13" s="24" t="str">
        <x:v>0</x:v>
      </x:c>
      <x:c r="M13" s="24" t="str">
        <x:v>0</x:v>
      </x:c>
      <x:c r="N13" s="24" t="str">
        <x:v>5.85</x:v>
      </x:c>
      <x:c r="O13" s="24" t="str">
        <x:v>66.5</x:v>
      </x:c>
      <x:c r="P13" s="24" t="str">
        <x:v>26</x:v>
      </x:c>
      <x:c r="Q13" s="24" t="str">
        <x:v>21.83%</x:v>
      </x:c>
    </x:row>
    <x:row r="14">
      <x:c r="A14" s="24" t="str"/>
      <x:c r="B14" s="24" t="str"/>
      <x:c r="C14" s="24" t="str">
        <x:v>桂圓黑糖</x:v>
      </x:c>
      <x:c r="D14" s="24" t="str">
        <x:v>200</x:v>
      </x:c>
      <x:c r="E14" s="24" t="str">
        <x:v>130</x:v>
      </x:c>
      <x:c r="F14" s="24" t="str">
        <x:v>65%</x:v>
      </x:c>
      <x:c r="G14" s="24" t="str">
        <x:v>30</x:v>
      </x:c>
      <x:c r="H14" s="24" t="str">
        <x:v>100</x:v>
      </x:c>
      <x:c r="I14" s="24" t="str">
        <x:v>76.92%</x:v>
      </x:c>
      <x:c r="J14" s="24" t="str">
        <x:v>0.0</x:v>
      </x:c>
      <x:c r="K14" s="24" t="str">
        <x:v>67.33774667</x:v>
      </x:c>
      <x:c r="L14" s="24" t="str">
        <x:v>0</x:v>
      </x:c>
      <x:c r="M14" s="24" t="str">
        <x:v>0</x:v>
      </x:c>
      <x:c r="N14" s="24" t="str">
        <x:v>6.5</x:v>
      </x:c>
      <x:c r="O14" s="24" t="str">
        <x:v>73.8</x:v>
      </x:c>
      <x:c r="P14" s="24" t="str">
        <x:v>26</x:v>
      </x:c>
      <x:c r="Q14" s="24" t="str">
        <x:v>20.12%</x:v>
      </x:c>
    </x:row>
    <x:row r="15">
      <x:c r="A15" s="24" t="str"/>
      <x:c r="B15" s="24" t="str"/>
      <x:c r="C15" s="24" t="str">
        <x:v>玫瑰四物黑糖</x:v>
      </x:c>
      <x:c r="D15" s="24" t="str">
        <x:v>200</x:v>
      </x:c>
      <x:c r="E15" s="24" t="str">
        <x:v>130</x:v>
      </x:c>
      <x:c r="F15" s="24" t="str">
        <x:v>65%</x:v>
      </x:c>
      <x:c r="G15" s="24" t="str">
        <x:v>24</x:v>
      </x:c>
      <x:c r="H15" s="24" t="str">
        <x:v>106</x:v>
      </x:c>
      <x:c r="I15" s="24" t="str">
        <x:v>81.54%</x:v>
      </x:c>
      <x:c r="J15" s="24" t="str">
        <x:v>0.0</x:v>
      </x:c>
      <x:c r="K15" s="24" t="str">
        <x:v>67.33774667</x:v>
      </x:c>
      <x:c r="L15" s="24" t="str">
        <x:v>0</x:v>
      </x:c>
      <x:c r="M15" s="24" t="str">
        <x:v>0</x:v>
      </x:c>
      <x:c r="N15" s="24" t="str">
        <x:v>6.5</x:v>
      </x:c>
      <x:c r="O15" s="24" t="str">
        <x:v>73.8</x:v>
      </x:c>
      <x:c r="P15" s="24" t="str">
        <x:v>32</x:v>
      </x:c>
      <x:c r="Q15" s="24" t="str">
        <x:v>24.74%</x:v>
      </x:c>
    </x:row>
    <x:row r="16">
      <x:c r="A16" s="24" t="str">
        <x:v>批發-農會
(手切夾鏈袋380g)</x:v>
      </x:c>
      <x:c r="B16" s="24" t="str">
        <x:v>36包(一箱)</x:v>
      </x:c>
      <x:c r="C16" s="24" t="str">
        <x:v>原味黑糖</x:v>
      </x:c>
      <x:c r="D16" s="24" t="str">
        <x:v>180</x:v>
      </x:c>
      <x:c r="E16" s="24" t="str">
        <x:v>110</x:v>
      </x:c>
      <x:c r="F16" s="24" t="str">
        <x:v>61%</x:v>
      </x:c>
      <x:c r="G16" s="24" t="str">
        <x:v>22</x:v>
      </x:c>
      <x:c r="H16" s="24" t="str">
        <x:v>88</x:v>
      </x:c>
      <x:c r="I16" s="24" t="str">
        <x:v>80.00%</x:v>
      </x:c>
      <x:c r="J16" s="24" t="str">
        <x:v>0.0</x:v>
      </x:c>
      <x:c r="K16" s="24" t="str">
        <x:v>56.97809333</x:v>
      </x:c>
      <x:c r="L16" s="24" t="str">
        <x:v>0</x:v>
      </x:c>
      <x:c r="M16" s="24" t="str">
        <x:v>0</x:v>
      </x:c>
      <x:c r="N16" s="24" t="str">
        <x:v>5.5</x:v>
      </x:c>
      <x:c r="O16" s="24" t="str">
        <x:v>62.5</x:v>
      </x:c>
      <x:c r="P16" s="24" t="str">
        <x:v>26</x:v>
      </x:c>
      <x:c r="Q16" s="24" t="str">
        <x:v>23.20%</x:v>
      </x:c>
    </x:row>
    <x:row r="17">
      <x:c r="A17" s="24" t="str"/>
      <x:c r="B17" s="24" t="str"/>
      <x:c r="C17" s="24" t="str">
        <x:v>薑汁黑糖</x:v>
      </x:c>
      <x:c r="D17" s="24" t="str">
        <x:v>180</x:v>
      </x:c>
      <x:c r="E17" s="24" t="str">
        <x:v>110</x:v>
      </x:c>
      <x:c r="F17" s="24" t="str">
        <x:v>61%</x:v>
      </x:c>
      <x:c r="G17" s="24" t="str">
        <x:v>25</x:v>
      </x:c>
      <x:c r="H17" s="24" t="str">
        <x:v>85</x:v>
      </x:c>
      <x:c r="I17" s="24" t="str">
        <x:v>77.27%</x:v>
      </x:c>
      <x:c r="J17" s="24" t="str">
        <x:v>0.0</x:v>
      </x:c>
      <x:c r="K17" s="24" t="str">
        <x:v>56.97809333</x:v>
      </x:c>
      <x:c r="L17" s="24" t="str">
        <x:v>0</x:v>
      </x:c>
      <x:c r="M17" s="24" t="str">
        <x:v>0</x:v>
      </x:c>
      <x:c r="N17" s="24" t="str">
        <x:v>5.5</x:v>
      </x:c>
      <x:c r="O17" s="24" t="str">
        <x:v>62.5</x:v>
      </x:c>
      <x:c r="P17" s="24" t="str">
        <x:v>23</x:v>
      </x:c>
      <x:c r="Q17" s="24" t="str">
        <x:v>20.47%</x:v>
      </x:c>
    </x:row>
    <x:row r="18">
      <x:c r="A18" s="24" t="str"/>
      <x:c r="B18" s="24" t="str"/>
      <x:c r="C18" s="24" t="str">
        <x:v>桂圓黑糖</x:v>
      </x:c>
      <x:c r="D18" s="24" t="str">
        <x:v>200</x:v>
      </x:c>
      <x:c r="E18" s="24" t="str">
        <x:v>122</x:v>
      </x:c>
      <x:c r="F18" s="24" t="str">
        <x:v>61%</x:v>
      </x:c>
      <x:c r="G18" s="24" t="str">
        <x:v>30</x:v>
      </x:c>
      <x:c r="H18" s="24" t="str">
        <x:v>92</x:v>
      </x:c>
      <x:c r="I18" s="24" t="str">
        <x:v>75.41%</x:v>
      </x:c>
      <x:c r="J18" s="24" t="str">
        <x:v>0.0</x:v>
      </x:c>
      <x:c r="K18" s="24" t="str">
        <x:v>63.19388533</x:v>
      </x:c>
      <x:c r="L18" s="24" t="str">
        <x:v>0</x:v>
      </x:c>
      <x:c r="M18" s="24" t="str">
        <x:v>0</x:v>
      </x:c>
      <x:c r="N18" s="24" t="str">
        <x:v>6.1</x:v>
      </x:c>
      <x:c r="O18" s="24" t="str">
        <x:v>69.3</x:v>
      </x:c>
      <x:c r="P18" s="24" t="str">
        <x:v>23</x:v>
      </x:c>
      <x:c r="Q18" s="24" t="str">
        <x:v>18.61%</x:v>
      </x:c>
    </x:row>
    <x:row r="19">
      <x:c r="A19" s="24" t="str"/>
      <x:c r="B19" s="24" t="str"/>
      <x:c r="C19" s="24" t="str">
        <x:v>玫瑰四物黑糖</x:v>
      </x:c>
      <x:c r="D19" s="24" t="str">
        <x:v>200</x:v>
      </x:c>
      <x:c r="E19" s="24" t="str">
        <x:v>122</x:v>
      </x:c>
      <x:c r="F19" s="24" t="str">
        <x:v>61%</x:v>
      </x:c>
      <x:c r="G19" s="24" t="str">
        <x:v>24</x:v>
      </x:c>
      <x:c r="H19" s="24" t="str">
        <x:v>98</x:v>
      </x:c>
      <x:c r="I19" s="24" t="str">
        <x:v>80.33%</x:v>
      </x:c>
      <x:c r="J19" s="24" t="str">
        <x:v>0.0</x:v>
      </x:c>
      <x:c r="K19" s="24" t="str">
        <x:v>63.19388533</x:v>
      </x:c>
      <x:c r="L19" s="24" t="str">
        <x:v>0</x:v>
      </x:c>
      <x:c r="M19" s="24" t="str">
        <x:v>0</x:v>
      </x:c>
      <x:c r="N19" s="24" t="str">
        <x:v>6.1</x:v>
      </x:c>
      <x:c r="O19" s="24" t="str">
        <x:v>69.3</x:v>
      </x:c>
      <x:c r="P19" s="24" t="str">
        <x:v>29</x:v>
      </x:c>
      <x:c r="Q19" s="24" t="str">
        <x:v>23.53%</x:v>
      </x:c>
    </x:row>
    <x:row r="20">
      <x:c r="A20" s="24" t="str">
        <x:v>貼牌客戶-埔里農會
(手切夾鏈袋380g)</x:v>
      </x:c>
      <x:c r="B20" s="24" t="str">
        <x:v>36包(一箱)</x:v>
      </x:c>
      <x:c r="C20" s="24" t="str">
        <x:v>原味黑糖</x:v>
      </x:c>
      <x:c r="D20" s="24" t="str">
        <x:v>180</x:v>
      </x:c>
      <x:c r="E20" s="24" t="str">
        <x:v>99</x:v>
      </x:c>
      <x:c r="F20" s="24" t="str">
        <x:v>55%</x:v>
      </x:c>
      <x:c r="G20" s="24" t="str">
        <x:v>22</x:v>
      </x:c>
      <x:c r="H20" s="24" t="str">
        <x:v>77</x:v>
      </x:c>
      <x:c r="I20" s="24" t="str">
        <x:v>77.78%</x:v>
      </x:c>
      <x:c r="J20" s="24" t="str">
        <x:v>0.0</x:v>
      </x:c>
      <x:c r="K20" s="24" t="str">
        <x:v>51.280284</x:v>
      </x:c>
      <x:c r="L20" s="24" t="str">
        <x:v>0</x:v>
      </x:c>
      <x:c r="M20" s="24" t="str">
        <x:v>0</x:v>
      </x:c>
      <x:c r="N20" s="24" t="str">
        <x:v>4.95</x:v>
      </x:c>
      <x:c r="O20" s="24" t="str">
        <x:v>56.2</x:v>
      </x:c>
      <x:c r="P20" s="24" t="str">
        <x:v>21</x:v>
      </x:c>
      <x:c r="Q20" s="24" t="str">
        <x:v>20.98%</x:v>
      </x:c>
    </x:row>
    <x:row r="21">
      <x:c r="A21" s="24" t="str"/>
      <x:c r="B21" s="24" t="str"/>
      <x:c r="C21" s="24" t="str">
        <x:v>薑汁黑糖</x:v>
      </x:c>
      <x:c r="D21" s="24" t="str">
        <x:v>180</x:v>
      </x:c>
      <x:c r="E21" s="24" t="str">
        <x:v>99</x:v>
      </x:c>
      <x:c r="F21" s="24" t="str">
        <x:v>55%</x:v>
      </x:c>
      <x:c r="G21" s="24" t="str">
        <x:v>25</x:v>
      </x:c>
      <x:c r="H21" s="24" t="str">
        <x:v>74</x:v>
      </x:c>
      <x:c r="I21" s="24" t="str">
        <x:v>74.75%</x:v>
      </x:c>
      <x:c r="J21" s="24" t="str">
        <x:v>0.0</x:v>
      </x:c>
      <x:c r="K21" s="24" t="str">
        <x:v>51.280284</x:v>
      </x:c>
      <x:c r="L21" s="24" t="str">
        <x:v>0</x:v>
      </x:c>
      <x:c r="M21" s="24" t="str">
        <x:v>0</x:v>
      </x:c>
      <x:c r="N21" s="24" t="str">
        <x:v>4.95</x:v>
      </x:c>
      <x:c r="O21" s="24" t="str">
        <x:v>56.2</x:v>
      </x:c>
      <x:c r="P21" s="24" t="str">
        <x:v>18</x:v>
      </x:c>
      <x:c r="Q21" s="24" t="str">
        <x:v>17.95%</x:v>
      </x:c>
    </x:row>
    <x:row r="22">
      <x:c r="A22" s="24" t="str"/>
      <x:c r="B22" s="24" t="str"/>
      <x:c r="C22" s="24" t="str">
        <x:v>桂圓黑糖</x:v>
      </x:c>
      <x:c r="D22" s="24" t="str">
        <x:v>200</x:v>
      </x:c>
      <x:c r="E22" s="24" t="str">
        <x:v>110</x:v>
      </x:c>
      <x:c r="F22" s="24" t="str">
        <x:v>55%</x:v>
      </x:c>
      <x:c r="G22" s="24" t="str">
        <x:v>30</x:v>
      </x:c>
      <x:c r="H22" s="24" t="str">
        <x:v>80</x:v>
      </x:c>
      <x:c r="I22" s="24" t="str">
        <x:v>72.73%</x:v>
      </x:c>
      <x:c r="J22" s="24" t="str">
        <x:v>0.0</x:v>
      </x:c>
      <x:c r="K22" s="24" t="str">
        <x:v>56.97809333</x:v>
      </x:c>
      <x:c r="L22" s="24" t="str">
        <x:v>0</x:v>
      </x:c>
      <x:c r="M22" s="24" t="str">
        <x:v>0</x:v>
      </x:c>
      <x:c r="N22" s="24" t="str">
        <x:v>5.5</x:v>
      </x:c>
      <x:c r="O22" s="24" t="str">
        <x:v>62.5</x:v>
      </x:c>
      <x:c r="P22" s="24" t="str">
        <x:v>18</x:v>
      </x:c>
      <x:c r="Q22" s="24" t="str">
        <x:v>15.93%</x:v>
      </x:c>
    </x:row>
    <x:row r="23">
      <x:c r="A23" s="24" t="str"/>
      <x:c r="B23" s="24" t="str"/>
      <x:c r="C23" s="24" t="str">
        <x:v>玫瑰四物黑糖</x:v>
      </x:c>
      <x:c r="D23" s="24" t="str">
        <x:v>200</x:v>
      </x:c>
      <x:c r="E23" s="24" t="str">
        <x:v>110</x:v>
      </x:c>
      <x:c r="F23" s="24" t="str">
        <x:v>55%</x:v>
      </x:c>
      <x:c r="G23" s="24" t="str">
        <x:v>24</x:v>
      </x:c>
      <x:c r="H23" s="24" t="str">
        <x:v>86</x:v>
      </x:c>
      <x:c r="I23" s="24" t="str">
        <x:v>78.18%</x:v>
      </x:c>
      <x:c r="J23" s="24" t="str">
        <x:v>0.0</x:v>
      </x:c>
      <x:c r="K23" s="24" t="str">
        <x:v>56.97809333</x:v>
      </x:c>
      <x:c r="L23" s="24" t="str">
        <x:v>0</x:v>
      </x:c>
      <x:c r="M23" s="24" t="str">
        <x:v>0</x:v>
      </x:c>
      <x:c r="N23" s="24" t="str">
        <x:v>5.5</x:v>
      </x:c>
      <x:c r="O23" s="24" t="str">
        <x:v>62.5</x:v>
      </x:c>
      <x:c r="P23" s="24" t="str">
        <x:v>24</x:v>
      </x:c>
      <x:c r="Q23" s="24" t="str">
        <x:v>21.38%</x:v>
      </x:c>
    </x:row>
    <x:row r="24">
      <x:c r="A24" s="24" t="str">
        <x:v>批發-
(手切夾鏈袋380g)</x:v>
      </x:c>
      <x:c r="B24" s="24" t="str">
        <x:v>36包(一箱)</x:v>
      </x:c>
      <x:c r="C24" s="24" t="str">
        <x:v>原味黑糖</x:v>
      </x:c>
      <x:c r="D24" s="24" t="str"/>
      <x:c r="E24" s="24" t="str">
        <x:v>135</x:v>
      </x:c>
      <x:c r="F24" s="24" t="str"/>
      <x:c r="G24" s="24" t="str">
        <x:v>33</x:v>
      </x:c>
      <x:c r="H24" s="24" t="str">
        <x:v>102</x:v>
      </x:c>
      <x:c r="I24" s="24" t="str">
        <x:v>75.33%</x:v>
      </x:c>
      <x:c r="J24" s="24" t="str">
        <x:v>0.0</x:v>
      </x:c>
      <x:c r="K24" s="24" t="str">
        <x:v>69.92766</x:v>
      </x:c>
      <x:c r="L24" s="24" t="str">
        <x:v>0</x:v>
      </x:c>
      <x:c r="M24" s="24" t="str">
        <x:v>0</x:v>
      </x:c>
      <x:c r="N24" s="24" t="str">
        <x:v>6.75</x:v>
      </x:c>
      <x:c r="O24" s="24" t="str">
        <x:v>76.7</x:v>
      </x:c>
      <x:c r="P24" s="24" t="str">
        <x:v>25</x:v>
      </x:c>
      <x:c r="Q24" s="24" t="str">
        <x:v>18.54%</x:v>
      </x:c>
    </x:row>
    <x:row r="25">
      <x:c r="A25" s="24" t="str"/>
      <x:c r="B25" s="24" t="str"/>
      <x:c r="C25" s="24" t="str">
        <x:v>薑汁黑糖</x:v>
      </x:c>
      <x:c r="D25" s="24" t="str"/>
      <x:c r="E25" s="24" t="str">
        <x:v>135</x:v>
      </x:c>
      <x:c r="F25" s="24" t="str"/>
      <x:c r="G25" s="24" t="str">
        <x:v>36</x:v>
      </x:c>
      <x:c r="H25" s="24" t="str">
        <x:v>99</x:v>
      </x:c>
      <x:c r="I25" s="24" t="str">
        <x:v>73.11%</x:v>
      </x:c>
      <x:c r="J25" s="24" t="str">
        <x:v>0.0</x:v>
      </x:c>
      <x:c r="K25" s="24" t="str">
        <x:v>69.92766</x:v>
      </x:c>
      <x:c r="L25" s="24" t="str">
        <x:v>0</x:v>
      </x:c>
      <x:c r="M25" s="24" t="str">
        <x:v>0</x:v>
      </x:c>
      <x:c r="N25" s="24" t="str">
        <x:v>6.75</x:v>
      </x:c>
      <x:c r="O25" s="24" t="str">
        <x:v>76.7</x:v>
      </x:c>
      <x:c r="P25" s="24" t="str">
        <x:v>22</x:v>
      </x:c>
      <x:c r="Q25" s="24" t="str">
        <x:v>16.31%</x:v>
      </x:c>
    </x:row>
    <x:row r="26">
      <x:c r="A26" s="24" t="str"/>
      <x:c r="B26" s="24" t="str"/>
      <x:c r="C26" s="24" t="str">
        <x:v>桂圓黑糖</x:v>
      </x:c>
      <x:c r="D26" s="24" t="str"/>
      <x:c r="E26" s="24" t="str">
        <x:v>150</x:v>
      </x:c>
      <x:c r="F26" s="24" t="str"/>
      <x:c r="G26" s="24" t="str">
        <x:v>42</x:v>
      </x:c>
      <x:c r="H26" s="24" t="str">
        <x:v>109</x:v>
      </x:c>
      <x:c r="I26" s="24" t="str">
        <x:v>72.33%</x:v>
      </x:c>
      <x:c r="J26" s="24" t="str">
        <x:v>0.0</x:v>
      </x:c>
      <x:c r="K26" s="24" t="str">
        <x:v>77.6974</x:v>
      </x:c>
      <x:c r="L26" s="24" t="str">
        <x:v>0</x:v>
      </x:c>
      <x:c r="M26" s="24" t="str">
        <x:v>0</x:v>
      </x:c>
      <x:c r="N26" s="24" t="str">
        <x:v>7.5</x:v>
      </x:c>
      <x:c r="O26" s="24" t="str">
        <x:v>85.2</x:v>
      </x:c>
      <x:c r="P26" s="24" t="str">
        <x:v>23</x:v>
      </x:c>
      <x:c r="Q26" s="24" t="str">
        <x:v>15.54%</x:v>
      </x:c>
    </x:row>
    <x:row r="27">
      <x:c r="A27" s="24" t="str"/>
      <x:c r="B27" s="24" t="str"/>
      <x:c r="C27" s="24" t="str">
        <x:v>玫瑰四物黑糖</x:v>
      </x:c>
      <x:c r="D27" s="24" t="str"/>
      <x:c r="E27" s="24" t="str">
        <x:v>150</x:v>
      </x:c>
      <x:c r="F27" s="24" t="str"/>
      <x:c r="G27" s="24" t="str">
        <x:v>35</x:v>
      </x:c>
      <x:c r="H27" s="24" t="str">
        <x:v>115</x:v>
      </x:c>
      <x:c r="I27" s="24" t="str">
        <x:v>76.47%</x:v>
      </x:c>
      <x:c r="J27" s="24" t="str">
        <x:v>0.0</x:v>
      </x:c>
      <x:c r="K27" s="24" t="str">
        <x:v>77.6974</x:v>
      </x:c>
      <x:c r="L27" s="24" t="str">
        <x:v>0</x:v>
      </x:c>
      <x:c r="M27" s="24" t="str">
        <x:v>0</x:v>
      </x:c>
      <x:c r="N27" s="24" t="str">
        <x:v>7.5</x:v>
      </x:c>
      <x:c r="O27" s="24" t="str">
        <x:v>85.2</x:v>
      </x:c>
      <x:c r="P27" s="24" t="str">
        <x:v>30</x:v>
      </x:c>
      <x:c r="Q27" s="24" t="str">
        <x:v>19.67%</x:v>
      </x:c>
    </x:row>
    <x:row r="28">
      <x:c r="A28" s="24" t="str">
        <x:v>手切(每台斤)</x:v>
      </x:c>
      <x:c r="B28" s="24" t="str">
        <x:v>40台斤(一箱)</x:v>
      </x:c>
      <x:c r="C28" s="24" t="str">
        <x:v>原味黑糖</x:v>
      </x:c>
      <x:c r="D28" s="24" t="str"/>
      <x:c r="E28" s="24" t="str">
        <x:v>100</x:v>
      </x:c>
      <x:c r="F28" s="24" t="str"/>
      <x:c r="G28" s="24" t="str">
        <x:v>21</x:v>
      </x:c>
      <x:c r="H28" s="24" t="str">
        <x:v>79</x:v>
      </x:c>
      <x:c r="I28" s="24" t="str">
        <x:v>79.00%</x:v>
      </x:c>
      <x:c r="J28" s="24" t="str">
        <x:v>0.0</x:v>
      </x:c>
      <x:c r="K28" s="24" t="str">
        <x:v>51.79826667</x:v>
      </x:c>
      <x:c r="L28" s="24" t="str">
        <x:v>0</x:v>
      </x:c>
      <x:c r="M28" s="24" t="str">
        <x:v>0</x:v>
      </x:c>
      <x:c r="N28" s="24" t="str">
        <x:v>5</x:v>
      </x:c>
      <x:c r="O28" s="24" t="str">
        <x:v>56.8</x:v>
      </x:c>
      <x:c r="P28" s="24" t="str">
        <x:v>22</x:v>
      </x:c>
      <x:c r="Q28" s="24" t="str">
        <x:v>22.20%</x:v>
      </x:c>
    </x:row>
    <x:row r="29">
      <x:c r="A29" s="24" t="str"/>
      <x:c r="B29" s="24" t="str"/>
      <x:c r="C29" s="24" t="str">
        <x:v>薑汁黑糖</x:v>
      </x:c>
      <x:c r="D29" s="24" t="str"/>
      <x:c r="E29" s="24" t="str">
        <x:v>110</x:v>
      </x:c>
      <x:c r="F29" s="24" t="str"/>
      <x:c r="G29" s="24" t="str">
        <x:v>27</x:v>
      </x:c>
      <x:c r="H29" s="24" t="str">
        <x:v>83</x:v>
      </x:c>
      <x:c r="I29" s="24" t="str">
        <x:v>75.45%</x:v>
      </x:c>
      <x:c r="J29" s="24" t="str">
        <x:v>0.0</x:v>
      </x:c>
      <x:c r="K29" s="24" t="str">
        <x:v>56.97809333</x:v>
      </x:c>
      <x:c r="L29" s="24" t="str">
        <x:v>0</x:v>
      </x:c>
      <x:c r="M29" s="24" t="str">
        <x:v>0</x:v>
      </x:c>
      <x:c r="N29" s="24" t="str">
        <x:v>5.5</x:v>
      </x:c>
      <x:c r="O29" s="24" t="str">
        <x:v>62.5</x:v>
      </x:c>
      <x:c r="P29" s="24" t="str">
        <x:v>21</x:v>
      </x:c>
      <x:c r="Q29" s="24" t="str">
        <x:v>18.66%</x:v>
      </x:c>
    </x:row>
    <x:row r="30">
      <x:c r="A30" s="24" t="str"/>
      <x:c r="B30" s="24" t="str"/>
      <x:c r="C30" s="24" t="str">
        <x:v>桂圓黑糖</x:v>
      </x:c>
      <x:c r="D30" s="24" t="str"/>
      <x:c r="E30" s="24" t="str">
        <x:v>140</x:v>
      </x:c>
      <x:c r="F30" s="24" t="str"/>
      <x:c r="G30" s="24" t="str">
        <x:v>33</x:v>
      </x:c>
      <x:c r="H30" s="24" t="str">
        <x:v>107</x:v>
      </x:c>
      <x:c r="I30" s="24" t="str">
        <x:v>76.43%</x:v>
      </x:c>
      <x:c r="J30" s="24" t="str">
        <x:v>0.0</x:v>
      </x:c>
      <x:c r="K30" s="24" t="str">
        <x:v>72.51757333</x:v>
      </x:c>
      <x:c r="L30" s="24" t="str">
        <x:v>0</x:v>
      </x:c>
      <x:c r="M30" s="24" t="str">
        <x:v>0</x:v>
      </x:c>
      <x:c r="N30" s="24" t="str">
        <x:v>7</x:v>
      </x:c>
      <x:c r="O30" s="24" t="str">
        <x:v>79.5</x:v>
      </x:c>
      <x:c r="P30" s="24" t="str">
        <x:v>27</x:v>
      </x:c>
      <x:c r="Q30" s="24" t="str">
        <x:v>19.63%</x:v>
      </x:c>
    </x:row>
    <x:row r="31">
      <x:c r="A31" s="24" t="str"/>
      <x:c r="B31" s="24" t="str"/>
      <x:c r="C31" s="24" t="str">
        <x:v>玫瑰四物黑糖</x:v>
      </x:c>
      <x:c r="D31" s="24" t="str"/>
      <x:c r="E31" s="24" t="str">
        <x:v>130</x:v>
      </x:c>
      <x:c r="F31" s="24" t="str"/>
      <x:c r="G31" s="24" t="str">
        <x:v>26</x:v>
      </x:c>
      <x:c r="H31" s="24" t="str">
        <x:v>104</x:v>
      </x:c>
      <x:c r="I31" s="24" t="str">
        <x:v>80.00%</x:v>
      </x:c>
      <x:c r="J31" s="24" t="str">
        <x:v>0.0</x:v>
      </x:c>
      <x:c r="K31" s="24" t="str">
        <x:v>67.33774667</x:v>
      </x:c>
      <x:c r="L31" s="24" t="str">
        <x:v>0</x:v>
      </x:c>
      <x:c r="M31" s="24" t="str">
        <x:v>0</x:v>
      </x:c>
      <x:c r="N31" s="24" t="str">
        <x:v>6.5</x:v>
      </x:c>
      <x:c r="O31" s="24" t="str">
        <x:v>73.8</x:v>
      </x:c>
      <x:c r="P31" s="24" t="str">
        <x:v>30</x:v>
      </x:c>
      <x:c r="Q31" s="24" t="str">
        <x:v>23.20%</x:v>
      </x:c>
    </x:row>
    <x:row r="32">
      <x:c r="A32" s="24" t="str">
        <x:v>單顆包(每台斤）</x:v>
      </x:c>
      <x:c r="B32" s="24" t="str">
        <x:v>25台斤(一箱)</x:v>
      </x:c>
      <x:c r="C32" s="24" t="str">
        <x:v>原味黑糖</x:v>
      </x:c>
      <x:c r="D32" s="24" t="str"/>
      <x:c r="E32" s="24" t="str">
        <x:v>100</x:v>
      </x:c>
      <x:c r="F32" s="24" t="str"/>
      <x:c r="G32" s="24" t="str">
        <x:v>34</x:v>
      </x:c>
      <x:c r="H32" s="24" t="str">
        <x:v>66</x:v>
      </x:c>
      <x:c r="I32" s="24" t="str">
        <x:v>66.00%</x:v>
      </x:c>
      <x:c r="J32" s="24" t="str">
        <x:v>0.0</x:v>
      </x:c>
      <x:c r="K32" s="24" t="str">
        <x:v>51.79826667</x:v>
      </x:c>
      <x:c r="L32" s="24" t="str">
        <x:v>0</x:v>
      </x:c>
      <x:c r="M32" s="24" t="str">
        <x:v>0</x:v>
      </x:c>
      <x:c r="N32" s="24" t="str">
        <x:v>5</x:v>
      </x:c>
      <x:c r="O32" s="24" t="str">
        <x:v>56.8</x:v>
      </x:c>
      <x:c r="P32" s="24" t="str">
        <x:v>9</x:v>
      </x:c>
      <x:c r="Q32" s="24" t="str">
        <x:v>9.20%</x:v>
      </x:c>
    </x:row>
    <x:row r="33">
      <x:c r="A33" s="24" t="str"/>
      <x:c r="B33" s="24" t="str"/>
      <x:c r="C33" s="24" t="str">
        <x:v>薑汁黑糖</x:v>
      </x:c>
      <x:c r="D33" s="24" t="str"/>
      <x:c r="E33" s="24" t="str">
        <x:v>130</x:v>
      </x:c>
      <x:c r="F33" s="24" t="str"/>
      <x:c r="G33" s="24" t="str">
        <x:v>40</x:v>
      </x:c>
      <x:c r="H33" s="24" t="str">
        <x:v>90</x:v>
      </x:c>
      <x:c r="I33" s="24" t="str">
        <x:v>69.23%</x:v>
      </x:c>
      <x:c r="J33" s="24" t="str">
        <x:v>0.0</x:v>
      </x:c>
      <x:c r="K33" s="24" t="str">
        <x:v>67.33774667</x:v>
      </x:c>
      <x:c r="L33" s="24" t="str">
        <x:v>0</x:v>
      </x:c>
      <x:c r="M33" s="24" t="str">
        <x:v>0</x:v>
      </x:c>
      <x:c r="N33" s="24" t="str">
        <x:v>6.5</x:v>
      </x:c>
      <x:c r="O33" s="24" t="str">
        <x:v>73.8</x:v>
      </x:c>
      <x:c r="P33" s="24" t="str">
        <x:v>16</x:v>
      </x:c>
      <x:c r="Q33" s="24" t="str">
        <x:v>12.43%</x:v>
      </x:c>
    </x:row>
    <x:row r="34">
      <x:c r="A34" s="24" t="str"/>
      <x:c r="B34" s="24" t="str"/>
      <x:c r="C34" s="24" t="str">
        <x:v>桂圓黑糖</x:v>
      </x:c>
      <x:c r="D34" s="24" t="str"/>
      <x:c r="E34" s="24" t="str">
        <x:v>130</x:v>
      </x:c>
      <x:c r="F34" s="24" t="str"/>
      <x:c r="G34" s="24" t="str">
        <x:v>47</x:v>
      </x:c>
      <x:c r="H34" s="24" t="str">
        <x:v>83</x:v>
      </x:c>
      <x:c r="I34" s="24" t="str">
        <x:v>63.85%</x:v>
      </x:c>
      <x:c r="J34" s="24" t="str">
        <x:v>0.0</x:v>
      </x:c>
      <x:c r="K34" s="24" t="str">
        <x:v>67.33774667</x:v>
      </x:c>
      <x:c r="L34" s="24" t="str">
        <x:v>0</x:v>
      </x:c>
      <x:c r="M34" s="24" t="str">
        <x:v>0</x:v>
      </x:c>
      <x:c r="N34" s="24" t="str">
        <x:v>6.5</x:v>
      </x:c>
      <x:c r="O34" s="24" t="str">
        <x:v>73.8</x:v>
      </x:c>
      <x:c r="P34" s="24" t="str">
        <x:v>9</x:v>
      </x:c>
      <x:c r="Q34" s="24" t="str">
        <x:v>7.05%</x:v>
      </x:c>
    </x:row>
    <x:row r="35">
      <x:c r="A35" s="24" t="str"/>
      <x:c r="B35" s="24" t="str"/>
      <x:c r="C35" s="24" t="str">
        <x:v>玫瑰四物黑糖</x:v>
      </x:c>
      <x:c r="D35" s="24" t="str"/>
      <x:c r="E35" s="24" t="str">
        <x:v>130</x:v>
      </x:c>
      <x:c r="F35" s="24" t="str"/>
      <x:c r="G35" s="24" t="str">
        <x:v>39</x:v>
      </x:c>
      <x:c r="H35" s="24" t="str">
        <x:v>91</x:v>
      </x:c>
      <x:c r="I35" s="24" t="str">
        <x:v>70.00%</x:v>
      </x:c>
      <x:c r="J35" s="24" t="str">
        <x:v>0.0</x:v>
      </x:c>
      <x:c r="K35" s="24" t="str">
        <x:v>67.33774667</x:v>
      </x:c>
      <x:c r="L35" s="24" t="str">
        <x:v>0</x:v>
      </x:c>
      <x:c r="M35" s="24" t="str">
        <x:v>0</x:v>
      </x:c>
      <x:c r="N35" s="24" t="str">
        <x:v>6.5</x:v>
      </x:c>
      <x:c r="O35" s="24" t="str">
        <x:v>73.8</x:v>
      </x:c>
      <x:c r="P35" s="24" t="str">
        <x:v>17</x:v>
      </x:c>
      <x:c r="Q35" s="24" t="str">
        <x:v>13.20%</x:v>
      </x:c>
    </x:row>
    <x:row r="36">
      <x:c r="A36" s="24" t="str"/>
      <x:c r="B36" s="24" t="str"/>
      <x:c r="C36" s="24" t="str">
        <x:v>桂圓紅棗薑</x:v>
      </x:c>
      <x:c r="D36" s="24" t="str"/>
      <x:c r="E36" s="24" t="str">
        <x:v>150</x:v>
      </x:c>
      <x:c r="F36" s="24" t="str"/>
      <x:c r="G36" s="24" t="str">
        <x:v>46</x:v>
      </x:c>
      <x:c r="H36" s="24" t="str">
        <x:v>104</x:v>
      </x:c>
      <x:c r="I36" s="24" t="str">
        <x:v>69.33%</x:v>
      </x:c>
      <x:c r="J36" s="24" t="str">
        <x:v>0.0</x:v>
      </x:c>
      <x:c r="K36" s="24" t="str">
        <x:v>77.6974</x:v>
      </x:c>
      <x:c r="L36" s="24" t="str">
        <x:v>0</x:v>
      </x:c>
      <x:c r="M36" s="24" t="str">
        <x:v>0</x:v>
      </x:c>
      <x:c r="N36" s="24" t="str">
        <x:v>7.5</x:v>
      </x:c>
      <x:c r="O36" s="24" t="str">
        <x:v>85.2</x:v>
      </x:c>
      <x:c r="P36" s="24" t="str">
        <x:v>19</x:v>
      </x:c>
      <x:c r="Q36" s="24" t="str">
        <x:v>12.54%</x:v>
      </x:c>
    </x:row>
    <x:row r="37">
      <x:c r="A37" s="24" t="str"/>
      <x:c r="B37" s="24" t="str"/>
      <x:c r="C37" s="24" t="str">
        <x:v>冬瓜</x:v>
      </x:c>
      <x:c r="D37" s="24" t="str"/>
      <x:c r="E37" s="24" t="str">
        <x:v>140</x:v>
      </x:c>
      <x:c r="F37" s="24" t="str"/>
      <x:c r="G37" s="24" t="str">
        <x:v>41</x:v>
      </x:c>
      <x:c r="H37" s="24" t="str">
        <x:v>99</x:v>
      </x:c>
      <x:c r="I37" s="24" t="str">
        <x:v>70.71%</x:v>
      </x:c>
      <x:c r="J37" s="24" t="str">
        <x:v>0.0</x:v>
      </x:c>
      <x:c r="K37" s="24" t="str">
        <x:v>72.51757333</x:v>
      </x:c>
      <x:c r="L37" s="24" t="str">
        <x:v>0</x:v>
      </x:c>
      <x:c r="M37" s="24" t="str">
        <x:v>0</x:v>
      </x:c>
      <x:c r="N37" s="24" t="str">
        <x:v>7</x:v>
      </x:c>
      <x:c r="O37" s="24" t="str">
        <x:v>79.5</x:v>
      </x:c>
      <x:c r="P37" s="24" t="str">
        <x:v>19</x:v>
      </x:c>
      <x:c r="Q37" s="24" t="str">
        <x:v>13.92%</x:v>
      </x:c>
    </x:row>
    <x:row r="38">
      <x:c r="A38" s="24" t="str">
        <x:v>蜜類-350ml</x:v>
      </x:c>
      <x:c r="B38" s="24" t="str"/>
      <x:c r="C38" s="24" t="str">
        <x:v>黑糖蜜</x:v>
      </x:c>
      <x:c r="D38" s="24" t="str">
        <x:v>200</x:v>
      </x:c>
      <x:c r="E38" s="24" t="str">
        <x:v>130</x:v>
      </x:c>
      <x:c r="F38" s="24" t="str">
        <x:v>65%</x:v>
      </x:c>
      <x:c r="G38" s="24" t="str">
        <x:v>39</x:v>
      </x:c>
      <x:c r="H38" s="24" t="str">
        <x:v>91</x:v>
      </x:c>
      <x:c r="I38" s="24" t="str">
        <x:v>70.31%</x:v>
      </x:c>
      <x:c r="J38" s="24" t="str">
        <x:v>0.0</x:v>
      </x:c>
      <x:c r="K38" s="24" t="str">
        <x:v>67.33774667</x:v>
      </x:c>
      <x:c r="L38" s="24" t="str">
        <x:v>0</x:v>
      </x:c>
      <x:c r="M38" s="24" t="str">
        <x:v>0</x:v>
      </x:c>
      <x:c r="N38" s="24" t="str">
        <x:v>6.5</x:v>
      </x:c>
      <x:c r="O38" s="24" t="str">
        <x:v>73.8</x:v>
      </x:c>
      <x:c r="P38" s="24" t="str">
        <x:v>18</x:v>
      </x:c>
      <x:c r="Q38" s="24" t="str">
        <x:v>13.51%</x:v>
      </x:c>
    </x:row>
    <x:row r="39">
      <x:c r="A39" s="24" t="str">
        <x:v>蜜類-150ml</x:v>
      </x:c>
      <x:c r="B39" s="24" t="str"/>
      <x:c r="C39" s="24" t="str">
        <x:v>黑糖檸檬</x:v>
      </x:c>
      <x:c r="D39" s="24" t="str">
        <x:v>180</x:v>
      </x:c>
      <x:c r="E39" s="24" t="str">
        <x:v>117</x:v>
      </x:c>
      <x:c r="F39" s="24" t="str">
        <x:v>65%</x:v>
      </x:c>
      <x:c r="G39" s="24" t="str">
        <x:v>51</x:v>
      </x:c>
      <x:c r="H39" s="24" t="str">
        <x:v>66</x:v>
      </x:c>
      <x:c r="I39" s="24" t="str">
        <x:v>56.15%</x:v>
      </x:c>
      <x:c r="J39" s="24" t="str">
        <x:v>0.0</x:v>
      </x:c>
      <x:c r="K39" s="24" t="str">
        <x:v>60.603972</x:v>
      </x:c>
      <x:c r="L39" s="24" t="str">
        <x:v>0</x:v>
      </x:c>
      <x:c r="M39" s="24" t="str">
        <x:v>0</x:v>
      </x:c>
      <x:c r="N39" s="24" t="str">
        <x:v>5.85</x:v>
      </x:c>
      <x:c r="O39" s="24" t="str">
        <x:v>66.5</x:v>
      </x:c>
      <x:c r="P39" s="24" t="str">
        <x:v>-1</x:v>
      </x:c>
      <x:c r="Q39" s="24" t="str">
        <x:v>-0.64%</x:v>
      </x:c>
    </x:row>
    <x:row r="40">
      <x:c r="A40" s="24" t="str"/>
      <x:c r="B40" s="24" t="str"/>
      <x:c r="C40" s="24" t="str">
        <x:v>百香果黑糖</x:v>
      </x:c>
      <x:c r="D40" s="24" t="str">
        <x:v>180</x:v>
      </x:c>
      <x:c r="E40" s="24" t="str">
        <x:v>117</x:v>
      </x:c>
      <x:c r="F40" s="24" t="str">
        <x:v>65%</x:v>
      </x:c>
      <x:c r="G40" s="24" t="str">
        <x:v>48</x:v>
      </x:c>
      <x:c r="H40" s="24" t="str">
        <x:v>69</x:v>
      </x:c>
      <x:c r="I40" s="24" t="str">
        <x:v>58.97%</x:v>
      </x:c>
      <x:c r="J40" s="24" t="str">
        <x:v>0.0</x:v>
      </x:c>
      <x:c r="K40" s="24" t="str">
        <x:v>60.603972</x:v>
      </x:c>
      <x:c r="L40" s="24" t="str">
        <x:v>0</x:v>
      </x:c>
      <x:c r="M40" s="24" t="str">
        <x:v>0</x:v>
      </x:c>
      <x:c r="N40" s="24" t="str">
        <x:v>5.85</x:v>
      </x:c>
      <x:c r="O40" s="24" t="str">
        <x:v>66.5</x:v>
      </x:c>
      <x:c r="P40" s="24" t="str">
        <x:v>3</x:v>
      </x:c>
      <x:c r="Q40" s="24" t="str">
        <x:v>2.18%</x:v>
      </x:c>
    </x:row>
    <x:row r="41">
      <x:c r="A41" s="24" t="str"/>
      <x:c r="B41" s="24" t="str"/>
      <x:c r="C41" s="24" t="str">
        <x:v>梅精黑糖</x:v>
      </x:c>
      <x:c r="D41" s="24" t="str">
        <x:v>220</x:v>
      </x:c>
      <x:c r="E41" s="24" t="str">
        <x:v>143</x:v>
      </x:c>
      <x:c r="F41" s="24" t="str">
        <x:v>65%</x:v>
      </x:c>
      <x:c r="G41" s="24" t="str">
        <x:v>47</x:v>
      </x:c>
      <x:c r="H41" s="24" t="str">
        <x:v>96</x:v>
      </x:c>
      <x:c r="I41" s="24" t="str">
        <x:v>67.13%</x:v>
      </x:c>
      <x:c r="J41" s="24" t="str">
        <x:v>0.0</x:v>
      </x:c>
      <x:c r="K41" s="24" t="str">
        <x:v>74.07152133</x:v>
      </x:c>
      <x:c r="L41" s="24" t="str">
        <x:v>0</x:v>
      </x:c>
      <x:c r="M41" s="24" t="str">
        <x:v>0</x:v>
      </x:c>
      <x:c r="N41" s="24" t="str">
        <x:v>7.15</x:v>
      </x:c>
      <x:c r="O41" s="24" t="str">
        <x:v>81.2</x:v>
      </x:c>
      <x:c r="P41" s="24" t="str">
        <x:v>15</x:v>
      </x:c>
      <x:c r="Q41" s="24" t="str">
        <x:v>10.33%</x:v>
      </x:c>
    </x:row>
    <x:row r="42">
      <x:c r="A42" s="24" t="str">
        <x:v>通路上架</x:v>
      </x:c>
      <x:c r="B42" s="24" t="str"/>
      <x:c r="C42" s="24" t="str"/>
      <x:c r="D42" s="24" t="str"/>
      <x:c r="E42" s="24" t="str"/>
      <x:c r="F42" s="24" t="str"/>
      <x:c r="G42" s="24" t="str"/>
      <x:c r="H42" s="24" t="str"/>
      <x:c r="I42" s="24" t="str"/>
      <x:c r="J42" s="24" t="str"/>
      <x:c r="K42" s="24" t="str"/>
      <x:c r="L42" s="24" t="str"/>
      <x:c r="M42" s="24" t="str"/>
      <x:c r="N42" s="24" t="str"/>
      <x:c r="O42" s="24" t="str"/>
      <x:c r="P42" s="24" t="str"/>
      <x:c r="Q42" s="24" t="str"/>
    </x:row>
    <x:row r="43">
      <x:c r="A43" s="24" t="str">
        <x:v>日月町罐裝(160g）</x:v>
      </x:c>
      <x:c r="B43" s="24" t="str"/>
      <x:c r="C43" s="24" t="str">
        <x:v>原味黑糖</x:v>
      </x:c>
      <x:c r="D43" s="24" t="str">
        <x:v>180</x:v>
      </x:c>
      <x:c r="E43" s="24" t="str">
        <x:v>126</x:v>
      </x:c>
      <x:c r="F43" s="24" t="str">
        <x:v>70%</x:v>
      </x:c>
      <x:c r="G43" s="24" t="str">
        <x:v>43</x:v>
      </x:c>
      <x:c r="H43" s="24" t="str">
        <x:v>83</x:v>
      </x:c>
      <x:c r="I43" s="24" t="str">
        <x:v>65.87%</x:v>
      </x:c>
      <x:c r="J43" s="24" t="str">
        <x:v>0.0</x:v>
      </x:c>
      <x:c r="K43" s="24" t="str">
        <x:v>65.265816</x:v>
      </x:c>
      <x:c r="L43" s="24" t="str">
        <x:v>0</x:v>
      </x:c>
      <x:c r="M43" s="24" t="str">
        <x:v>0</x:v>
      </x:c>
      <x:c r="N43" s="24" t="str">
        <x:v>6.3</x:v>
      </x:c>
      <x:c r="O43" s="24" t="str">
        <x:v>71.6</x:v>
      </x:c>
      <x:c r="P43" s="24" t="str">
        <x:v>11</x:v>
      </x:c>
      <x:c r="Q43" s="24" t="str">
        <x:v>9.07%</x:v>
      </x:c>
    </x:row>
    <x:row r="44">
      <x:c r="A44" s="24" t="str"/>
      <x:c r="B44" s="24" t="str"/>
      <x:c r="C44" s="24" t="str">
        <x:v>薑汁黑糖</x:v>
      </x:c>
      <x:c r="D44" s="24" t="str">
        <x:v>180</x:v>
      </x:c>
      <x:c r="E44" s="24" t="str">
        <x:v>126</x:v>
      </x:c>
      <x:c r="F44" s="24" t="str">
        <x:v>70%</x:v>
      </x:c>
      <x:c r="G44" s="24" t="str">
        <x:v>43</x:v>
      </x:c>
      <x:c r="H44" s="24" t="str">
        <x:v>83</x:v>
      </x:c>
      <x:c r="I44" s="24" t="str">
        <x:v>65.87%</x:v>
      </x:c>
      <x:c r="J44" s="24" t="str">
        <x:v>0.0</x:v>
      </x:c>
      <x:c r="K44" s="24" t="str">
        <x:v>65.265816</x:v>
      </x:c>
      <x:c r="L44" s="24" t="str">
        <x:v>0</x:v>
      </x:c>
      <x:c r="M44" s="24" t="str">
        <x:v>0</x:v>
      </x:c>
      <x:c r="N44" s="24" t="str">
        <x:v>6.3</x:v>
      </x:c>
      <x:c r="O44" s="24" t="str">
        <x:v>71.6</x:v>
      </x:c>
      <x:c r="P44" s="24" t="str">
        <x:v>11</x:v>
      </x:c>
      <x:c r="Q44" s="24" t="str">
        <x:v>9.07%</x:v>
      </x:c>
    </x:row>
    <x:row r="45">
      <x:c r="A45" s="24" t="str"/>
      <x:c r="B45" s="24" t="str"/>
      <x:c r="C45" s="24" t="str">
        <x:v>桂圓黑糖</x:v>
      </x:c>
      <x:c r="D45" s="24" t="str">
        <x:v>180</x:v>
      </x:c>
      <x:c r="E45" s="24" t="str">
        <x:v>126</x:v>
      </x:c>
      <x:c r="F45" s="24" t="str">
        <x:v>70%</x:v>
      </x:c>
      <x:c r="G45" s="24" t="str">
        <x:v>43</x:v>
      </x:c>
      <x:c r="H45" s="24" t="str">
        <x:v>83</x:v>
      </x:c>
      <x:c r="I45" s="24" t="str">
        <x:v>65.87%</x:v>
      </x:c>
      <x:c r="J45" s="24" t="str">
        <x:v>0.0</x:v>
      </x:c>
      <x:c r="K45" s="24" t="str">
        <x:v>65.265816</x:v>
      </x:c>
      <x:c r="L45" s="24" t="str">
        <x:v>0</x:v>
      </x:c>
      <x:c r="M45" s="24" t="str">
        <x:v>0</x:v>
      </x:c>
      <x:c r="N45" s="24" t="str">
        <x:v>6.3</x:v>
      </x:c>
      <x:c r="O45" s="24" t="str">
        <x:v>71.6</x:v>
      </x:c>
      <x:c r="P45" s="24" t="str">
        <x:v>11</x:v>
      </x:c>
      <x:c r="Q45" s="24" t="str">
        <x:v>9.07%</x:v>
      </x:c>
    </x:row>
    <x:row r="46">
      <x:c r="A46" s="24" t="str"/>
      <x:c r="B46" s="24" t="str"/>
      <x:c r="C46" s="24" t="str">
        <x:v>玫瑰四物黑糖</x:v>
      </x:c>
      <x:c r="D46" s="24" t="str">
        <x:v>180</x:v>
      </x:c>
      <x:c r="E46" s="24" t="str">
        <x:v>126</x:v>
      </x:c>
      <x:c r="F46" s="24" t="str">
        <x:v>70%</x:v>
      </x:c>
      <x:c r="G46" s="24" t="str">
        <x:v>43</x:v>
      </x:c>
      <x:c r="H46" s="24" t="str">
        <x:v>83</x:v>
      </x:c>
      <x:c r="I46" s="24" t="str">
        <x:v>65.87%</x:v>
      </x:c>
      <x:c r="J46" s="24" t="str">
        <x:v>0.0</x:v>
      </x:c>
      <x:c r="K46" s="24" t="str">
        <x:v>65.265816</x:v>
      </x:c>
      <x:c r="L46" s="24" t="str">
        <x:v>0</x:v>
      </x:c>
      <x:c r="M46" s="24" t="str">
        <x:v>0</x:v>
      </x:c>
      <x:c r="N46" s="24" t="str">
        <x:v>6.3</x:v>
      </x:c>
      <x:c r="O46" s="24" t="str">
        <x:v>71.6</x:v>
      </x:c>
      <x:c r="P46" s="24" t="str">
        <x:v>11</x:v>
      </x:c>
      <x:c r="Q46" s="24" t="str">
        <x:v>9.07%</x:v>
      </x:c>
    </x:row>
    <x:row r="47">
      <x:c r="A47" s="24" t="str"/>
      <x:c r="B47" s="24" t="str"/>
      <x:c r="C47" s="24" t="str">
        <x:v>桂圓紅棗薑</x:v>
      </x:c>
      <x:c r="D47" s="24" t="str">
        <x:v>180</x:v>
      </x:c>
      <x:c r="E47" s="24" t="str">
        <x:v>126</x:v>
      </x:c>
      <x:c r="F47" s="24" t="str">
        <x:v>70%</x:v>
      </x:c>
      <x:c r="G47" s="24" t="str">
        <x:v>43</x:v>
      </x:c>
      <x:c r="H47" s="24" t="str">
        <x:v>83</x:v>
      </x:c>
      <x:c r="I47" s="24" t="str">
        <x:v>65.87%</x:v>
      </x:c>
      <x:c r="J47" s="24" t="str">
        <x:v>0.0</x:v>
      </x:c>
      <x:c r="K47" s="24" t="str">
        <x:v>65.265816</x:v>
      </x:c>
      <x:c r="L47" s="24" t="str">
        <x:v>0</x:v>
      </x:c>
      <x:c r="M47" s="24" t="str">
        <x:v>0</x:v>
      </x:c>
      <x:c r="N47" s="24" t="str">
        <x:v>6.3</x:v>
      </x:c>
      <x:c r="O47" s="24" t="str">
        <x:v>71.6</x:v>
      </x:c>
      <x:c r="P47" s="24" t="str">
        <x:v>11</x:v>
      </x:c>
      <x:c r="Q47" s="24" t="str">
        <x:v>9.07%</x:v>
      </x:c>
    </x:row>
    <x:row r="48">
      <x:c r="A48" s="24" t="str"/>
      <x:c r="B48" s="24" t="str"/>
      <x:c r="C48" s="24" t="str">
        <x:v>冬瓜</x:v>
      </x:c>
      <x:c r="D48" s="24" t="str">
        <x:v>180</x:v>
      </x:c>
      <x:c r="E48" s="24" t="str">
        <x:v>126</x:v>
      </x:c>
      <x:c r="F48" s="24" t="str">
        <x:v>70%</x:v>
      </x:c>
      <x:c r="G48" s="24" t="str">
        <x:v>43</x:v>
      </x:c>
      <x:c r="H48" s="24" t="str">
        <x:v>83</x:v>
      </x:c>
      <x:c r="I48" s="24" t="str">
        <x:v>65.87%</x:v>
      </x:c>
      <x:c r="J48" s="24" t="str">
        <x:v>0.0</x:v>
      </x:c>
      <x:c r="K48" s="24" t="str">
        <x:v>65.265816</x:v>
      </x:c>
      <x:c r="L48" s="24" t="str">
        <x:v>0</x:v>
      </x:c>
      <x:c r="M48" s="24" t="str">
        <x:v>0</x:v>
      </x:c>
      <x:c r="N48" s="24" t="str">
        <x:v>6.3</x:v>
      </x:c>
      <x:c r="O48" s="24" t="str">
        <x:v>71.6</x:v>
      </x:c>
      <x:c r="P48" s="24" t="str">
        <x:v>11</x:v>
      </x:c>
      <x:c r="Q48" s="24" t="str">
        <x:v>9.07%</x:v>
      </x:c>
    </x:row>
    <x:row r="49">
      <x:c r="A49" s="24" t="str">
        <x:v>日月町禮盒組</x:v>
      </x:c>
      <x:c r="B49" s="24" t="str"/>
      <x:c r="C49" s="24" t="str">
        <x:v>2入任搭組合</x:v>
      </x:c>
      <x:c r="D49" s="24" t="str">
        <x:v>430</x:v>
      </x:c>
      <x:c r="E49" s="24" t="str">
        <x:v>301</x:v>
      </x:c>
      <x:c r="F49" s="24" t="str">
        <x:v>70%</x:v>
      </x:c>
      <x:c r="G49" s="24" t="str">
        <x:v>172</x:v>
      </x:c>
      <x:c r="H49" s="24" t="str">
        <x:v>129</x:v>
      </x:c>
      <x:c r="I49" s="24" t="str">
        <x:v>42.86%</x:v>
      </x:c>
      <x:c r="J49" s="24" t="str">
        <x:v>0.0</x:v>
      </x:c>
      <x:c r="K49" s="24" t="str">
        <x:v>155.9127827</x:v>
      </x:c>
      <x:c r="L49" s="24" t="str">
        <x:v>0</x:v>
      </x:c>
      <x:c r="M49" s="24" t="str">
        <x:v>0</x:v>
      </x:c>
      <x:c r="N49" s="24" t="str">
        <x:v>15.05</x:v>
      </x:c>
      <x:c r="O49" s="24" t="str">
        <x:v>171.0</x:v>
      </x:c>
      <x:c r="P49" s="24" t="str">
        <x:v>-42</x:v>
      </x:c>
      <x:c r="Q49" s="24" t="str">
        <x:v>-13.94%</x:v>
      </x:c>
    </x:row>
    <x:row r="50">
      <x:c r="A50" s="24" t="str">
        <x:v>OEM：客戶提供產品規格、設計圖、配方，我們依照客戶需求生產。</x:v>
      </x:c>
      <x:c r="B50" s="24" t="str"/>
      <x:c r="C50" s="24" t="str"/>
      <x:c r="D50" s="24" t="str"/>
      <x:c r="E50" s="24" t="str"/>
      <x:c r="F50" s="24" t="str"/>
      <x:c r="G50" s="24" t="str"/>
      <x:c r="H50" s="24" t="str"/>
      <x:c r="I50" s="24" t="str"/>
      <x:c r="J50" s="24" t="str"/>
      <x:c r="K50" s="24" t="str"/>
      <x:c r="L50" s="24" t="str"/>
      <x:c r="M50" s="24" t="str"/>
      <x:c r="N50" s="24" t="str"/>
      <x:c r="O50" s="24" t="str"/>
      <x:c r="P50" s="24" t="str"/>
      <x:c r="Q50" s="24" t="str"/>
    </x:row>
    <x:row r="51">
      <x:c r="A51" s="24" t="str">
        <x:v>科技中藥廠</x:v>
      </x:c>
      <x:c r="B51" s="24" t="str">
        <x:v>40台斤(一箱)</x:v>
      </x:c>
      <x:c r="C51" s="24" t="str">
        <x:v>黑糖薑母茶</x:v>
      </x:c>
      <x:c r="D51" s="24" t="str"/>
      <x:c r="E51" s="24" t="str">
        <x:v>112</x:v>
      </x:c>
      <x:c r="F51" s="24" t="str"/>
      <x:c r="G51" s="24" t="str">
        <x:v>46</x:v>
      </x:c>
      <x:c r="H51" s="24" t="str">
        <x:v>66</x:v>
      </x:c>
      <x:c r="I51" s="24" t="str">
        <x:v>58.93%</x:v>
      </x:c>
      <x:c r="J51" s="24" t="str">
        <x:v>0.0</x:v>
      </x:c>
      <x:c r="K51" s="24" t="str">
        <x:v>58.01405867</x:v>
      </x:c>
      <x:c r="L51" s="24" t="str">
        <x:v>0</x:v>
      </x:c>
      <x:c r="M51" s="24" t="str">
        <x:v>0</x:v>
      </x:c>
      <x:c r="N51" s="24" t="str">
        <x:v>5.6</x:v>
      </x:c>
      <x:c r="O51" s="24" t="str">
        <x:v>63.6</x:v>
      </x:c>
      <x:c r="P51" s="24" t="str">
        <x:v>2</x:v>
      </x:c>
      <x:c r="Q51" s="24" t="str">
        <x:v>2.13%</x:v>
      </x:c>
    </x:row>
    <x:row r="52">
      <x:c r="A52" s="24" t="str"/>
      <x:c r="B52" s="24" t="str">
        <x:v>競品</x:v>
      </x:c>
      <x:c r="C52" s="24" t="str"/>
      <x:c r="D52" s="24" t="str"/>
      <x:c r="E52" s="24" t="str"/>
      <x:c r="F52" s="24" t="str"/>
      <x:c r="G52" s="24" t="str"/>
      <x:c r="H52" s="24" t="str"/>
      <x:c r="I52" s="24" t="str"/>
      <x:c r="J52" s="24" t="str"/>
      <x:c r="K52" s="24" t="str"/>
      <x:c r="L52" s="24" t="str"/>
      <x:c r="M52" s="24" t="str"/>
      <x:c r="N52" s="24" t="str"/>
      <x:c r="O52" s="24" t="str"/>
      <x:c r="P52" s="24" t="str"/>
      <x:c r="Q52" s="24" t="str"/>
    </x:row>
    <x:row r="53">
      <x:c r="A53" s="24" t="str"/>
      <x:c r="B53" s="24" t="str">
        <x:v>就是愛海鮮</x:v>
      </x:c>
      <x:c r="C53" s="24" t="str">
        <x:v>海陸奢華霸王組8~10人
贈玫瑰鹽一罐(市價89元)</x:v>
      </x:c>
      <x:c r="D53" s="24" t="str">
        <x:v>6,680</x:v>
      </x:c>
      <x:c r="E53" s="24" t="str">
        <x:v>5,680</x:v>
      </x:c>
      <x:c r="F53" s="24" t="str"/>
      <x:c r="G53" s="24" t="str"/>
      <x:c r="H53" s="24" t="str"/>
      <x:c r="I53" s="24" t="str"/>
      <x:c r="J53" s="24" t="str"/>
      <x:c r="K53" s="24" t="str"/>
      <x:c r="L53" s="24" t="str"/>
      <x:c r="M53" s="24" t="str"/>
      <x:c r="N53" s="24" t="str"/>
      <x:c r="O53" s="24" t="str"/>
      <x:c r="P53" s="24" t="str"/>
      <x:c r="Q53" s="24" t="str"/>
    </x:row>
    <x:row r="54">
      <x:c r="A54" s="24" t="str"/>
      <x:c r="B54" s="24" t="str">
        <x:v>真美味</x:v>
      </x:c>
      <x:c r="C54" s="24" t="str">
        <x:v>五星級海陸烤肉組(5-8人份)</x:v>
      </x:c>
      <x:c r="D54" s="24" t="str">
        <x:v>1,688</x:v>
      </x:c>
      <x:c r="E54" s="24" t="str">
        <x:v>1,570</x:v>
      </x:c>
      <x:c r="F54" s="24" t="str"/>
      <x:c r="G54" s="24" t="str"/>
      <x:c r="H54" s="24" t="str"/>
      <x:c r="I54" s="24" t="str"/>
      <x:c r="J54" s="24" t="str"/>
      <x:c r="K54" s="24" t="str"/>
      <x:c r="L54" s="24" t="str"/>
      <x:c r="M54" s="24" t="str"/>
      <x:c r="N54" s="24" t="str"/>
      <x:c r="O54" s="24" t="str"/>
      <x:c r="P54" s="24" t="str"/>
      <x:c r="Q54" s="24" t="str"/>
    </x:row>
    <x:row r="55">
      <x:c r="A55" s="24" t="str"/>
      <x:c r="B55" s="24" t="str">
        <x:v>達米肉舖</x:v>
      </x:c>
      <x:c r="C55" s="24" t="str">
        <x:v>超值燒肉烤肉組</x:v>
      </x:c>
      <x:c r="D55" s="24" t="str">
        <x:v>2,000</x:v>
      </x:c>
      <x:c r="E55" s="24" t="str">
        <x:v>2,000</x:v>
      </x:c>
      <x:c r="F55" s="24" t="str"/>
      <x:c r="G55" s="24" t="str"/>
      <x:c r="H55" s="24" t="str"/>
      <x:c r="I55" s="24" t="str"/>
      <x:c r="J55" s="24" t="str"/>
      <x:c r="K55" s="24" t="str"/>
      <x:c r="L55" s="24" t="str"/>
      <x:c r="M55" s="24" t="str"/>
      <x:c r="N55" s="24" t="str"/>
      <x:c r="O55" s="24" t="str"/>
      <x:c r="P55" s="24" t="str"/>
      <x:c r="Q55" s="24" t="str"/>
    </x:row>
    <x:row r="56">
      <x:c r="A56" s="24" t="str"/>
      <x:c r="B56" s="24" t="str">
        <x:v>愛上吃肉</x:v>
      </x:c>
      <x:c r="C56" s="24" t="str">
        <x:v>中秋烤肉海陸豪華14件組(約5-7人/份)</x:v>
      </x:c>
      <x:c r="D56" s="24" t="str">
        <x:v>2,390</x:v>
      </x:c>
      <x:c r="E56" s="24" t="str">
        <x:v>1,580</x:v>
      </x:c>
      <x:c r="F56" s="24" t="str"/>
      <x:c r="G56" s="24" t="str"/>
      <x:c r="H56" s="24" t="str"/>
      <x:c r="I56" s="24" t="str"/>
      <x:c r="J56" s="24" t="str"/>
      <x:c r="K56" s="24" t="str"/>
      <x:c r="L56" s="24" t="str"/>
      <x:c r="M56" s="24" t="str"/>
      <x:c r="N56" s="24" t="str"/>
      <x:c r="O56" s="24" t="str"/>
      <x:c r="P56" s="24" t="str"/>
      <x:c r="Q56" s="24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899999618530273" hidden="0" customWidth="1"/>
    <x:col min="2" max="2" width="24.899999618530273" hidden="0" customWidth="1"/>
    <x:col min="3" max="3" width="24.899999618530273" hidden="0" customWidth="1"/>
    <x:col min="4" max="4" width="14.130000114440918" hidden="0" customWidth="1"/>
  </x:cols>
  <x:sheetData>
    <x:row r="1">
      <x:c r="A1" s="43" t="str">
        <x:v>項目</x:v>
      </x:c>
      <x:c r="B1" s="43" t="str">
        <x:v>成本/年</x:v>
      </x:c>
      <x:c r="C1" s="43" t="str">
        <x:v>內容</x:v>
      </x:c>
      <x:c r="D1" s="43" t="str">
        <x:v>備註</x:v>
      </x:c>
      <x:c r="E1" s="42"/>
      <x:c r="F1" s="42"/>
      <x:c r="G1" s="42"/>
      <x:c r="H1" s="42"/>
      <x:c r="I1" s="42"/>
      <x:c r="J1" s="42"/>
      <x:c r="K1" s="42"/>
      <x:c r="L1" s="42"/>
      <x:c r="M1" s="42"/>
      <x:c r="N1" s="42"/>
      <x:c r="O1" s="42"/>
      <x:c r="P1" s="42"/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str">
        <x:v>保險費</x:v>
      </x:c>
      <x:c r="B2" s="24" t="str">
        <x:v>4,000</x:v>
      </x:c>
      <x:c r="C2" s="24" t="str">
        <x:v>產品投保責任險</x:v>
      </x:c>
      <x:c r="D2" s="24" t="str"/>
    </x:row>
    <x:row r="3">
      <x:c r="A3" s="24" t="str">
        <x:v>產品條碼</x:v>
      </x:c>
      <x:c r="B3" s="24" t="str">
        <x:v>5,667</x:v>
      </x:c>
      <x:c r="C3" s="24" t="str"/>
      <x:c r="D3" s="24" t="str">
        <x:v>條碼使用期限3年，3年後需繳交17000元</x:v>
      </x:c>
    </x:row>
    <x:row r="4">
      <x:c r="A4" s="24" t="str">
        <x:v>記帳士費用</x:v>
      </x:c>
      <x:c r="B4" s="24" t="str">
        <x:v>20,400</x:v>
      </x:c>
      <x:c r="C4" s="24" t="str">
        <x:v>外請記帳士協助每月報帳事宜</x:v>
      </x:c>
      <x:c r="D4" s="24" t="str">
        <x:v>鐵比倫花園1200/月、鐵比倫有限公司6000/年</x:v>
      </x:c>
    </x:row>
    <x:row r="5">
      <x:c r="A5" s="24" t="str">
        <x:v>油資</x:v>
      </x:c>
      <x:c r="B5" s="24" t="str">
        <x:v>3,600</x:v>
      </x:c>
      <x:c r="C5" s="24" t="str">
        <x:v>概括平均300/月</x:v>
      </x:c>
      <x:c r="D5" s="24" t="str">
        <x:v>埔里地區目前親送的廠商，包含酒廠、農會、九族、日月町</x:v>
      </x:c>
    </x:row>
    <x:row r="6">
      <x:c r="A6" s="24" t="str">
        <x:v>人事費</x:v>
      </x:c>
      <x:c r="B6" s="24" t="str">
        <x:v>1,400,000</x:v>
      </x:c>
      <x:c r="C6" s="24" t="str">
        <x:v>正職*2+PT</x:v>
      </x:c>
      <x:c r="D6" s="24" t="str">
        <x:v>-正職*2(我都先算5萬)
50000*2*12 = 1,200,000 
-PT/年=200000
1200000+200000 = 1,400,000</x:v>
      </x:c>
    </x:row>
    <x:row r="7">
      <x:c r="A7" s="24" t="str">
        <x:v>房租 (倉庫)</x:v>
      </x:c>
      <x:c r="B7" s="24" t="str">
        <x:v>60,000</x:v>
      </x:c>
      <x:c r="C7" s="24" t="str">
        <x:v>5000/月</x:v>
      </x:c>
      <x:c r="D7" s="24" t="str">
        <x:v>工廠是自己的，旁邊倉庫是租借的</x:v>
      </x:c>
    </x:row>
    <x:row r="8">
      <x:c r="A8" s="24" t="str">
        <x:v>運費</x:v>
      </x:c>
      <x:c r="B8" s="24" t="str">
        <x:v>34,574</x:v>
      </x:c>
      <x:c r="C8" s="24" t="str">
        <x:v>新竹物流運費</x:v>
      </x:c>
      <x:c r="D8" s="24" t="str">
        <x:v>此為114年總運費金額</x:v>
      </x:c>
    </x:row>
    <x:row r="9">
      <x:c r="A9" s="24" t="str">
        <x:v>官網</x:v>
      </x:c>
      <x:c r="B9" s="24" t="str">
        <x:v>4,200</x:v>
      </x:c>
      <x:c r="C9" s="24" t="str">
        <x:v>QDM 年費</x:v>
      </x:c>
      <x:c r="D9" s="24" t="str"/>
    </x:row>
    <x:row r="10">
      <x:c r="A10" s="24" t="str">
        <x:v>雜支</x:v>
      </x:c>
      <x:c r="B10" s="24" t="str"/>
      <x:c r="C10" s="24" t="str"/>
      <x:c r="D10" s="24" t="str">
        <x:v>車輛保養維修、辦公用具採買、生產用消耗品...等</x:v>
      </x:c>
    </x:row>
    <x:row r="11">
      <x:c r="A11" s="24" t="str">
        <x:v>設備攤提</x:v>
      </x:c>
      <x:c r="B11" s="24" t="str">
        <x:v>待確認</x:v>
      </x:c>
      <x:c r="C11" s="24" t="str"/>
      <x:c r="D11" s="24" t="str"/>
    </x:row>
    <x:row r="12">
      <x:c r="A12" s="24" t="str">
        <x:v>水電費</x:v>
      </x:c>
      <x:c r="B12" s="24" t="str">
        <x:v>21,507</x:v>
      </x:c>
      <x:c r="C12" s="24" t="str"/>
      <x:c r="D12" s="24" t="str">
        <x:v>此為114年總水電費金額</x:v>
      </x:c>
    </x:row>
    <x:row r="13">
      <x:c r="A13" s="24" t="str"/>
      <x:c r="B13" s="24" t="str">
        <x:v>1,553,948</x:v>
      </x:c>
      <x:c r="C13" s="24" t="str"/>
      <x:c r="D13" s="24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09000015258789" hidden="0" customWidth="1"/>
    <x:col min="2" max="2" width="42.400001525878906" hidden="0" customWidth="1"/>
    <x:col min="3" max="3" width="19.520000457763672" hidden="0" customWidth="1"/>
    <x:col min="4" max="4" width="23.549999237060547" hidden="0" customWidth="1"/>
    <x:col min="5" max="5" width="15.479999542236328" hidden="0" customWidth="1"/>
    <x:col min="6" max="6" width="34.31999969482422" hidden="0" customWidth="1"/>
    <x:col min="7" max="7" width="19.520000457763672" hidden="0" customWidth="1"/>
    <x:col min="8" max="8" width="13.460000038146973" hidden="0" customWidth="1"/>
    <x:col min="9" max="9" width="13.460000038146973" hidden="0" customWidth="1"/>
    <x:col min="10" max="10" width="10.09000015258789" hidden="0" customWidth="1"/>
    <x:col min="11" max="11" width="27.59000015258789" hidden="0" customWidth="1"/>
    <x:col min="12" max="12" width="11.4399995803833" hidden="0" customWidth="1"/>
    <x:col min="13" max="13" width="13.460000038146973" hidden="0" customWidth="1"/>
    <x:col min="14" max="14" width="12.789999961853027" hidden="0" customWidth="1"/>
    <x:col min="15" max="15" width="14.800000190734863" hidden="0" customWidth="1"/>
    <x:col min="16" max="16" width="12.109999656677246" hidden="0" customWidth="1"/>
    <x:col min="17" max="17" width="16.81999969482422" hidden="0" customWidth="1"/>
    <x:col min="18" max="18" width="12.109999656677246" hidden="0" customWidth="1"/>
    <x:col min="19" max="19" width="14.800000190734863" hidden="0" customWidth="1"/>
    <x:col min="20" max="20" width="14.130000114440918" hidden="0" customWidth="1"/>
    <x:col min="21" max="21" width="12.109999656677246" hidden="0" customWidth="1"/>
    <x:col min="22" max="22" width="16.81999969482422" hidden="0" customWidth="1"/>
    <x:col min="23" max="23" width="15.479999542236328" hidden="0" customWidth="1"/>
    <x:col min="24" max="24" width="14.800000190734863" hidden="0" customWidth="1"/>
    <x:col min="25" max="25" width="16.81999969482422" hidden="0" customWidth="1"/>
    <x:col min="26" max="26" width="14.130000114440918" hidden="0" customWidth="1"/>
    <x:col min="27" max="27" width="16.81999969482422" hidden="0" customWidth="1"/>
  </x:cols>
  <x:sheetData>
    <x:row r="1">
      <x:c r="A1" s="44" t="str">
        <x:v>Source Row</x:v>
      </x:c>
      <x:c r="B1" s="44" t="str">
        <x:v>Analysis SKU</x:v>
      </x:c>
      <x:c r="C1" s="44" t="str">
        <x:v>Channel</x:v>
      </x:c>
      <x:c r="D1" s="44" t="str">
        <x:v>Spec</x:v>
      </x:c>
      <x:c r="E1" s="44" t="str">
        <x:v>Customer</x:v>
      </x:c>
      <x:c r="F1" s="44" t="str">
        <x:v>MOQ/Notes</x:v>
      </x:c>
      <x:c r="G1" s="44" t="str">
        <x:v>Product</x:v>
      </x:c>
      <x:c r="H1" s="44" t="str">
        <x:v>Unit Basis</x:v>
      </x:c>
      <x:c r="I1" s="44" t="str">
        <x:v>Normalized Unit Qty</x:v>
      </x:c>
      <x:c r="J1" s="44" t="str">
        <x:v>Unit Type</x:v>
      </x:c>
      <x:c r="K1" s="44" t="str">
        <x:v>Comparability Note</x:v>
      </x:c>
      <x:c r="L1" s="44" t="str">
        <x:v>2025 Units</x:v>
      </x:c>
      <x:c r="M1" s="44" t="str">
        <x:v>Wholesale Price</x:v>
      </x:c>
      <x:c r="N1" s="44" t="str">
        <x:v>Product COGS</x:v>
      </x:c>
      <x:c r="O1" s="44" t="str">
        <x:v>Gross Profit/Unit</x:v>
      </x:c>
      <x:c r="P1" s="44" t="str">
        <x:v>Gross Margin</x:v>
      </x:c>
      <x:c r="Q1" s="44" t="str">
        <x:v>Operating Expense/Unit</x:v>
      </x:c>
      <x:c r="R1" s="44" t="str">
        <x:v>Invoice 5%</x:v>
      </x:c>
      <x:c r="S1" s="44" t="str">
        <x:v>Expense Subtotal</x:v>
      </x:c>
      <x:c r="T1" s="44" t="str">
        <x:v>Net Profit/Unit</x:v>
      </x:c>
      <x:c r="U1" s="44" t="str">
        <x:v>Net Margin</x:v>
      </x:c>
      <x:c r="V1" s="44" t="str">
        <x:v>Reported Contribution</x:v>
      </x:c>
      <x:c r="W1" s="44" t="str">
        <x:v>Reported Revenue</x:v>
      </x:c>
      <x:c r="X1" s="44" t="str">
        <x:v>Calc Revenue</x:v>
      </x:c>
      <x:c r="Y1" s="44" t="str">
        <x:v>Calc Contribution</x:v>
      </x:c>
      <x:c r="Z1" s="44" t="str">
        <x:v>Revenue Diff</x:v>
      </x:c>
      <x:c r="AA1" s="44" t="str">
        <x:v>Contribution Diff</x:v>
      </x:c>
    </x:row>
    <x:row r="2">
      <x:c r="A2" s="24" t="n">
        <x:v>10</x:v>
      </x:c>
      <x:c r="B2" s="24" t="str">
        <x:v>桂圓紅棗薑黑糖_None_None_140.0</x:v>
      </x:c>
      <x:c r="C2" s="24" t="str">
        <x:v>未分類</x:v>
      </x:c>
      <x:c r="D2" s="24" t="str">
        <x:v>未標示規格</x:v>
      </x:c>
      <x:c r="E2" s="24" t="str"/>
      <x:c r="F2" s="24" t="str"/>
      <x:c r="G2" s="24" t="str">
        <x:v>桂圓紅棗薑黑糖</x:v>
      </x:c>
      <x:c r="H2" s="24" t="str"/>
      <x:c r="I2" s="27"/>
      <x:c r="J2" s="24" t="str"/>
      <x:c r="K2" s="24" t="str">
        <x:v>missing_spec</x:v>
      </x:c>
      <x:c r="L2" s="27" t="n">
        <x:v>272</x:v>
      </x:c>
      <x:c r="M2" s="27" t="n">
        <x:v>140</x:v>
      </x:c>
      <x:c r="N2" s="27" t="n">
        <x:v>31</x:v>
      </x:c>
      <x:c r="O2" s="27" t="n">
        <x:v>109</x:v>
      </x:c>
      <x:c r="P2" s="28" t="n">
        <x:v>77.86</x:v>
      </x:c>
      <x:c r="Q2" s="29" t="n">
        <x:v>72.51757333</x:v>
      </x:c>
      <x:c r="R2" s="29" t="n">
        <x:v>7</x:v>
      </x:c>
      <x:c r="S2" s="29" t="n">
        <x:v>79.5</x:v>
      </x:c>
      <x:c r="T2" s="29" t="n">
        <x:v>29.482426669999995</x:v>
      </x:c>
      <x:c r="U2" s="28" t="n">
        <x:v>0.2105887619285714</x:v>
      </x:c>
      <x:c r="V2" s="27" t="n">
        <x:v>8019</x:v>
      </x:c>
      <x:c r="W2" s="27" t="n">
        <x:v>38080</x:v>
      </x:c>
      <x:c r="X2" s="27" t="n">
        <x:f>L2*M2</x:f>
        <x:v>38080</x:v>
      </x:c>
      <x:c r="Y2" s="27" t="n">
        <x:f>L2*T2</x:f>
        <x:v>8019.220054239999</x:v>
      </x:c>
      <x:c r="Z2" s="27" t="n">
        <x:f>X2-W2</x:f>
        <x:v>0</x:v>
      </x:c>
      <x:c r="AA2" s="27" t="n">
        <x:f>Y2-V2</x:f>
        <x:v>0.2200542399987171</x:v>
      </x:c>
    </x:row>
    <x:row r="3">
      <x:c r="A3" s="24" t="n">
        <x:v>11</x:v>
      </x:c>
      <x:c r="B3" s="24" t="str">
        <x:v>冬瓜_None_None_140.0</x:v>
      </x:c>
      <x:c r="C3" s="24" t="str">
        <x:v>未分類</x:v>
      </x:c>
      <x:c r="D3" s="24" t="str">
        <x:v>未標示規格</x:v>
      </x:c>
      <x:c r="E3" s="24" t="str"/>
      <x:c r="F3" s="24" t="str"/>
      <x:c r="G3" s="24" t="str">
        <x:v>冬瓜</x:v>
      </x:c>
      <x:c r="H3" s="24" t="str"/>
      <x:c r="I3" s="27"/>
      <x:c r="J3" s="24" t="str"/>
      <x:c r="K3" s="24" t="str">
        <x:v>missing_spec</x:v>
      </x:c>
      <x:c r="L3" s="27" t="n">
        <x:v>98</x:v>
      </x:c>
      <x:c r="M3" s="27" t="n">
        <x:v>140</x:v>
      </x:c>
      <x:c r="N3" s="27" t="n">
        <x:v>28</x:v>
      </x:c>
      <x:c r="O3" s="27" t="n">
        <x:v>112</x:v>
      </x:c>
      <x:c r="P3" s="28" t="n">
        <x:v>80</x:v>
      </x:c>
      <x:c r="Q3" s="29" t="n">
        <x:v>72.51757333</x:v>
      </x:c>
      <x:c r="R3" s="29" t="n">
        <x:v>7</x:v>
      </x:c>
      <x:c r="S3" s="29" t="n">
        <x:v>79.5</x:v>
      </x:c>
      <x:c r="T3" s="29" t="n">
        <x:v>32.482426669999995</x:v>
      </x:c>
      <x:c r="U3" s="28" t="n">
        <x:v>0.23201733335714284</x:v>
      </x:c>
      <x:c r="V3" s="27" t="n">
        <x:v>3183</x:v>
      </x:c>
      <x:c r="W3" s="27" t="n">
        <x:v>13720</x:v>
      </x:c>
      <x:c r="X3" s="27" t="n">
        <x:f>L3*M3</x:f>
        <x:v>13720</x:v>
      </x:c>
      <x:c r="Y3" s="27" t="n">
        <x:f>L3*T3</x:f>
        <x:v>3183.2778136599995</x:v>
      </x:c>
      <x:c r="Z3" s="27" t="n">
        <x:f>X3-W3</x:f>
        <x:v>0</x:v>
      </x:c>
      <x:c r="AA3" s="27" t="n">
        <x:f>Y3-V3</x:f>
        <x:v>0.2778136599995378</x:v>
      </x:c>
    </x:row>
    <x:row r="4">
      <x:c r="A4" s="24" t="n">
        <x:v>12</x:v>
      </x:c>
      <x:c r="B4" s="24" t="str">
        <x:v>原味黑糖 _台糖_手切夾鏈袋_117.0</x:v>
      </x:c>
      <x:c r="C4" s="24" t="str">
        <x:v>台糖</x:v>
      </x:c>
      <x:c r="D4" s="24" t="str">
        <x:v>手切夾鏈袋</x:v>
      </x:c>
      <x:c r="E4" s="24" t="str"/>
      <x:c r="F4" s="24" t="str">
        <x:v>長期合作，看他們貨量，有叫就送沒有固定</x:v>
      </x:c>
      <x:c r="G4" s="24" t="str">
        <x:v>原味黑糖</x:v>
      </x:c>
      <x:c r="H4" s="24" t="str">
        <x:v>380.0g</x:v>
      </x:c>
      <x:c r="I4" s="27" t="n">
        <x:v>380</x:v>
      </x:c>
      <x:c r="J4" s="24" t="str">
        <x:v>g</x:v>
      </x:c>
      <x:c r="K4" s="24" t="str"/>
      <x:c r="L4" s="27" t="n">
        <x:v>300</x:v>
      </x:c>
      <x:c r="M4" s="27" t="n">
        <x:v>117</x:v>
      </x:c>
      <x:c r="N4" s="27" t="n">
        <x:v>22</x:v>
      </x:c>
      <x:c r="O4" s="27" t="n">
        <x:v>95</x:v>
      </x:c>
      <x:c r="P4" s="28" t="n">
        <x:v>81.2</x:v>
      </x:c>
      <x:c r="Q4" s="29" t="n">
        <x:v>60.603972</x:v>
      </x:c>
      <x:c r="R4" s="29" t="n">
        <x:v>5.85</x:v>
      </x:c>
      <x:c r="S4" s="29" t="n">
        <x:v>66.5</x:v>
      </x:c>
      <x:c r="T4" s="29" t="n">
        <x:v>28.546028</x:v>
      </x:c>
      <x:c r="U4" s="28" t="n">
        <x:v>0.2439831452991453</x:v>
      </x:c>
      <x:c r="V4" s="27" t="n">
        <x:v>8564</x:v>
      </x:c>
      <x:c r="W4" s="27" t="n">
        <x:v>35100</x:v>
      </x:c>
      <x:c r="X4" s="27" t="n">
        <x:f>L4*M4</x:f>
        <x:v>35100</x:v>
      </x:c>
      <x:c r="Y4" s="27" t="n">
        <x:f>L4*T4</x:f>
        <x:v>8563.8084</x:v>
      </x:c>
      <x:c r="Z4" s="27" t="n">
        <x:f>X4-W4</x:f>
        <x:v>0</x:v>
      </x:c>
      <x:c r="AA4" s="27" t="n">
        <x:f>Y4-V4</x:f>
        <x:v>-0.19160000000010768</x:v>
      </x:c>
    </x:row>
    <x:row r="5">
      <x:c r="A5" s="24" t="n">
        <x:v>13</x:v>
      </x:c>
      <x:c r="B5" s="24" t="str">
        <x:v>薑汁黑糖_None_None_117.0</x:v>
      </x:c>
      <x:c r="C5" s="24" t="str">
        <x:v>未分類</x:v>
      </x:c>
      <x:c r="D5" s="24" t="str">
        <x:v>未標示規格</x:v>
      </x:c>
      <x:c r="E5" s="24" t="str"/>
      <x:c r="F5" s="24" t="str"/>
      <x:c r="G5" s="24" t="str">
        <x:v>薑汁黑糖</x:v>
      </x:c>
      <x:c r="H5" s="24" t="str"/>
      <x:c r="I5" s="27"/>
      <x:c r="J5" s="24" t="str"/>
      <x:c r="K5" s="24" t="str">
        <x:v>missing_spec</x:v>
      </x:c>
      <x:c r="L5" s="27" t="n">
        <x:v>375</x:v>
      </x:c>
      <x:c r="M5" s="27" t="n">
        <x:v>117</x:v>
      </x:c>
      <x:c r="N5" s="27" t="n">
        <x:v>25</x:v>
      </x:c>
      <x:c r="O5" s="27" t="n">
        <x:v>92</x:v>
      </x:c>
      <x:c r="P5" s="28" t="n">
        <x:v>78.63</x:v>
      </x:c>
      <x:c r="Q5" s="29" t="n">
        <x:v>60.603972</x:v>
      </x:c>
      <x:c r="R5" s="29" t="n">
        <x:v>5.85</x:v>
      </x:c>
      <x:c r="S5" s="29" t="n">
        <x:v>66.5</x:v>
      </x:c>
      <x:c r="T5" s="29" t="n">
        <x:v>25.546028</x:v>
      </x:c>
      <x:c r="U5" s="28" t="n">
        <x:v>0.21834211965811964</x:v>
      </x:c>
      <x:c r="V5" s="27" t="n">
        <x:v>9580</x:v>
      </x:c>
      <x:c r="W5" s="27" t="n">
        <x:v>43875</x:v>
      </x:c>
      <x:c r="X5" s="27" t="n">
        <x:f>L5*M5</x:f>
        <x:v>43875</x:v>
      </x:c>
      <x:c r="Y5" s="27" t="n">
        <x:f>L5*T5</x:f>
        <x:v>9579.7605</x:v>
      </x:c>
      <x:c r="Z5" s="27" t="n">
        <x:f>X5-W5</x:f>
        <x:v>0</x:v>
      </x:c>
      <x:c r="AA5" s="27" t="n">
        <x:f>Y5-V5</x:f>
        <x:v>-0.23949999999967986</x:v>
      </x:c>
    </x:row>
    <x:row r="6">
      <x:c r="A6" s="24" t="n">
        <x:v>14</x:v>
      </x:c>
      <x:c r="B6" s="24" t="str">
        <x:v>桂圓黑糖_None_None_130.0</x:v>
      </x:c>
      <x:c r="C6" s="24" t="str">
        <x:v>未分類</x:v>
      </x:c>
      <x:c r="D6" s="24" t="str">
        <x:v>未標示規格</x:v>
      </x:c>
      <x:c r="E6" s="24" t="str"/>
      <x:c r="F6" s="24" t="str"/>
      <x:c r="G6" s="24" t="str">
        <x:v>桂圓黑糖</x:v>
      </x:c>
      <x:c r="H6" s="24" t="str"/>
      <x:c r="I6" s="27"/>
      <x:c r="J6" s="24" t="str"/>
      <x:c r="K6" s="24" t="str">
        <x:v>missing_spec</x:v>
      </x:c>
      <x:c r="L6" s="27" t="n">
        <x:v>163</x:v>
      </x:c>
      <x:c r="M6" s="27" t="n">
        <x:v>130</x:v>
      </x:c>
      <x:c r="N6" s="27" t="n">
        <x:v>30</x:v>
      </x:c>
      <x:c r="O6" s="27" t="n">
        <x:v>100</x:v>
      </x:c>
      <x:c r="P6" s="28" t="n">
        <x:v>76.92</x:v>
      </x:c>
      <x:c r="Q6" s="29" t="n">
        <x:v>67.33774667</x:v>
      </x:c>
      <x:c r="R6" s="29" t="n">
        <x:v>6.5</x:v>
      </x:c>
      <x:c r="S6" s="29" t="n">
        <x:v>73.8</x:v>
      </x:c>
      <x:c r="T6" s="29" t="n">
        <x:v>26.16225333</x:v>
      </x:c>
      <x:c r="U6" s="28" t="n">
        <x:v>0.20124810253846154</x:v>
      </x:c>
      <x:c r="V6" s="27" t="n">
        <x:v>4264</x:v>
      </x:c>
      <x:c r="W6" s="27" t="n">
        <x:v>21190</x:v>
      </x:c>
      <x:c r="X6" s="27" t="n">
        <x:f>L6*M6</x:f>
        <x:v>21190</x:v>
      </x:c>
      <x:c r="Y6" s="27" t="n">
        <x:f>L6*T6</x:f>
        <x:v>4264.44729279</x:v>
      </x:c>
      <x:c r="Z6" s="27" t="n">
        <x:f>X6-W6</x:f>
        <x:v>0</x:v>
      </x:c>
      <x:c r="AA6" s="27" t="n">
        <x:f>Y6-V6</x:f>
        <x:v>0.4472927899996648</x:v>
      </x:c>
    </x:row>
    <x:row r="7">
      <x:c r="A7" s="24" t="n">
        <x:v>15</x:v>
      </x:c>
      <x:c r="B7" s="24" t="str">
        <x:v>玫瑰四物黑糖_None_None_130.0</x:v>
      </x:c>
      <x:c r="C7" s="24" t="str">
        <x:v>未分類</x:v>
      </x:c>
      <x:c r="D7" s="24" t="str">
        <x:v>未標示規格</x:v>
      </x:c>
      <x:c r="E7" s="24" t="str"/>
      <x:c r="F7" s="24" t="str"/>
      <x:c r="G7" s="24" t="str">
        <x:v>玫瑰四物黑糖</x:v>
      </x:c>
      <x:c r="H7" s="24" t="str"/>
      <x:c r="I7" s="27"/>
      <x:c r="J7" s="24" t="str"/>
      <x:c r="K7" s="24" t="str">
        <x:v>missing_spec</x:v>
      </x:c>
      <x:c r="L7" s="27" t="n">
        <x:v>246</x:v>
      </x:c>
      <x:c r="M7" s="27" t="n">
        <x:v>130</x:v>
      </x:c>
      <x:c r="N7" s="27" t="n">
        <x:v>24</x:v>
      </x:c>
      <x:c r="O7" s="27" t="n">
        <x:v>106</x:v>
      </x:c>
      <x:c r="P7" s="28" t="n">
        <x:v>81.54</x:v>
      </x:c>
      <x:c r="Q7" s="29" t="n">
        <x:v>67.33774667</x:v>
      </x:c>
      <x:c r="R7" s="29" t="n">
        <x:v>6.5</x:v>
      </x:c>
      <x:c r="S7" s="29" t="n">
        <x:v>73.8</x:v>
      </x:c>
      <x:c r="T7" s="29" t="n">
        <x:v>32.16225333</x:v>
      </x:c>
      <x:c r="U7" s="28" t="n">
        <x:v>0.2474019486923077</x:v>
      </x:c>
      <x:c r="V7" s="27" t="n">
        <x:v>7912</x:v>
      </x:c>
      <x:c r="W7" s="27" t="n">
        <x:v>31980</x:v>
      </x:c>
      <x:c r="X7" s="27" t="n">
        <x:f>L7*M7</x:f>
        <x:v>31980</x:v>
      </x:c>
      <x:c r="Y7" s="27" t="n">
        <x:f>L7*T7</x:f>
        <x:v>7911.914319179999</x:v>
      </x:c>
      <x:c r="Z7" s="27" t="n">
        <x:f>X7-W7</x:f>
        <x:v>0</x:v>
      </x:c>
      <x:c r="AA7" s="27" t="n">
        <x:f>Y7-V7</x:f>
        <x:v>-0.08568082000056165</x:v>
      </x:c>
    </x:row>
    <x:row r="8">
      <x:c r="A8" s="24" t="n">
        <x:v>16</x:v>
      </x:c>
      <x:c r="B8" s="24" t="str">
        <x:v>原味黑糖 _農會_手切夾鏈袋_110.0</x:v>
      </x:c>
      <x:c r="C8" s="24" t="str">
        <x:v>農會</x:v>
      </x:c>
      <x:c r="D8" s="24" t="str">
        <x:v>手切夾鏈袋</x:v>
      </x:c>
      <x:c r="E8" s="24" t="str"/>
      <x:c r="F8" s="24" t="str">
        <x:v>36包(一箱)</x:v>
      </x:c>
      <x:c r="G8" s="24" t="str">
        <x:v>原味黑糖</x:v>
      </x:c>
      <x:c r="H8" s="24" t="str">
        <x:v>380.0g</x:v>
      </x:c>
      <x:c r="I8" s="27" t="n">
        <x:v>380</x:v>
      </x:c>
      <x:c r="J8" s="24" t="str">
        <x:v>g</x:v>
      </x:c>
      <x:c r="K8" s="24" t="str"/>
      <x:c r="L8" s="27" t="n">
        <x:v>360</x:v>
      </x:c>
      <x:c r="M8" s="27" t="n">
        <x:v>110</x:v>
      </x:c>
      <x:c r="N8" s="27" t="n">
        <x:v>22</x:v>
      </x:c>
      <x:c r="O8" s="27" t="n">
        <x:v>88</x:v>
      </x:c>
      <x:c r="P8" s="28" t="n">
        <x:v>80</x:v>
      </x:c>
      <x:c r="Q8" s="29" t="n">
        <x:v>56.97809333</x:v>
      </x:c>
      <x:c r="R8" s="29" t="n">
        <x:v>5.5</x:v>
      </x:c>
      <x:c r="S8" s="29" t="n">
        <x:v>62.5</x:v>
      </x:c>
      <x:c r="T8" s="29" t="n">
        <x:v>25.52190667</x:v>
      </x:c>
      <x:c r="U8" s="28" t="n">
        <x:v>0.23201733336363636</x:v>
      </x:c>
      <x:c r="V8" s="27" t="n">
        <x:v>9188</x:v>
      </x:c>
      <x:c r="W8" s="27" t="n">
        <x:v>39600</x:v>
      </x:c>
      <x:c r="X8" s="27" t="n">
        <x:f>L8*M8</x:f>
        <x:v>39600</x:v>
      </x:c>
      <x:c r="Y8" s="27" t="n">
        <x:f>L8*T8</x:f>
        <x:v>9187.8864012</x:v>
      </x:c>
      <x:c r="Z8" s="27" t="n">
        <x:f>X8-W8</x:f>
        <x:v>0</x:v>
      </x:c>
      <x:c r="AA8" s="27" t="n">
        <x:f>Y8-V8</x:f>
        <x:v>-0.11359880000054545</x:v>
      </x:c>
    </x:row>
    <x:row r="9">
      <x:c r="A9" s="24" t="n">
        <x:v>17</x:v>
      </x:c>
      <x:c r="B9" s="24" t="str">
        <x:v>薑汁黑糖_None_None_110.0</x:v>
      </x:c>
      <x:c r="C9" s="24" t="str">
        <x:v>未分類</x:v>
      </x:c>
      <x:c r="D9" s="24" t="str">
        <x:v>未標示規格</x:v>
      </x:c>
      <x:c r="E9" s="24" t="str"/>
      <x:c r="F9" s="24" t="str"/>
      <x:c r="G9" s="24" t="str">
        <x:v>薑汁黑糖</x:v>
      </x:c>
      <x:c r="H9" s="24" t="str"/>
      <x:c r="I9" s="27"/>
      <x:c r="J9" s="24" t="str"/>
      <x:c r="K9" s="24" t="str">
        <x:v>missing_spec</x:v>
      </x:c>
      <x:c r="L9" s="27" t="n">
        <x:v>756</x:v>
      </x:c>
      <x:c r="M9" s="27" t="n">
        <x:v>110</x:v>
      </x:c>
      <x:c r="N9" s="27" t="n">
        <x:v>25</x:v>
      </x:c>
      <x:c r="O9" s="27" t="n">
        <x:v>85</x:v>
      </x:c>
      <x:c r="P9" s="28" t="n">
        <x:v>77.27</x:v>
      </x:c>
      <x:c r="Q9" s="29" t="n">
        <x:v>56.97809333</x:v>
      </x:c>
      <x:c r="R9" s="29" t="n">
        <x:v>5.5</x:v>
      </x:c>
      <x:c r="S9" s="29" t="n">
        <x:v>62.5</x:v>
      </x:c>
      <x:c r="T9" s="29" t="n">
        <x:v>22.52190667</x:v>
      </x:c>
      <x:c r="U9" s="28" t="n">
        <x:v>0.20474460609090908</x:v>
      </x:c>
      <x:c r="V9" s="27" t="n">
        <x:v>17027</x:v>
      </x:c>
      <x:c r="W9" s="27" t="n">
        <x:v>83160</x:v>
      </x:c>
      <x:c r="X9" s="27" t="n">
        <x:f>L9*M9</x:f>
        <x:v>83160</x:v>
      </x:c>
      <x:c r="Y9" s="27" t="n">
        <x:f>L9*T9</x:f>
        <x:v>17026.56144252</x:v>
      </x:c>
      <x:c r="Z9" s="27" t="n">
        <x:f>X9-W9</x:f>
        <x:v>0</x:v>
      </x:c>
      <x:c r="AA9" s="27" t="n">
        <x:f>Y9-V9</x:f>
        <x:v>-0.43855747999987216</x:v>
      </x:c>
    </x:row>
    <x:row r="10">
      <x:c r="A10" s="24" t="n">
        <x:v>18</x:v>
      </x:c>
      <x:c r="B10" s="24" t="str">
        <x:v>桂圓黑糖_None_None_122.0</x:v>
      </x:c>
      <x:c r="C10" s="24" t="str">
        <x:v>未分類</x:v>
      </x:c>
      <x:c r="D10" s="24" t="str">
        <x:v>未標示規格</x:v>
      </x:c>
      <x:c r="E10" s="24" t="str"/>
      <x:c r="F10" s="24" t="str"/>
      <x:c r="G10" s="24" t="str">
        <x:v>桂圓黑糖</x:v>
      </x:c>
      <x:c r="H10" s="24" t="str"/>
      <x:c r="I10" s="27"/>
      <x:c r="J10" s="24" t="str"/>
      <x:c r="K10" s="24" t="str">
        <x:v>missing_spec</x:v>
      </x:c>
      <x:c r="L10" s="27" t="n">
        <x:v>396</x:v>
      </x:c>
      <x:c r="M10" s="27" t="n">
        <x:v>122</x:v>
      </x:c>
      <x:c r="N10" s="27" t="n">
        <x:v>30</x:v>
      </x:c>
      <x:c r="O10" s="27" t="n">
        <x:v>92</x:v>
      </x:c>
      <x:c r="P10" s="28" t="n">
        <x:v>75.41</x:v>
      </x:c>
      <x:c r="Q10" s="29" t="n">
        <x:v>63.19388533</x:v>
      </x:c>
      <x:c r="R10" s="29" t="n">
        <x:v>6.1</x:v>
      </x:c>
      <x:c r="S10" s="29" t="n">
        <x:v>69.3</x:v>
      </x:c>
      <x:c r="T10" s="29" t="n">
        <x:v>22.706114669999998</x:v>
      </x:c>
      <x:c r="U10" s="28" t="n">
        <x:v>0.18611569401639344</x:v>
      </x:c>
      <x:c r="V10" s="27" t="n">
        <x:v>8992</x:v>
      </x:c>
      <x:c r="W10" s="27" t="n">
        <x:v>48312</x:v>
      </x:c>
      <x:c r="X10" s="27" t="n">
        <x:f>L10*M10</x:f>
        <x:v>48312</x:v>
      </x:c>
      <x:c r="Y10" s="27" t="n">
        <x:f>L10*T10</x:f>
        <x:v>8991.62140932</x:v>
      </x:c>
      <x:c r="Z10" s="27" t="n">
        <x:f>X10-W10</x:f>
        <x:v>0</x:v>
      </x:c>
      <x:c r="AA10" s="27" t="n">
        <x:f>Y10-V10</x:f>
        <x:v>-0.3785906800003431</x:v>
      </x:c>
    </x:row>
    <x:row r="11">
      <x:c r="A11" s="24" t="n">
        <x:v>19</x:v>
      </x:c>
      <x:c r="B11" s="24" t="str">
        <x:v>玫瑰四物黑糖_None_None_122.0</x:v>
      </x:c>
      <x:c r="C11" s="24" t="str">
        <x:v>未分類</x:v>
      </x:c>
      <x:c r="D11" s="24" t="str">
        <x:v>未標示規格</x:v>
      </x:c>
      <x:c r="E11" s="24" t="str"/>
      <x:c r="F11" s="24" t="str"/>
      <x:c r="G11" s="24" t="str">
        <x:v>玫瑰四物黑糖</x:v>
      </x:c>
      <x:c r="H11" s="24" t="str"/>
      <x:c r="I11" s="27"/>
      <x:c r="J11" s="24" t="str"/>
      <x:c r="K11" s="24" t="str">
        <x:v>missing_spec</x:v>
      </x:c>
      <x:c r="L11" s="27" t="n">
        <x:v>360</x:v>
      </x:c>
      <x:c r="M11" s="27" t="n">
        <x:v>122</x:v>
      </x:c>
      <x:c r="N11" s="27" t="n">
        <x:v>24</x:v>
      </x:c>
      <x:c r="O11" s="27" t="n">
        <x:v>98</x:v>
      </x:c>
      <x:c r="P11" s="28" t="n">
        <x:v>80.33</x:v>
      </x:c>
      <x:c r="Q11" s="29" t="n">
        <x:v>63.19388533</x:v>
      </x:c>
      <x:c r="R11" s="29" t="n">
        <x:v>6.1</x:v>
      </x:c>
      <x:c r="S11" s="29" t="n">
        <x:v>69.3</x:v>
      </x:c>
      <x:c r="T11" s="29" t="n">
        <x:v>28.706114669999998</x:v>
      </x:c>
      <x:c r="U11" s="28" t="n">
        <x:v>0.2352960218852459</x:v>
      </x:c>
      <x:c r="V11" s="27" t="n">
        <x:v>10334</x:v>
      </x:c>
      <x:c r="W11" s="27" t="n">
        <x:v>43920</x:v>
      </x:c>
      <x:c r="X11" s="27" t="n">
        <x:f>L11*M11</x:f>
        <x:v>43920</x:v>
      </x:c>
      <x:c r="Y11" s="27" t="n">
        <x:f>L11*T11</x:f>
        <x:v>10334.2012812</x:v>
      </x:c>
      <x:c r="Z11" s="27" t="n">
        <x:f>X11-W11</x:f>
        <x:v>0</x:v>
      </x:c>
      <x:c r="AA11" s="27" t="n">
        <x:f>Y11-V11</x:f>
        <x:v>0.20128119999935734</x:v>
      </x:c>
    </x:row>
    <x:row r="12">
      <x:c r="A12" s="24" t="n">
        <x:v>20</x:v>
      </x:c>
      <x:c r="B12" s="24" t="str">
        <x:v>原味黑糖 _埔里農會_手切夾鏈袋_99.0</x:v>
      </x:c>
      <x:c r="C12" s="24" t="str">
        <x:v>埔里農會</x:v>
      </x:c>
      <x:c r="D12" s="24" t="str">
        <x:v>手切夾鏈袋</x:v>
      </x:c>
      <x:c r="E12" s="24" t="str"/>
      <x:c r="F12" s="24" t="str">
        <x:v>36包(一箱)</x:v>
      </x:c>
      <x:c r="G12" s="24" t="str">
        <x:v>原味黑糖</x:v>
      </x:c>
      <x:c r="H12" s="24" t="str">
        <x:v>380.0g</x:v>
      </x:c>
      <x:c r="I12" s="27" t="n">
        <x:v>380</x:v>
      </x:c>
      <x:c r="J12" s="24" t="str">
        <x:v>g</x:v>
      </x:c>
      <x:c r="K12" s="24" t="str"/>
      <x:c r="L12" s="27" t="n">
        <x:v>288</x:v>
      </x:c>
      <x:c r="M12" s="27" t="n">
        <x:v>99</x:v>
      </x:c>
      <x:c r="N12" s="27" t="n">
        <x:v>22</x:v>
      </x:c>
      <x:c r="O12" s="27" t="n">
        <x:v>77</x:v>
      </x:c>
      <x:c r="P12" s="28" t="n">
        <x:v>77.78</x:v>
      </x:c>
      <x:c r="Q12" s="29" t="n">
        <x:v>51.280284</x:v>
      </x:c>
      <x:c r="R12" s="29" t="n">
        <x:v>4.95</x:v>
      </x:c>
      <x:c r="S12" s="29" t="n">
        <x:v>56.2</x:v>
      </x:c>
      <x:c r="T12" s="29" t="n">
        <x:v>20.769716</x:v>
      </x:c>
      <x:c r="U12" s="28" t="n">
        <x:v>0.2097951111111111</x:v>
      </x:c>
      <x:c r="V12" s="27" t="n">
        <x:v>5982</x:v>
      </x:c>
      <x:c r="W12" s="27" t="n">
        <x:v>28512</x:v>
      </x:c>
      <x:c r="X12" s="27" t="n">
        <x:f>L12*M12</x:f>
        <x:v>28512</x:v>
      </x:c>
      <x:c r="Y12" s="27" t="n">
        <x:f>L12*T12</x:f>
        <x:v>5981.678207999999</x:v>
      </x:c>
      <x:c r="Z12" s="27" t="n">
        <x:f>X12-W12</x:f>
        <x:v>0</x:v>
      </x:c>
      <x:c r="AA12" s="27" t="n">
        <x:f>Y12-V12</x:f>
        <x:v>-0.32179200000064156</x:v>
      </x:c>
    </x:row>
    <x:row r="13">
      <x:c r="A13" s="24" t="n">
        <x:v>21</x:v>
      </x:c>
      <x:c r="B13" s="24" t="str">
        <x:v>薑汁黑糖_None_None_99.0</x:v>
      </x:c>
      <x:c r="C13" s="24" t="str">
        <x:v>未分類</x:v>
      </x:c>
      <x:c r="D13" s="24" t="str">
        <x:v>未標示規格</x:v>
      </x:c>
      <x:c r="E13" s="24" t="str"/>
      <x:c r="F13" s="24" t="str"/>
      <x:c r="G13" s="24" t="str">
        <x:v>薑汁黑糖</x:v>
      </x:c>
      <x:c r="H13" s="24" t="str"/>
      <x:c r="I13" s="27"/>
      <x:c r="J13" s="24" t="str"/>
      <x:c r="K13" s="24" t="str">
        <x:v>missing_spec</x:v>
      </x:c>
      <x:c r="L13" s="27" t="n">
        <x:v>1980</x:v>
      </x:c>
      <x:c r="M13" s="27" t="n">
        <x:v>99</x:v>
      </x:c>
      <x:c r="N13" s="27" t="n">
        <x:v>25</x:v>
      </x:c>
      <x:c r="O13" s="27" t="n">
        <x:v>74</x:v>
      </x:c>
      <x:c r="P13" s="28" t="n">
        <x:v>74.75</x:v>
      </x:c>
      <x:c r="Q13" s="29" t="n">
        <x:v>51.280284</x:v>
      </x:c>
      <x:c r="R13" s="29" t="n">
        <x:v>4.95</x:v>
      </x:c>
      <x:c r="S13" s="29" t="n">
        <x:v>56.2</x:v>
      </x:c>
      <x:c r="T13" s="29" t="n">
        <x:v>17.769716</x:v>
      </x:c>
      <x:c r="U13" s="28" t="n">
        <x:v>0.1794920808080808</x:v>
      </x:c>
      <x:c r="V13" s="27" t="n">
        <x:v>35184</x:v>
      </x:c>
      <x:c r="W13" s="27" t="n">
        <x:v>196020</x:v>
      </x:c>
      <x:c r="X13" s="27" t="n">
        <x:f>L13*M13</x:f>
        <x:v>196020</x:v>
      </x:c>
      <x:c r="Y13" s="27" t="n">
        <x:f>L13*T13</x:f>
        <x:v>35184.03768</x:v>
      </x:c>
      <x:c r="Z13" s="27" t="n">
        <x:f>X13-W13</x:f>
        <x:v>0</x:v>
      </x:c>
      <x:c r="AA13" s="27" t="n">
        <x:f>Y13-V13</x:f>
        <x:v>0.037680000001273584</x:v>
      </x:c>
    </x:row>
    <x:row r="14">
      <x:c r="A14" s="24" t="n">
        <x:v>22</x:v>
      </x:c>
      <x:c r="B14" s="24" t="str">
        <x:v>桂圓黑糖_None_None_110.0</x:v>
      </x:c>
      <x:c r="C14" s="24" t="str">
        <x:v>未分類</x:v>
      </x:c>
      <x:c r="D14" s="24" t="str">
        <x:v>未標示規格</x:v>
      </x:c>
      <x:c r="E14" s="24" t="str"/>
      <x:c r="F14" s="24" t="str"/>
      <x:c r="G14" s="24" t="str">
        <x:v>桂圓黑糖</x:v>
      </x:c>
      <x:c r="H14" s="24" t="str"/>
      <x:c r="I14" s="27"/>
      <x:c r="J14" s="24" t="str"/>
      <x:c r="K14" s="24" t="str">
        <x:v>missing_spec</x:v>
      </x:c>
      <x:c r="L14" s="27" t="n">
        <x:v>828</x:v>
      </x:c>
      <x:c r="M14" s="27" t="n">
        <x:v>110</x:v>
      </x:c>
      <x:c r="N14" s="27" t="n">
        <x:v>30</x:v>
      </x:c>
      <x:c r="O14" s="27" t="n">
        <x:v>80</x:v>
      </x:c>
      <x:c r="P14" s="28" t="n">
        <x:v>72.73</x:v>
      </x:c>
      <x:c r="Q14" s="29" t="n">
        <x:v>56.97809333</x:v>
      </x:c>
      <x:c r="R14" s="29" t="n">
        <x:v>5.5</x:v>
      </x:c>
      <x:c r="S14" s="29" t="n">
        <x:v>62.5</x:v>
      </x:c>
      <x:c r="T14" s="29" t="n">
        <x:v>17.52190667</x:v>
      </x:c>
      <x:c r="U14" s="28" t="n">
        <x:v>0.15929006063636364</x:v>
      </x:c>
      <x:c r="V14" s="27" t="n">
        <x:v>14508</x:v>
      </x:c>
      <x:c r="W14" s="27" t="n">
        <x:v>91080</x:v>
      </x:c>
      <x:c r="X14" s="27" t="n">
        <x:f>L14*M14</x:f>
        <x:v>91080</x:v>
      </x:c>
      <x:c r="Y14" s="27" t="n">
        <x:f>L14*T14</x:f>
        <x:v>14508.13872276</x:v>
      </x:c>
      <x:c r="Z14" s="27" t="n">
        <x:f>X14-W14</x:f>
        <x:v>0</x:v>
      </x:c>
      <x:c r="AA14" s="27" t="n">
        <x:f>Y14-V14</x:f>
        <x:v>0.13872276000074635</x:v>
      </x:c>
    </x:row>
    <x:row r="15">
      <x:c r="A15" s="24" t="n">
        <x:v>23</x:v>
      </x:c>
      <x:c r="B15" s="24" t="str">
        <x:v>玫瑰四物黑糖_None_None_110.0</x:v>
      </x:c>
      <x:c r="C15" s="24" t="str">
        <x:v>未分類</x:v>
      </x:c>
      <x:c r="D15" s="24" t="str">
        <x:v>未標示規格</x:v>
      </x:c>
      <x:c r="E15" s="24" t="str"/>
      <x:c r="F15" s="24" t="str"/>
      <x:c r="G15" s="24" t="str">
        <x:v>玫瑰四物黑糖</x:v>
      </x:c>
      <x:c r="H15" s="24" t="str"/>
      <x:c r="I15" s="27"/>
      <x:c r="J15" s="24" t="str"/>
      <x:c r="K15" s="24" t="str">
        <x:v>missing_spec</x:v>
      </x:c>
      <x:c r="L15" s="27" t="n">
        <x:v>468</x:v>
      </x:c>
      <x:c r="M15" s="27" t="n">
        <x:v>110</x:v>
      </x:c>
      <x:c r="N15" s="27" t="n">
        <x:v>24</x:v>
      </x:c>
      <x:c r="O15" s="27" t="n">
        <x:v>86</x:v>
      </x:c>
      <x:c r="P15" s="28" t="n">
        <x:v>78.18</x:v>
      </x:c>
      <x:c r="Q15" s="29" t="n">
        <x:v>56.97809333</x:v>
      </x:c>
      <x:c r="R15" s="29" t="n">
        <x:v>5.5</x:v>
      </x:c>
      <x:c r="S15" s="29" t="n">
        <x:v>62.5</x:v>
      </x:c>
      <x:c r="T15" s="29" t="n">
        <x:v>23.52190667</x:v>
      </x:c>
      <x:c r="U15" s="28" t="n">
        <x:v>0.21383551518181818</x:v>
      </x:c>
      <x:c r="V15" s="27" t="n">
        <x:v>11008</x:v>
      </x:c>
      <x:c r="W15" s="27" t="n">
        <x:v>51480</x:v>
      </x:c>
      <x:c r="X15" s="27" t="n">
        <x:f>L15*M15</x:f>
        <x:v>51480</x:v>
      </x:c>
      <x:c r="Y15" s="27" t="n">
        <x:f>L15*T15</x:f>
        <x:v>11008.25232156</x:v>
      </x:c>
      <x:c r="Z15" s="27" t="n">
        <x:f>X15-W15</x:f>
        <x:v>0</x:v>
      </x:c>
      <x:c r="AA15" s="27" t="n">
        <x:f>Y15-V15</x:f>
        <x:v>0.2523215599994728</x:v>
      </x:c>
    </x:row>
    <x:row r="16">
      <x:c r="A16" s="24" t="n">
        <x:v>28</x:v>
      </x:c>
      <x:c r="B16" s="24" t="str">
        <x:v>原味黑糖 _None_手切_100.0</x:v>
      </x:c>
      <x:c r="C16" s="24" t="str">
        <x:v>未分類</x:v>
      </x:c>
      <x:c r="D16" s="24" t="str">
        <x:v>手切</x:v>
      </x:c>
      <x:c r="E16" s="24" t="str"/>
      <x:c r="F16" s="24" t="str">
        <x:v>40台斤(一箱)</x:v>
      </x:c>
      <x:c r="G16" s="24" t="str">
        <x:v>原味黑糖</x:v>
      </x:c>
      <x:c r="H16" s="24" t="str">
        <x:v>600g</x:v>
      </x:c>
      <x:c r="I16" s="27" t="n">
        <x:v>600</x:v>
      </x:c>
      <x:c r="J16" s="24" t="str">
        <x:v>g</x:v>
      </x:c>
      <x:c r="K16" s="24" t="str"/>
      <x:c r="L16" s="27" t="n">
        <x:v>240</x:v>
      </x:c>
      <x:c r="M16" s="27" t="n">
        <x:v>100</x:v>
      </x:c>
      <x:c r="N16" s="27" t="n">
        <x:v>21</x:v>
      </x:c>
      <x:c r="O16" s="27" t="n">
        <x:v>79</x:v>
      </x:c>
      <x:c r="P16" s="28" t="n">
        <x:v>79</x:v>
      </x:c>
      <x:c r="Q16" s="29" t="n">
        <x:v>51.79826667</x:v>
      </x:c>
      <x:c r="R16" s="29" t="n">
        <x:v>5</x:v>
      </x:c>
      <x:c r="S16" s="29" t="n">
        <x:v>56.8</x:v>
      </x:c>
      <x:c r="T16" s="29" t="n">
        <x:v>22.201733330000003</x:v>
      </x:c>
      <x:c r="U16" s="28" t="n">
        <x:v>0.22201733330000004</x:v>
      </x:c>
      <x:c r="V16" s="27" t="n">
        <x:v>5328</x:v>
      </x:c>
      <x:c r="W16" s="27" t="n">
        <x:v>24000</x:v>
      </x:c>
      <x:c r="X16" s="27" t="n">
        <x:f>L16*M16</x:f>
        <x:v>24000</x:v>
      </x:c>
      <x:c r="Y16" s="27" t="n">
        <x:f>L16*T16</x:f>
        <x:v>5328.4159992</x:v>
      </x:c>
      <x:c r="Z16" s="27" t="n">
        <x:f>X16-W16</x:f>
        <x:v>0</x:v>
      </x:c>
      <x:c r="AA16" s="27" t="n">
        <x:f>Y16-V16</x:f>
        <x:v>0.4159992000004422</x:v>
      </x:c>
    </x:row>
    <x:row r="17">
      <x:c r="A17" s="24" t="n">
        <x:v>29</x:v>
      </x:c>
      <x:c r="B17" s="24" t="str">
        <x:v>薑汁黑糖_None_None_110.0</x:v>
      </x:c>
      <x:c r="C17" s="24" t="str">
        <x:v>未分類</x:v>
      </x:c>
      <x:c r="D17" s="24" t="str">
        <x:v>未標示規格</x:v>
      </x:c>
      <x:c r="E17" s="24" t="str"/>
      <x:c r="F17" s="24" t="str"/>
      <x:c r="G17" s="24" t="str">
        <x:v>薑汁黑糖</x:v>
      </x:c>
      <x:c r="H17" s="24" t="str"/>
      <x:c r="I17" s="27"/>
      <x:c r="J17" s="24" t="str"/>
      <x:c r="K17" s="24" t="str">
        <x:v>missing_spec</x:v>
      </x:c>
      <x:c r="L17" s="27" t="n">
        <x:v>1020</x:v>
      </x:c>
      <x:c r="M17" s="27" t="n">
        <x:v>110</x:v>
      </x:c>
      <x:c r="N17" s="27" t="n">
        <x:v>27</x:v>
      </x:c>
      <x:c r="O17" s="27" t="n">
        <x:v>83</x:v>
      </x:c>
      <x:c r="P17" s="28" t="n">
        <x:v>75.45</x:v>
      </x:c>
      <x:c r="Q17" s="29" t="n">
        <x:v>56.97809333</x:v>
      </x:c>
      <x:c r="R17" s="29" t="n">
        <x:v>5.5</x:v>
      </x:c>
      <x:c r="S17" s="29" t="n">
        <x:v>62.5</x:v>
      </x:c>
      <x:c r="T17" s="29" t="n">
        <x:v>20.52190667</x:v>
      </x:c>
      <x:c r="U17" s="28" t="n">
        <x:v>0.18656278790909092</x:v>
      </x:c>
      <x:c r="V17" s="27" t="n">
        <x:v>20932</x:v>
      </x:c>
      <x:c r="W17" s="27" t="n">
        <x:v>112200</x:v>
      </x:c>
      <x:c r="X17" s="27" t="n">
        <x:f>L17*M17</x:f>
        <x:v>112200</x:v>
      </x:c>
      <x:c r="Y17" s="27" t="n">
        <x:f>L17*T17</x:f>
        <x:v>20932.3448034</x:v>
      </x:c>
      <x:c r="Z17" s="27" t="n">
        <x:f>X17-W17</x:f>
        <x:v>0</x:v>
      </x:c>
      <x:c r="AA17" s="27" t="n">
        <x:f>Y17-V17</x:f>
        <x:v>0.34480339999936405</x:v>
      </x:c>
    </x:row>
    <x:row r="18">
      <x:c r="A18" s="24" t="n">
        <x:v>30</x:v>
      </x:c>
      <x:c r="B18" s="24" t="str">
        <x:v>桂圓黑糖_None_None_140.0</x:v>
      </x:c>
      <x:c r="C18" s="24" t="str">
        <x:v>未分類</x:v>
      </x:c>
      <x:c r="D18" s="24" t="str">
        <x:v>未標示規格</x:v>
      </x:c>
      <x:c r="E18" s="24" t="str"/>
      <x:c r="F18" s="24" t="str"/>
      <x:c r="G18" s="24" t="str">
        <x:v>桂圓黑糖</x:v>
      </x:c>
      <x:c r="H18" s="24" t="str"/>
      <x:c r="I18" s="27"/>
      <x:c r="J18" s="24" t="str"/>
      <x:c r="K18" s="24" t="str">
        <x:v>missing_spec</x:v>
      </x:c>
      <x:c r="L18" s="27" t="n">
        <x:v>120</x:v>
      </x:c>
      <x:c r="M18" s="27" t="n">
        <x:v>140</x:v>
      </x:c>
      <x:c r="N18" s="27" t="n">
        <x:v>33</x:v>
      </x:c>
      <x:c r="O18" s="27" t="n">
        <x:v>107</x:v>
      </x:c>
      <x:c r="P18" s="28" t="n">
        <x:v>76.43</x:v>
      </x:c>
      <x:c r="Q18" s="29" t="n">
        <x:v>72.51757333</x:v>
      </x:c>
      <x:c r="R18" s="29" t="n">
        <x:v>7</x:v>
      </x:c>
      <x:c r="S18" s="29" t="n">
        <x:v>79.5</x:v>
      </x:c>
      <x:c r="T18" s="29" t="n">
        <x:v>27.482426669999995</x:v>
      </x:c>
      <x:c r="U18" s="28" t="n">
        <x:v>0.1963030476428571</x:v>
      </x:c>
      <x:c r="V18" s="27" t="n">
        <x:v>3298</x:v>
      </x:c>
      <x:c r="W18" s="27" t="n">
        <x:v>16800</x:v>
      </x:c>
      <x:c r="X18" s="27" t="n">
        <x:f>L18*M18</x:f>
        <x:v>16800</x:v>
      </x:c>
      <x:c r="Y18" s="27" t="n">
        <x:f>L18*T18</x:f>
        <x:v>3297.8912003999994</x:v>
      </x:c>
      <x:c r="Z18" s="27" t="n">
        <x:f>X18-W18</x:f>
        <x:v>0</x:v>
      </x:c>
      <x:c r="AA18" s="27" t="n">
        <x:f>Y18-V18</x:f>
        <x:v>-0.10879960000056599</x:v>
      </x:c>
    </x:row>
    <x:row r="19">
      <x:c r="A19" s="24" t="n">
        <x:v>31</x:v>
      </x:c>
      <x:c r="B19" s="24" t="str">
        <x:v>玫瑰四物黑糖_None_None_130.0</x:v>
      </x:c>
      <x:c r="C19" s="24" t="str">
        <x:v>未分類</x:v>
      </x:c>
      <x:c r="D19" s="24" t="str">
        <x:v>未標示規格</x:v>
      </x:c>
      <x:c r="E19" s="24" t="str"/>
      <x:c r="F19" s="24" t="str"/>
      <x:c r="G19" s="24" t="str">
        <x:v>玫瑰四物黑糖</x:v>
      </x:c>
      <x:c r="H19" s="24" t="str"/>
      <x:c r="I19" s="27"/>
      <x:c r="J19" s="24" t="str"/>
      <x:c r="K19" s="24" t="str">
        <x:v>missing_spec</x:v>
      </x:c>
      <x:c r="L19" s="27" t="n">
        <x:v>40</x:v>
      </x:c>
      <x:c r="M19" s="27" t="n">
        <x:v>130</x:v>
      </x:c>
      <x:c r="N19" s="27" t="n">
        <x:v>26</x:v>
      </x:c>
      <x:c r="O19" s="27" t="n">
        <x:v>104</x:v>
      </x:c>
      <x:c r="P19" s="28" t="n">
        <x:v>80</x:v>
      </x:c>
      <x:c r="Q19" s="29" t="n">
        <x:v>67.33774667</x:v>
      </x:c>
      <x:c r="R19" s="29" t="n">
        <x:v>6.5</x:v>
      </x:c>
      <x:c r="S19" s="29" t="n">
        <x:v>73.8</x:v>
      </x:c>
      <x:c r="T19" s="29" t="n">
        <x:v>30.16225333</x:v>
      </x:c>
      <x:c r="U19" s="28" t="n">
        <x:v>0.2320173333076923</x:v>
      </x:c>
      <x:c r="V19" s="27" t="n">
        <x:v>1206</x:v>
      </x:c>
      <x:c r="W19" s="27" t="n">
        <x:v>5200</x:v>
      </x:c>
      <x:c r="X19" s="27" t="n">
        <x:f>L19*M19</x:f>
        <x:v>5200</x:v>
      </x:c>
      <x:c r="Y19" s="27" t="n">
        <x:f>L19*T19</x:f>
        <x:v>1206.4901332</x:v>
      </x:c>
      <x:c r="Z19" s="27" t="n">
        <x:f>X19-W19</x:f>
        <x:v>0</x:v>
      </x:c>
      <x:c r="AA19" s="27" t="n">
        <x:f>Y19-V19</x:f>
        <x:v>0.49013319999994565</x:v>
      </x:c>
    </x:row>
    <x:row r="20">
      <x:c r="A20" s="24" t="n">
        <x:v>38</x:v>
      </x:c>
      <x:c r="B20" s="24" t="str">
        <x:v>黑糖蜜_None_蜜類瓶裝_130.0</x:v>
      </x:c>
      <x:c r="C20" s="24" t="str">
        <x:v>未分類</x:v>
      </x:c>
      <x:c r="D20" s="24" t="str">
        <x:v>蜜類瓶裝</x:v>
      </x:c>
      <x:c r="E20" s="24" t="str"/>
      <x:c r="F20" s="24" t="str"/>
      <x:c r="G20" s="24" t="str">
        <x:v>黑糖蜜</x:v>
      </x:c>
      <x:c r="H20" s="24" t="str">
        <x:v>350.0ml</x:v>
      </x:c>
      <x:c r="I20" s="27" t="n">
        <x:v>350</x:v>
      </x:c>
      <x:c r="J20" s="24" t="str">
        <x:v>ml</x:v>
      </x:c>
      <x:c r="K20" s="24" t="str"/>
      <x:c r="L20" s="27" t="n">
        <x:v>2362</x:v>
      </x:c>
      <x:c r="M20" s="27" t="n">
        <x:v>130</x:v>
      </x:c>
      <x:c r="N20" s="27" t="n">
        <x:v>39</x:v>
      </x:c>
      <x:c r="O20" s="27" t="n">
        <x:v>91</x:v>
      </x:c>
      <x:c r="P20" s="28" t="n">
        <x:v>70.31</x:v>
      </x:c>
      <x:c r="Q20" s="29" t="n">
        <x:v>67.33774667</x:v>
      </x:c>
      <x:c r="R20" s="29" t="n">
        <x:v>6.5</x:v>
      </x:c>
      <x:c r="S20" s="29" t="n">
        <x:v>73.8</x:v>
      </x:c>
      <x:c r="T20" s="29" t="n">
        <x:v>17.16225333</x:v>
      </x:c>
      <x:c r="U20" s="28" t="n">
        <x:v>0.1320173333076923</x:v>
      </x:c>
      <x:c r="V20" s="27" t="n">
        <x:v>41482</x:v>
      </x:c>
      <x:c r="W20" s="27" t="n">
        <x:v>307060</x:v>
      </x:c>
      <x:c r="X20" s="27" t="n">
        <x:f>L20*M20</x:f>
        <x:v>307060</x:v>
      </x:c>
      <x:c r="Y20" s="27" t="n">
        <x:f>L20*T20</x:f>
        <x:v>40537.24236546</x:v>
      </x:c>
      <x:c r="Z20" s="27" t="n">
        <x:f>X20-W20</x:f>
        <x:v>0</x:v>
      </x:c>
      <x:c r="AA20" s="27" t="n">
        <x:f>Y20-V20</x:f>
        <x:v>-944.7576345400012</x:v>
      </x:c>
    </x:row>
    <x:row r="21">
      <x:c r="A21" s="24" t="n">
        <x:v>39</x:v>
      </x:c>
      <x:c r="B21" s="24" t="str">
        <x:v>黑糖檸檬_None_蜜類瓶裝_117.0</x:v>
      </x:c>
      <x:c r="C21" s="24" t="str">
        <x:v>未分類</x:v>
      </x:c>
      <x:c r="D21" s="24" t="str">
        <x:v>蜜類瓶裝</x:v>
      </x:c>
      <x:c r="E21" s="24" t="str"/>
      <x:c r="F21" s="24" t="str"/>
      <x:c r="G21" s="24" t="str">
        <x:v>黑糖檸檬</x:v>
      </x:c>
      <x:c r="H21" s="24" t="str">
        <x:v>150.0ml</x:v>
      </x:c>
      <x:c r="I21" s="27" t="n">
        <x:v>150</x:v>
      </x:c>
      <x:c r="J21" s="24" t="str">
        <x:v>ml</x:v>
      </x:c>
      <x:c r="K21" s="24" t="str">
        <x:v>negative_profit</x:v>
      </x:c>
      <x:c r="L21" s="27" t="n">
        <x:v>63</x:v>
      </x:c>
      <x:c r="M21" s="27" t="n">
        <x:v>117</x:v>
      </x:c>
      <x:c r="N21" s="27" t="n">
        <x:v>51</x:v>
      </x:c>
      <x:c r="O21" s="27" t="n">
        <x:v>66</x:v>
      </x:c>
      <x:c r="P21" s="28" t="n">
        <x:v>56.15</x:v>
      </x:c>
      <x:c r="Q21" s="29" t="n">
        <x:v>60.603972</x:v>
      </x:c>
      <x:c r="R21" s="29" t="n">
        <x:v>5.85</x:v>
      </x:c>
      <x:c r="S21" s="29" t="n">
        <x:v>66.5</x:v>
      </x:c>
      <x:c r="T21" s="29" t="n">
        <x:v>-0.4539719999999985</x:v>
      </x:c>
      <x:c r="U21" s="28" t="n">
        <x:v>-0.003880102564102551</x:v>
      </x:c>
      <x:c r="V21" s="27" t="n">
        <x:v>-48</x:v>
      </x:c>
      <x:c r="W21" s="27" t="n">
        <x:v>7371</x:v>
      </x:c>
      <x:c r="X21" s="27" t="n">
        <x:f>L21*M21</x:f>
        <x:v>7371</x:v>
      </x:c>
      <x:c r="Y21" s="27" t="n">
        <x:f>L21*T21</x:f>
        <x:v>-28.600235999999903</x:v>
      </x:c>
      <x:c r="Z21" s="27" t="n">
        <x:f>X21-W21</x:f>
        <x:v>0</x:v>
      </x:c>
      <x:c r="AA21" s="27" t="n">
        <x:f>Y21-V21</x:f>
        <x:v>19.399764000000097</x:v>
      </x:c>
    </x:row>
    <x:row r="22">
      <x:c r="A22" s="24" t="n">
        <x:v>40</x:v>
      </x:c>
      <x:c r="B22" s="24" t="str">
        <x:v>百香果黑糖_None_None_117.0</x:v>
      </x:c>
      <x:c r="C22" s="24" t="str">
        <x:v>未分類</x:v>
      </x:c>
      <x:c r="D22" s="24" t="str">
        <x:v>未標示規格</x:v>
      </x:c>
      <x:c r="E22" s="24" t="str"/>
      <x:c r="F22" s="24" t="str"/>
      <x:c r="G22" s="24" t="str">
        <x:v>百香果黑糖</x:v>
      </x:c>
      <x:c r="H22" s="24" t="str"/>
      <x:c r="I22" s="27"/>
      <x:c r="J22" s="24" t="str"/>
      <x:c r="K22" s="24" t="str">
        <x:v>missing_spec</x:v>
      </x:c>
      <x:c r="L22" s="27" t="n">
        <x:v>40</x:v>
      </x:c>
      <x:c r="M22" s="27" t="n">
        <x:v>117</x:v>
      </x:c>
      <x:c r="N22" s="27" t="n">
        <x:v>48</x:v>
      </x:c>
      <x:c r="O22" s="27" t="n">
        <x:v>69</x:v>
      </x:c>
      <x:c r="P22" s="28" t="n">
        <x:v>58.97</x:v>
      </x:c>
      <x:c r="Q22" s="29" t="n">
        <x:v>60.603972</x:v>
      </x:c>
      <x:c r="R22" s="29" t="n">
        <x:v>5.85</x:v>
      </x:c>
      <x:c r="S22" s="29" t="n">
        <x:v>66.5</x:v>
      </x:c>
      <x:c r="T22" s="29" t="n">
        <x:v>2.5460280000000015</x:v>
      </x:c>
      <x:c r="U22" s="28" t="n">
        <x:v>0.02176092307692309</x:v>
      </x:c>
      <x:c r="V22" s="27" t="n">
        <x:v>102</x:v>
      </x:c>
      <x:c r="W22" s="27" t="n">
        <x:v>4680</x:v>
      </x:c>
      <x:c r="X22" s="27" t="n">
        <x:f>L22*M22</x:f>
        <x:v>4680</x:v>
      </x:c>
      <x:c r="Y22" s="27" t="n">
        <x:f>L22*T22</x:f>
        <x:v>101.84112000000006</x:v>
      </x:c>
      <x:c r="Z22" s="27" t="n">
        <x:f>X22-W22</x:f>
        <x:v>0</x:v>
      </x:c>
      <x:c r="AA22" s="27" t="n">
        <x:f>Y22-V22</x:f>
        <x:v>-0.15887999999993951</x:v>
      </x:c>
    </x:row>
    <x:row r="23">
      <x:c r="A23" s="24" t="n">
        <x:v>41</x:v>
      </x:c>
      <x:c r="B23" s="24" t="str">
        <x:v>梅精黑糖_None_None_143.0</x:v>
      </x:c>
      <x:c r="C23" s="24" t="str">
        <x:v>未分類</x:v>
      </x:c>
      <x:c r="D23" s="24" t="str">
        <x:v>未標示規格</x:v>
      </x:c>
      <x:c r="E23" s="24" t="str"/>
      <x:c r="F23" s="24" t="str"/>
      <x:c r="G23" s="24" t="str">
        <x:v>梅精黑糖</x:v>
      </x:c>
      <x:c r="H23" s="24" t="str"/>
      <x:c r="I23" s="27"/>
      <x:c r="J23" s="24" t="str"/>
      <x:c r="K23" s="24" t="str">
        <x:v>missing_spec</x:v>
      </x:c>
      <x:c r="L23" s="27" t="n">
        <x:v>109</x:v>
      </x:c>
      <x:c r="M23" s="27" t="n">
        <x:v>143</x:v>
      </x:c>
      <x:c r="N23" s="27" t="n">
        <x:v>47</x:v>
      </x:c>
      <x:c r="O23" s="27" t="n">
        <x:v>96</x:v>
      </x:c>
      <x:c r="P23" s="28" t="n">
        <x:v>67.13</x:v>
      </x:c>
      <x:c r="Q23" s="29" t="n">
        <x:v>74.07152133</x:v>
      </x:c>
      <x:c r="R23" s="29" t="n">
        <x:v>7.15</x:v>
      </x:c>
      <x:c r="S23" s="29" t="n">
        <x:v>81.2</x:v>
      </x:c>
      <x:c r="T23" s="29" t="n">
        <x:v>14.778478670000004</x:v>
      </x:c>
      <x:c r="U23" s="28" t="n">
        <x:v>0.10334600468531471</x:v>
      </x:c>
      <x:c r="V23" s="27" t="n">
        <x:v>1611</x:v>
      </x:c>
      <x:c r="W23" s="27" t="n">
        <x:v>15587</x:v>
      </x:c>
      <x:c r="X23" s="27" t="n">
        <x:f>L23*M23</x:f>
        <x:v>15587</x:v>
      </x:c>
      <x:c r="Y23" s="27" t="n">
        <x:f>L23*T23</x:f>
        <x:v>1610.8541750300003</x:v>
      </x:c>
      <x:c r="Z23" s="27" t="n">
        <x:f>X23-W23</x:f>
        <x:v>0</x:v>
      </x:c>
      <x:c r="AA23" s="27" t="n">
        <x:f>Y23-V23</x:f>
        <x:v>-0.14582496999969408</x:v>
      </x:c>
    </x:row>
    <x:row r="24">
      <x:c r="A24" s="24" t="n">
        <x:v>42</x:v>
      </x:c>
      <x:c r="B24" s="24" t="str">
        <x:v>黑糖蜜_None_蜜類瓶裝_None</x:v>
      </x:c>
      <x:c r="C24" s="24" t="str">
        <x:v>未分類</x:v>
      </x:c>
      <x:c r="D24" s="24" t="str">
        <x:v>蜜類瓶裝</x:v>
      </x:c>
      <x:c r="E24" s="24" t="str"/>
      <x:c r="F24" s="24" t="str"/>
      <x:c r="G24" s="24" t="str">
        <x:v>黑糖蜜</x:v>
      </x:c>
      <x:c r="H24" s="24" t="str">
        <x:v>1890.0ml</x:v>
      </x:c>
      <x:c r="I24" s="27" t="n">
        <x:v>1890</x:v>
      </x:c>
      <x:c r="J24" s="24" t="str">
        <x:v>ml</x:v>
      </x:c>
      <x:c r="K24" s="24" t="str">
        <x:v>missing_price;missing_cost</x:v>
      </x:c>
      <x:c r="L24" s="27" t="n">
        <x:v>50</x:v>
      </x:c>
      <x:c r="M24" s="27"/>
      <x:c r="N24" s="27"/>
      <x:c r="O24" s="27"/>
      <x:c r="P24" s="28"/>
      <x:c r="Q24" s="29"/>
      <x:c r="R24" s="29"/>
      <x:c r="S24" s="29"/>
      <x:c r="T24" s="29"/>
      <x:c r="U24" s="28" t="n">
        <x:v>0</x:v>
      </x:c>
      <x:c r="V24" s="27" t="n">
        <x:v>0</x:v>
      </x:c>
      <x:c r="W24" s="27" t="n">
        <x:v>0</x:v>
      </x:c>
      <x:c r="X24" s="27" t="n">
        <x:f>L24*M24</x:f>
        <x:v>0</x:v>
      </x:c>
      <x:c r="Y24" s="27" t="n">
        <x:f>L24*T24</x:f>
        <x:v>0</x:v>
      </x:c>
      <x:c r="Z24" s="27" t="n">
        <x:f>X24-W24</x:f>
        <x:v>0</x:v>
      </x:c>
      <x:c r="AA24" s="27" t="n">
        <x:f>Y24-V24</x:f>
        <x:v>0</x:v>
      </x:c>
    </x:row>
    <x:row r="25">
      <x:c r="A25" s="24" t="n">
        <x:v>43</x:v>
      </x:c>
      <x:c r="B25" s="24" t="str">
        <x:v>梅精黑糖_None_蜜類瓶裝_None</x:v>
      </x:c>
      <x:c r="C25" s="24" t="str">
        <x:v>未分類</x:v>
      </x:c>
      <x:c r="D25" s="24" t="str">
        <x:v>蜜類瓶裝</x:v>
      </x:c>
      <x:c r="E25" s="24" t="str"/>
      <x:c r="F25" s="24" t="str"/>
      <x:c r="G25" s="24" t="str">
        <x:v>梅精黑糖</x:v>
      </x:c>
      <x:c r="H25" s="24" t="str">
        <x:v>1890.0ml</x:v>
      </x:c>
      <x:c r="I25" s="27" t="n">
        <x:v>1890</x:v>
      </x:c>
      <x:c r="J25" s="24" t="str">
        <x:v>ml</x:v>
      </x:c>
      <x:c r="K25" s="24" t="str">
        <x:v>missing_price;missing_cost</x:v>
      </x:c>
      <x:c r="L25" s="27" t="n">
        <x:v>45</x:v>
      </x:c>
      <x:c r="M25" s="27"/>
      <x:c r="N25" s="27"/>
      <x:c r="O25" s="27"/>
      <x:c r="P25" s="28"/>
      <x:c r="Q25" s="29"/>
      <x:c r="R25" s="29"/>
      <x:c r="S25" s="29"/>
      <x:c r="T25" s="29"/>
      <x:c r="U25" s="28" t="n">
        <x:v>0</x:v>
      </x:c>
      <x:c r="V25" s="27" t="n">
        <x:v>0</x:v>
      </x:c>
      <x:c r="W25" s="27" t="n">
        <x:v>0</x:v>
      </x:c>
      <x:c r="X25" s="27" t="n">
        <x:f>L25*M25</x:f>
        <x:v>0</x:v>
      </x:c>
      <x:c r="Y25" s="27" t="n">
        <x:f>L25*T25</x:f>
        <x:v>0</x:v>
      </x:c>
      <x:c r="Z25" s="27" t="n">
        <x:f>X25-W25</x:f>
        <x:v>0</x:v>
      </x:c>
      <x:c r="AA25" s="27" t="n">
        <x:f>Y25-V25</x:f>
        <x:v>0</x:v>
      </x:c>
    </x:row>
    <x:row r="26">
      <x:c r="A26" s="24" t="n">
        <x:v>53</x:v>
      </x:c>
      <x:c r="B26" s="24" t="str">
        <x:v>黑糖薑母茶_科技中藥廠_薑母茶_112.0</x:v>
      </x:c>
      <x:c r="C26" s="24" t="str">
        <x:v>科技中藥廠</x:v>
      </x:c>
      <x:c r="D26" s="24" t="str">
        <x:v>薑母茶</x:v>
      </x:c>
      <x:c r="E26" s="24" t="str"/>
      <x:c r="F26" s="24" t="str">
        <x:v>40台斤(一箱)</x:v>
      </x:c>
      <x:c r="G26" s="24" t="str">
        <x:v>黑糖薑母茶</x:v>
      </x:c>
      <x:c r="H26" s="24" t="str"/>
      <x:c r="I26" s="27"/>
      <x:c r="J26" s="24" t="str"/>
      <x:c r="K26" s="24" t="str">
        <x:v>calculated_revenue;calculated_profit;missing_spec</x:v>
      </x:c>
      <x:c r="L26" s="27" t="n">
        <x:v>2360</x:v>
      </x:c>
      <x:c r="M26" s="27" t="n">
        <x:v>112</x:v>
      </x:c>
      <x:c r="N26" s="27" t="n">
        <x:v>46</x:v>
      </x:c>
      <x:c r="O26" s="27" t="n">
        <x:v>66</x:v>
      </x:c>
      <x:c r="P26" s="28" t="n">
        <x:v>58.93</x:v>
      </x:c>
      <x:c r="Q26" s="29" t="n">
        <x:v>58.01405867</x:v>
      </x:c>
      <x:c r="R26" s="29" t="n">
        <x:v>5.6</x:v>
      </x:c>
      <x:c r="S26" s="29" t="n">
        <x:v>63.6</x:v>
      </x:c>
      <x:c r="T26" s="29" t="n">
        <x:v>2.385941330000003</x:v>
      </x:c>
      <x:c r="U26" s="28" t="n">
        <x:v>0.021303047589285744</x:v>
      </x:c>
      <x:c r="V26" s="27"/>
      <x:c r="W26" s="27"/>
      <x:c r="X26" s="27" t="n">
        <x:f>L26*M26</x:f>
        <x:v>264320</x:v>
      </x:c>
      <x:c r="Y26" s="27" t="n">
        <x:f>L26*T26</x:f>
        <x:v>5630.821538800007</x:v>
      </x:c>
      <x:c r="Z26" s="27" t="n">
        <x:f>X26-W26</x:f>
        <x:v>264320</x:v>
      </x:c>
      <x:c r="AA26" s="27" t="n">
        <x:f>Y26-V26</x:f>
        <x:v>5630.821538800007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09000015258789" hidden="0" customWidth="1"/>
    <x:col min="2" max="2" width="19.520000457763672" hidden="0" customWidth="1"/>
    <x:col min="3" max="3" width="24.899999618530273" hidden="0" customWidth="1"/>
    <x:col min="4" max="4" width="14.800000190734863" hidden="0" customWidth="1"/>
    <x:col min="5" max="5" width="34.31999969482422" hidden="0" customWidth="1"/>
    <x:col min="6" max="6" width="19.520000457763672" hidden="0" customWidth="1"/>
    <x:col min="7" max="7" width="11.4399995803833" hidden="0" customWidth="1"/>
    <x:col min="8" max="8" width="13.460000038146973" hidden="0" customWidth="1"/>
    <x:col min="9" max="9" width="10.770000457763672" hidden="0" customWidth="1"/>
    <x:col min="10" max="10" width="12.789999961853027" hidden="0" customWidth="1"/>
    <x:col min="11" max="11" width="14.800000190734863" hidden="0" customWidth="1"/>
    <x:col min="12" max="12" width="12.109999656677246" hidden="0" customWidth="1"/>
    <x:col min="13" max="13" width="10.770000457763672" hidden="0" customWidth="1"/>
    <x:col min="14" max="14" width="16.149999618530273" hidden="0" customWidth="1"/>
    <x:col min="15" max="15" width="10.770000457763672" hidden="0" customWidth="1"/>
    <x:col min="16" max="16" width="11.4399995803833" hidden="0" customWidth="1"/>
    <x:col min="17" max="17" width="10.770000457763672" hidden="0" customWidth="1"/>
    <x:col min="18" max="18" width="14.800000190734863" hidden="0" customWidth="1"/>
    <x:col min="19" max="19" width="14.800000190734863" hidden="0" customWidth="1"/>
    <x:col min="20" max="20" width="12.109999656677246" hidden="0" customWidth="1"/>
  </x:cols>
  <x:sheetData>
    <x:row r="1">
      <x:c r="A1" s="44" t="str">
        <x:v>Source Row</x:v>
      </x:c>
      <x:c r="B1" s="44" t="str">
        <x:v>Channel</x:v>
      </x:c>
      <x:c r="C1" s="44" t="str">
        <x:v>Spec</x:v>
      </x:c>
      <x:c r="D1" s="44" t="str">
        <x:v>Customer</x:v>
      </x:c>
      <x:c r="E1" s="44" t="str">
        <x:v>MOQ/Notes</x:v>
      </x:c>
      <x:c r="F1" s="44" t="str">
        <x:v>Product</x:v>
      </x:c>
      <x:c r="G1" s="44" t="str">
        <x:v>Retail Price</x:v>
      </x:c>
      <x:c r="H1" s="44" t="str">
        <x:v>Wholesale Price</x:v>
      </x:c>
      <x:c r="I1" s="44" t="str">
        <x:v>Discount</x:v>
      </x:c>
      <x:c r="J1" s="44" t="str">
        <x:v>Product COGS</x:v>
      </x:c>
      <x:c r="K1" s="44" t="str">
        <x:v>Gross Profit/Unit</x:v>
      </x:c>
      <x:c r="L1" s="44" t="str">
        <x:v>Gross Margin</x:v>
      </x:c>
      <x:c r="M1" s="44" t="str">
        <x:v>Shipping</x:v>
      </x:c>
      <x:c r="N1" s="44" t="str">
        <x:v>Operating Expense</x:v>
      </x:c>
      <x:c r="O1" s="44" t="str">
        <x:v>Marketing</x:v>
      </x:c>
      <x:c r="P1" s="44" t="str">
        <x:v>Payment Fee</x:v>
      </x:c>
      <x:c r="Q1" s="44" t="str">
        <x:v>Invoice 5%</x:v>
      </x:c>
      <x:c r="R1" s="44" t="str">
        <x:v>Expense Subtotal</x:v>
      </x:c>
      <x:c r="S1" s="44" t="str">
        <x:v>Net Profit/Unit</x:v>
      </x:c>
      <x:c r="T1" s="44" t="str">
        <x:v>Net Margin</x:v>
      </x:c>
      <x:c r="U1" s="42"/>
      <x:c r="V1" s="42"/>
      <x:c r="W1" s="42"/>
      <x:c r="X1" s="42"/>
      <x:c r="Y1" s="42"/>
      <x:c r="Z1" s="42"/>
      <x:c r="AA1" s="42"/>
    </x:row>
    <x:row r="2">
      <x:c r="A2" s="24" t="n">
        <x:v>6</x:v>
      </x:c>
      <x:c r="B2" s="24" t="str">
        <x:v>批發-台糖</x:v>
      </x:c>
      <x:c r="C2" s="24" t="str">
        <x:v>(單顆包裝夾鏈袋260g)</x:v>
      </x:c>
      <x:c r="D2" s="24" t="str">
        <x:v>花蓮糖廠</x:v>
      </x:c>
      <x:c r="E2" s="24" t="str">
        <x:v>長期合作，看他們貨量，有叫就送沒有固定</x:v>
      </x:c>
      <x:c r="F2" s="24" t="str">
        <x:v>原味黑糖</x:v>
      </x:c>
      <x:c r="G2" s="27"/>
      <x:c r="H2" s="27" t="n">
        <x:v>140</x:v>
      </x:c>
      <x:c r="I2" s="28"/>
      <x:c r="J2" s="27" t="n">
        <x:v>25</x:v>
      </x:c>
      <x:c r="K2" s="27" t="n">
        <x:v>115</x:v>
      </x:c>
      <x:c r="L2" s="28" t="n">
        <x:v>0.8214</x:v>
      </x:c>
      <x:c r="M2" s="29" t="n">
        <x:v>0</x:v>
      </x:c>
      <x:c r="N2" s="29" t="n">
        <x:v>72.51757333</x:v>
      </x:c>
      <x:c r="O2" s="29" t="n">
        <x:v>0</x:v>
      </x:c>
      <x:c r="P2" s="29" t="n">
        <x:v>0</x:v>
      </x:c>
      <x:c r="Q2" s="29" t="n">
        <x:v>7</x:v>
      </x:c>
      <x:c r="R2" s="29" t="n">
        <x:v>79.5</x:v>
      </x:c>
      <x:c r="S2" s="29" t="n">
        <x:v>35</x:v>
      </x:c>
      <x:c r="T2" s="28" t="n">
        <x:v>0.2534</x:v>
      </x:c>
    </x:row>
    <x:row r="3">
      <x:c r="A3" s="24" t="n">
        <x:v>7</x:v>
      </x:c>
      <x:c r="B3" s="24" t="str">
        <x:v>批發-台糖</x:v>
      </x:c>
      <x:c r="C3" s="24" t="str">
        <x:v>(單顆包裝夾鏈袋260g)</x:v>
      </x:c>
      <x:c r="D3" s="24" t="str">
        <x:v>花蓮糖廠</x:v>
      </x:c>
      <x:c r="E3" s="24" t="str">
        <x:v>長期合作，看他們貨量，有叫就送沒有固定</x:v>
      </x:c>
      <x:c r="F3" s="24" t="str">
        <x:v>薑汁黑糖</x:v>
      </x:c>
      <x:c r="G3" s="27"/>
      <x:c r="H3" s="27" t="n">
        <x:v>140</x:v>
      </x:c>
      <x:c r="I3" s="28"/>
      <x:c r="J3" s="27" t="n">
        <x:v>28</x:v>
      </x:c>
      <x:c r="K3" s="27" t="n">
        <x:v>112</x:v>
      </x:c>
      <x:c r="L3" s="28" t="n">
        <x:v>0.8</x:v>
      </x:c>
      <x:c r="M3" s="29" t="n">
        <x:v>0</x:v>
      </x:c>
      <x:c r="N3" s="29" t="n">
        <x:v>72.51757333</x:v>
      </x:c>
      <x:c r="O3" s="29" t="n">
        <x:v>0</x:v>
      </x:c>
      <x:c r="P3" s="29" t="n">
        <x:v>0</x:v>
      </x:c>
      <x:c r="Q3" s="29" t="n">
        <x:v>7</x:v>
      </x:c>
      <x:c r="R3" s="29" t="n">
        <x:v>79.5</x:v>
      </x:c>
      <x:c r="S3" s="29" t="n">
        <x:v>32</x:v>
      </x:c>
      <x:c r="T3" s="28" t="n">
        <x:v>0.23199999999999998</x:v>
      </x:c>
    </x:row>
    <x:row r="4">
      <x:c r="A4" s="24" t="n">
        <x:v>8</x:v>
      </x:c>
      <x:c r="B4" s="24" t="str">
        <x:v>批發-台糖</x:v>
      </x:c>
      <x:c r="C4" s="24" t="str">
        <x:v>(單顆包裝夾鏈袋260g)</x:v>
      </x:c>
      <x:c r="D4" s="24" t="str">
        <x:v>花蓮糖廠</x:v>
      </x:c>
      <x:c r="E4" s="24" t="str">
        <x:v>長期合作，看他們貨量，有叫就送沒有固定</x:v>
      </x:c>
      <x:c r="F4" s="24" t="str">
        <x:v>桂圓黑糖</x:v>
      </x:c>
      <x:c r="G4" s="27"/>
      <x:c r="H4" s="27" t="n">
        <x:v>140</x:v>
      </x:c>
      <x:c r="I4" s="28"/>
      <x:c r="J4" s="27" t="n">
        <x:v>31</x:v>
      </x:c>
      <x:c r="K4" s="27" t="n">
        <x:v>109</x:v>
      </x:c>
      <x:c r="L4" s="28" t="n">
        <x:v>0.7786</x:v>
      </x:c>
      <x:c r="M4" s="29" t="n">
        <x:v>0</x:v>
      </x:c>
      <x:c r="N4" s="29" t="n">
        <x:v>72.51757333</x:v>
      </x:c>
      <x:c r="O4" s="29" t="n">
        <x:v>0</x:v>
      </x:c>
      <x:c r="P4" s="29" t="n">
        <x:v>0</x:v>
      </x:c>
      <x:c r="Q4" s="29" t="n">
        <x:v>7</x:v>
      </x:c>
      <x:c r="R4" s="29" t="n">
        <x:v>79.5</x:v>
      </x:c>
      <x:c r="S4" s="29" t="n">
        <x:v>29</x:v>
      </x:c>
      <x:c r="T4" s="28" t="n">
        <x:v>0.21059999999999998</x:v>
      </x:c>
    </x:row>
    <x:row r="5">
      <x:c r="A5" s="24" t="n">
        <x:v>9</x:v>
      </x:c>
      <x:c r="B5" s="24" t="str">
        <x:v>批發-台糖</x:v>
      </x:c>
      <x:c r="C5" s="24" t="str">
        <x:v>(單顆包裝夾鏈袋260g)</x:v>
      </x:c>
      <x:c r="D5" s="24" t="str">
        <x:v>花蓮糖廠</x:v>
      </x:c>
      <x:c r="E5" s="24" t="str">
        <x:v>長期合作，看他們貨量，有叫就送沒有固定</x:v>
      </x:c>
      <x:c r="F5" s="24" t="str">
        <x:v>玫瑰四物黑糖</x:v>
      </x:c>
      <x:c r="G5" s="27"/>
      <x:c r="H5" s="27" t="n">
        <x:v>140</x:v>
      </x:c>
      <x:c r="I5" s="28"/>
      <x:c r="J5" s="27" t="n">
        <x:v>28</x:v>
      </x:c>
      <x:c r="K5" s="27" t="n">
        <x:v>112</x:v>
      </x:c>
      <x:c r="L5" s="28" t="n">
        <x:v>0.8</x:v>
      </x:c>
      <x:c r="M5" s="29" t="n">
        <x:v>0</x:v>
      </x:c>
      <x:c r="N5" s="29" t="n">
        <x:v>72.51757333</x:v>
      </x:c>
      <x:c r="O5" s="29" t="n">
        <x:v>0</x:v>
      </x:c>
      <x:c r="P5" s="29" t="n">
        <x:v>0</x:v>
      </x:c>
      <x:c r="Q5" s="29" t="n">
        <x:v>7</x:v>
      </x:c>
      <x:c r="R5" s="29" t="n">
        <x:v>79.5</x:v>
      </x:c>
      <x:c r="S5" s="29" t="n">
        <x:v>32</x:v>
      </x:c>
      <x:c r="T5" s="28" t="n">
        <x:v>0.23199999999999998</x:v>
      </x:c>
    </x:row>
    <x:row r="6">
      <x:c r="A6" s="24" t="n">
        <x:v>10</x:v>
      </x:c>
      <x:c r="B6" s="24" t="str">
        <x:v>批發-台糖</x:v>
      </x:c>
      <x:c r="C6" s="24" t="str">
        <x:v>(單顆包裝夾鏈袋260g)</x:v>
      </x:c>
      <x:c r="D6" s="24" t="str">
        <x:v>花蓮糖廠</x:v>
      </x:c>
      <x:c r="E6" s="24" t="str">
        <x:v>長期合作，看他們貨量，有叫就送沒有固定</x:v>
      </x:c>
      <x:c r="F6" s="24" t="str">
        <x:v>桂圓紅棗薑黑糖</x:v>
      </x:c>
      <x:c r="G6" s="27" t="n">
        <x:v>200</x:v>
      </x:c>
      <x:c r="H6" s="27" t="n">
        <x:v>140</x:v>
      </x:c>
      <x:c r="I6" s="28" t="n">
        <x:v>0.7</x:v>
      </x:c>
      <x:c r="J6" s="27" t="n">
        <x:v>31</x:v>
      </x:c>
      <x:c r="K6" s="27" t="n">
        <x:v>109</x:v>
      </x:c>
      <x:c r="L6" s="28" t="n">
        <x:v>0.7786</x:v>
      </x:c>
      <x:c r="M6" s="29" t="n">
        <x:v>0</x:v>
      </x:c>
      <x:c r="N6" s="29" t="n">
        <x:v>72.51757333</x:v>
      </x:c>
      <x:c r="O6" s="29" t="n">
        <x:v>0</x:v>
      </x:c>
      <x:c r="P6" s="29" t="n">
        <x:v>0</x:v>
      </x:c>
      <x:c r="Q6" s="29" t="n">
        <x:v>7</x:v>
      </x:c>
      <x:c r="R6" s="29" t="n">
        <x:v>79.5</x:v>
      </x:c>
      <x:c r="S6" s="29" t="n">
        <x:v>29</x:v>
      </x:c>
      <x:c r="T6" s="28" t="n">
        <x:v>0.21059999999999998</x:v>
      </x:c>
    </x:row>
    <x:row r="7">
      <x:c r="A7" s="24" t="n">
        <x:v>11</x:v>
      </x:c>
      <x:c r="B7" s="24" t="str">
        <x:v>批發-台糖</x:v>
      </x:c>
      <x:c r="C7" s="24" t="str">
        <x:v>(單顆包裝夾鏈袋260g)</x:v>
      </x:c>
      <x:c r="D7" s="24" t="str">
        <x:v>花蓮糖廠</x:v>
      </x:c>
      <x:c r="E7" s="24" t="str">
        <x:v>長期合作，看他們貨量，有叫就送沒有固定</x:v>
      </x:c>
      <x:c r="F7" s="24" t="str">
        <x:v>冬瓜</x:v>
      </x:c>
      <x:c r="G7" s="27" t="n">
        <x:v>200</x:v>
      </x:c>
      <x:c r="H7" s="27" t="n">
        <x:v>140</x:v>
      </x:c>
      <x:c r="I7" s="28" t="n">
        <x:v>0.7</x:v>
      </x:c>
      <x:c r="J7" s="27" t="n">
        <x:v>28</x:v>
      </x:c>
      <x:c r="K7" s="27" t="n">
        <x:v>112</x:v>
      </x:c>
      <x:c r="L7" s="28" t="n">
        <x:v>0.8</x:v>
      </x:c>
      <x:c r="M7" s="29" t="n">
        <x:v>0</x:v>
      </x:c>
      <x:c r="N7" s="29" t="n">
        <x:v>72.51757333</x:v>
      </x:c>
      <x:c r="O7" s="29" t="n">
        <x:v>0</x:v>
      </x:c>
      <x:c r="P7" s="29" t="n">
        <x:v>0</x:v>
      </x:c>
      <x:c r="Q7" s="29" t="n">
        <x:v>7</x:v>
      </x:c>
      <x:c r="R7" s="29" t="n">
        <x:v>79.5</x:v>
      </x:c>
      <x:c r="S7" s="29" t="n">
        <x:v>32</x:v>
      </x:c>
      <x:c r="T7" s="28" t="n">
        <x:v>0.23199999999999998</x:v>
      </x:c>
    </x:row>
    <x:row r="8">
      <x:c r="A8" s="24" t="n">
        <x:v>12</x:v>
      </x:c>
      <x:c r="B8" s="24" t="str">
        <x:v>批發-台糖</x:v>
      </x:c>
      <x:c r="C8" s="24" t="str">
        <x:v>(手切夾鏈袋380g)</x:v>
      </x:c>
      <x:c r="D8" s="24" t="str">
        <x:v>花蓮糖廠</x:v>
      </x:c>
      <x:c r="E8" s="24" t="str">
        <x:v>長期合作，看他們貨量，有叫就送沒有固定</x:v>
      </x:c>
      <x:c r="F8" s="24" t="str">
        <x:v>原味黑糖</x:v>
      </x:c>
      <x:c r="G8" s="27" t="n">
        <x:v>180</x:v>
      </x:c>
      <x:c r="H8" s="27" t="n">
        <x:v>117</x:v>
      </x:c>
      <x:c r="I8" s="28" t="n">
        <x:v>0.65</x:v>
      </x:c>
      <x:c r="J8" s="27" t="n">
        <x:v>22</x:v>
      </x:c>
      <x:c r="K8" s="27" t="n">
        <x:v>95</x:v>
      </x:c>
      <x:c r="L8" s="28" t="n">
        <x:v>0.812</x:v>
      </x:c>
      <x:c r="M8" s="29" t="n">
        <x:v>0</x:v>
      </x:c>
      <x:c r="N8" s="29" t="n">
        <x:v>60.603972</x:v>
      </x:c>
      <x:c r="O8" s="29" t="n">
        <x:v>0</x:v>
      </x:c>
      <x:c r="P8" s="29" t="n">
        <x:v>0</x:v>
      </x:c>
      <x:c r="Q8" s="29" t="n">
        <x:v>5.85</x:v>
      </x:c>
      <x:c r="R8" s="29" t="n">
        <x:v>66.5</x:v>
      </x:c>
      <x:c r="S8" s="29" t="n">
        <x:v>29</x:v>
      </x:c>
      <x:c r="T8" s="28" t="n">
        <x:v>0.244</x:v>
      </x:c>
    </x:row>
    <x:row r="9">
      <x:c r="A9" s="24" t="n">
        <x:v>13</x:v>
      </x:c>
      <x:c r="B9" s="24" t="str">
        <x:v>批發-台糖</x:v>
      </x:c>
      <x:c r="C9" s="24" t="str">
        <x:v>(手切夾鏈袋380g)</x:v>
      </x:c>
      <x:c r="D9" s="24" t="str">
        <x:v>花蓮糖廠</x:v>
      </x:c>
      <x:c r="E9" s="24" t="str">
        <x:v>長期合作，看他們貨量，有叫就送沒有固定</x:v>
      </x:c>
      <x:c r="F9" s="24" t="str">
        <x:v>薑汁黑糖</x:v>
      </x:c>
      <x:c r="G9" s="27" t="n">
        <x:v>180</x:v>
      </x:c>
      <x:c r="H9" s="27" t="n">
        <x:v>117</x:v>
      </x:c>
      <x:c r="I9" s="28" t="n">
        <x:v>0.65</x:v>
      </x:c>
      <x:c r="J9" s="27" t="n">
        <x:v>25</x:v>
      </x:c>
      <x:c r="K9" s="27" t="n">
        <x:v>92</x:v>
      </x:c>
      <x:c r="L9" s="28" t="n">
        <x:v>0.7863</x:v>
      </x:c>
      <x:c r="M9" s="29" t="n">
        <x:v>0</x:v>
      </x:c>
      <x:c r="N9" s="29" t="n">
        <x:v>60.603972</x:v>
      </x:c>
      <x:c r="O9" s="29" t="n">
        <x:v>0</x:v>
      </x:c>
      <x:c r="P9" s="29" t="n">
        <x:v>0</x:v>
      </x:c>
      <x:c r="Q9" s="29" t="n">
        <x:v>5.85</x:v>
      </x:c>
      <x:c r="R9" s="29" t="n">
        <x:v>66.5</x:v>
      </x:c>
      <x:c r="S9" s="29" t="n">
        <x:v>26</x:v>
      </x:c>
      <x:c r="T9" s="28" t="n">
        <x:v>0.2183</x:v>
      </x:c>
    </x:row>
    <x:row r="10">
      <x:c r="A10" s="24" t="n">
        <x:v>14</x:v>
      </x:c>
      <x:c r="B10" s="24" t="str">
        <x:v>批發-台糖</x:v>
      </x:c>
      <x:c r="C10" s="24" t="str">
        <x:v>(手切夾鏈袋380g)</x:v>
      </x:c>
      <x:c r="D10" s="24" t="str">
        <x:v>花蓮糖廠</x:v>
      </x:c>
      <x:c r="E10" s="24" t="str">
        <x:v>長期合作，看他們貨量，有叫就送沒有固定</x:v>
      </x:c>
      <x:c r="F10" s="24" t="str">
        <x:v>桂圓黑糖</x:v>
      </x:c>
      <x:c r="G10" s="27" t="n">
        <x:v>200</x:v>
      </x:c>
      <x:c r="H10" s="27" t="n">
        <x:v>130</x:v>
      </x:c>
      <x:c r="I10" s="28" t="n">
        <x:v>0.65</x:v>
      </x:c>
      <x:c r="J10" s="27" t="n">
        <x:v>30</x:v>
      </x:c>
      <x:c r="K10" s="27" t="n">
        <x:v>100</x:v>
      </x:c>
      <x:c r="L10" s="28" t="n">
        <x:v>0.7692</x:v>
      </x:c>
      <x:c r="M10" s="29" t="n">
        <x:v>0</x:v>
      </x:c>
      <x:c r="N10" s="29" t="n">
        <x:v>67.33774667</x:v>
      </x:c>
      <x:c r="O10" s="29" t="n">
        <x:v>0</x:v>
      </x:c>
      <x:c r="P10" s="29" t="n">
        <x:v>0</x:v>
      </x:c>
      <x:c r="Q10" s="29" t="n">
        <x:v>6.5</x:v>
      </x:c>
      <x:c r="R10" s="29" t="n">
        <x:v>73.8</x:v>
      </x:c>
      <x:c r="S10" s="29" t="n">
        <x:v>26</x:v>
      </x:c>
      <x:c r="T10" s="28" t="n">
        <x:v>0.20120000000000002</x:v>
      </x:c>
    </x:row>
    <x:row r="11">
      <x:c r="A11" s="24" t="n">
        <x:v>15</x:v>
      </x:c>
      <x:c r="B11" s="24" t="str">
        <x:v>批發-台糖</x:v>
      </x:c>
      <x:c r="C11" s="24" t="str">
        <x:v>(手切夾鏈袋380g)</x:v>
      </x:c>
      <x:c r="D11" s="24" t="str">
        <x:v>花蓮糖廠</x:v>
      </x:c>
      <x:c r="E11" s="24" t="str">
        <x:v>長期合作，看他們貨量，有叫就送沒有固定</x:v>
      </x:c>
      <x:c r="F11" s="24" t="str">
        <x:v>玫瑰四物黑糖</x:v>
      </x:c>
      <x:c r="G11" s="27" t="n">
        <x:v>200</x:v>
      </x:c>
      <x:c r="H11" s="27" t="n">
        <x:v>130</x:v>
      </x:c>
      <x:c r="I11" s="28" t="n">
        <x:v>0.65</x:v>
      </x:c>
      <x:c r="J11" s="27" t="n">
        <x:v>24</x:v>
      </x:c>
      <x:c r="K11" s="27" t="n">
        <x:v>106</x:v>
      </x:c>
      <x:c r="L11" s="28" t="n">
        <x:v>0.8154</x:v>
      </x:c>
      <x:c r="M11" s="29" t="n">
        <x:v>0</x:v>
      </x:c>
      <x:c r="N11" s="29" t="n">
        <x:v>67.33774667</x:v>
      </x:c>
      <x:c r="O11" s="29" t="n">
        <x:v>0</x:v>
      </x:c>
      <x:c r="P11" s="29" t="n">
        <x:v>0</x:v>
      </x:c>
      <x:c r="Q11" s="29" t="n">
        <x:v>6.5</x:v>
      </x:c>
      <x:c r="R11" s="29" t="n">
        <x:v>73.8</x:v>
      </x:c>
      <x:c r="S11" s="29" t="n">
        <x:v>32</x:v>
      </x:c>
      <x:c r="T11" s="28" t="n">
        <x:v>0.24739999999999998</x:v>
      </x:c>
    </x:row>
    <x:row r="12">
      <x:c r="A12" s="24" t="n">
        <x:v>16</x:v>
      </x:c>
      <x:c r="B12" s="24" t="str">
        <x:v>批發-農會</x:v>
      </x:c>
      <x:c r="C12" s="24" t="str">
        <x:v>(手切夾鏈袋380g)</x:v>
      </x:c>
      <x:c r="D12" s="24" t="str"/>
      <x:c r="E12" s="24" t="str">
        <x:v>36包(一箱)</x:v>
      </x:c>
      <x:c r="F12" s="24" t="str">
        <x:v>原味黑糖</x:v>
      </x:c>
      <x:c r="G12" s="27" t="n">
        <x:v>180</x:v>
      </x:c>
      <x:c r="H12" s="27" t="n">
        <x:v>110</x:v>
      </x:c>
      <x:c r="I12" s="28" t="n">
        <x:v>0.61</x:v>
      </x:c>
      <x:c r="J12" s="27" t="n">
        <x:v>22</x:v>
      </x:c>
      <x:c r="K12" s="27" t="n">
        <x:v>88</x:v>
      </x:c>
      <x:c r="L12" s="28" t="n">
        <x:v>0.8</x:v>
      </x:c>
      <x:c r="M12" s="29" t="n">
        <x:v>0</x:v>
      </x:c>
      <x:c r="N12" s="29" t="n">
        <x:v>56.97809333</x:v>
      </x:c>
      <x:c r="O12" s="29" t="n">
        <x:v>0</x:v>
      </x:c>
      <x:c r="P12" s="29" t="n">
        <x:v>0</x:v>
      </x:c>
      <x:c r="Q12" s="29" t="n">
        <x:v>5.5</x:v>
      </x:c>
      <x:c r="R12" s="29" t="n">
        <x:v>62.5</x:v>
      </x:c>
      <x:c r="S12" s="29" t="n">
        <x:v>26</x:v>
      </x:c>
      <x:c r="T12" s="28" t="n">
        <x:v>0.23199999999999998</x:v>
      </x:c>
    </x:row>
    <x:row r="13">
      <x:c r="A13" s="24" t="n">
        <x:v>17</x:v>
      </x:c>
      <x:c r="B13" s="24" t="str">
        <x:v>批發-農會</x:v>
      </x:c>
      <x:c r="C13" s="24" t="str">
        <x:v>(手切夾鏈袋380g)</x:v>
      </x:c>
      <x:c r="D13" s="24" t="str"/>
      <x:c r="E13" s="24" t="str">
        <x:v>36包(一箱)</x:v>
      </x:c>
      <x:c r="F13" s="24" t="str">
        <x:v>薑汁黑糖</x:v>
      </x:c>
      <x:c r="G13" s="27" t="n">
        <x:v>180</x:v>
      </x:c>
      <x:c r="H13" s="27" t="n">
        <x:v>110</x:v>
      </x:c>
      <x:c r="I13" s="28" t="n">
        <x:v>0.61</x:v>
      </x:c>
      <x:c r="J13" s="27" t="n">
        <x:v>25</x:v>
      </x:c>
      <x:c r="K13" s="27" t="n">
        <x:v>85</x:v>
      </x:c>
      <x:c r="L13" s="28" t="n">
        <x:v>0.7726999999999999</x:v>
      </x:c>
      <x:c r="M13" s="29" t="n">
        <x:v>0</x:v>
      </x:c>
      <x:c r="N13" s="29" t="n">
        <x:v>56.97809333</x:v>
      </x:c>
      <x:c r="O13" s="29" t="n">
        <x:v>0</x:v>
      </x:c>
      <x:c r="P13" s="29" t="n">
        <x:v>0</x:v>
      </x:c>
      <x:c r="Q13" s="29" t="n">
        <x:v>5.5</x:v>
      </x:c>
      <x:c r="R13" s="29" t="n">
        <x:v>62.5</x:v>
      </x:c>
      <x:c r="S13" s="29" t="n">
        <x:v>23</x:v>
      </x:c>
      <x:c r="T13" s="28" t="n">
        <x:v>0.2047</x:v>
      </x:c>
    </x:row>
    <x:row r="14">
      <x:c r="A14" s="24" t="n">
        <x:v>18</x:v>
      </x:c>
      <x:c r="B14" s="24" t="str">
        <x:v>批發-農會</x:v>
      </x:c>
      <x:c r="C14" s="24" t="str">
        <x:v>(手切夾鏈袋380g)</x:v>
      </x:c>
      <x:c r="D14" s="24" t="str"/>
      <x:c r="E14" s="24" t="str">
        <x:v>36包(一箱)</x:v>
      </x:c>
      <x:c r="F14" s="24" t="str">
        <x:v>桂圓黑糖</x:v>
      </x:c>
      <x:c r="G14" s="27" t="n">
        <x:v>200</x:v>
      </x:c>
      <x:c r="H14" s="27" t="n">
        <x:v>122</x:v>
      </x:c>
      <x:c r="I14" s="28" t="n">
        <x:v>0.61</x:v>
      </x:c>
      <x:c r="J14" s="27" t="n">
        <x:v>30</x:v>
      </x:c>
      <x:c r="K14" s="27" t="n">
        <x:v>92</x:v>
      </x:c>
      <x:c r="L14" s="28" t="n">
        <x:v>0.7541</x:v>
      </x:c>
      <x:c r="M14" s="29" t="n">
        <x:v>0</x:v>
      </x:c>
      <x:c r="N14" s="29" t="n">
        <x:v>63.19388533</x:v>
      </x:c>
      <x:c r="O14" s="29" t="n">
        <x:v>0</x:v>
      </x:c>
      <x:c r="P14" s="29" t="n">
        <x:v>0</x:v>
      </x:c>
      <x:c r="Q14" s="29" t="n">
        <x:v>6.1</x:v>
      </x:c>
      <x:c r="R14" s="29" t="n">
        <x:v>69.3</x:v>
      </x:c>
      <x:c r="S14" s="29" t="n">
        <x:v>23</x:v>
      </x:c>
      <x:c r="T14" s="28" t="n">
        <x:v>0.1861</x:v>
      </x:c>
    </x:row>
    <x:row r="15">
      <x:c r="A15" s="24" t="n">
        <x:v>19</x:v>
      </x:c>
      <x:c r="B15" s="24" t="str">
        <x:v>批發-農會</x:v>
      </x:c>
      <x:c r="C15" s="24" t="str">
        <x:v>(手切夾鏈袋380g)</x:v>
      </x:c>
      <x:c r="D15" s="24" t="str"/>
      <x:c r="E15" s="24" t="str">
        <x:v>36包(一箱)</x:v>
      </x:c>
      <x:c r="F15" s="24" t="str">
        <x:v>玫瑰四物黑糖</x:v>
      </x:c>
      <x:c r="G15" s="27" t="n">
        <x:v>200</x:v>
      </x:c>
      <x:c r="H15" s="27" t="n">
        <x:v>122</x:v>
      </x:c>
      <x:c r="I15" s="28" t="n">
        <x:v>0.61</x:v>
      </x:c>
      <x:c r="J15" s="27" t="n">
        <x:v>24</x:v>
      </x:c>
      <x:c r="K15" s="27" t="n">
        <x:v>98</x:v>
      </x:c>
      <x:c r="L15" s="28" t="n">
        <x:v>0.8033</x:v>
      </x:c>
      <x:c r="M15" s="29" t="n">
        <x:v>0</x:v>
      </x:c>
      <x:c r="N15" s="29" t="n">
        <x:v>63.19388533</x:v>
      </x:c>
      <x:c r="O15" s="29" t="n">
        <x:v>0</x:v>
      </x:c>
      <x:c r="P15" s="29" t="n">
        <x:v>0</x:v>
      </x:c>
      <x:c r="Q15" s="29" t="n">
        <x:v>6.1</x:v>
      </x:c>
      <x:c r="R15" s="29" t="n">
        <x:v>69.3</x:v>
      </x:c>
      <x:c r="S15" s="29" t="n">
        <x:v>29</x:v>
      </x:c>
      <x:c r="T15" s="28" t="n">
        <x:v>0.2353</x:v>
      </x:c>
    </x:row>
    <x:row r="16">
      <x:c r="A16" s="24" t="n">
        <x:v>20</x:v>
      </x:c>
      <x:c r="B16" s="24" t="str">
        <x:v>貼牌客戶-埔里農會</x:v>
      </x:c>
      <x:c r="C16" s="24" t="str">
        <x:v>(手切夾鏈袋380g)</x:v>
      </x:c>
      <x:c r="D16" s="24" t="str"/>
      <x:c r="E16" s="24" t="str">
        <x:v>36包(一箱)</x:v>
      </x:c>
      <x:c r="F16" s="24" t="str">
        <x:v>原味黑糖</x:v>
      </x:c>
      <x:c r="G16" s="27" t="n">
        <x:v>180</x:v>
      </x:c>
      <x:c r="H16" s="27" t="n">
        <x:v>99</x:v>
      </x:c>
      <x:c r="I16" s="28" t="n">
        <x:v>0.55</x:v>
      </x:c>
      <x:c r="J16" s="27" t="n">
        <x:v>22</x:v>
      </x:c>
      <x:c r="K16" s="27" t="n">
        <x:v>77</x:v>
      </x:c>
      <x:c r="L16" s="28" t="n">
        <x:v>0.7778</x:v>
      </x:c>
      <x:c r="M16" s="29" t="n">
        <x:v>0</x:v>
      </x:c>
      <x:c r="N16" s="29" t="n">
        <x:v>51.280284</x:v>
      </x:c>
      <x:c r="O16" s="29" t="n">
        <x:v>0</x:v>
      </x:c>
      <x:c r="P16" s="29" t="n">
        <x:v>0</x:v>
      </x:c>
      <x:c r="Q16" s="29" t="n">
        <x:v>4.95</x:v>
      </x:c>
      <x:c r="R16" s="29" t="n">
        <x:v>56.2</x:v>
      </x:c>
      <x:c r="S16" s="29" t="n">
        <x:v>21</x:v>
      </x:c>
      <x:c r="T16" s="28" t="n">
        <x:v>0.20980000000000001</x:v>
      </x:c>
    </x:row>
    <x:row r="17">
      <x:c r="A17" s="24" t="n">
        <x:v>21</x:v>
      </x:c>
      <x:c r="B17" s="24" t="str">
        <x:v>貼牌客戶-埔里農會</x:v>
      </x:c>
      <x:c r="C17" s="24" t="str">
        <x:v>(手切夾鏈袋380g)</x:v>
      </x:c>
      <x:c r="D17" s="24" t="str"/>
      <x:c r="E17" s="24" t="str">
        <x:v>36包(一箱)</x:v>
      </x:c>
      <x:c r="F17" s="24" t="str">
        <x:v>薑汁黑糖</x:v>
      </x:c>
      <x:c r="G17" s="27" t="n">
        <x:v>180</x:v>
      </x:c>
      <x:c r="H17" s="27" t="n">
        <x:v>99</x:v>
      </x:c>
      <x:c r="I17" s="28" t="n">
        <x:v>0.55</x:v>
      </x:c>
      <x:c r="J17" s="27" t="n">
        <x:v>25</x:v>
      </x:c>
      <x:c r="K17" s="27" t="n">
        <x:v>74</x:v>
      </x:c>
      <x:c r="L17" s="28" t="n">
        <x:v>0.7475</x:v>
      </x:c>
      <x:c r="M17" s="29" t="n">
        <x:v>0</x:v>
      </x:c>
      <x:c r="N17" s="29" t="n">
        <x:v>51.280284</x:v>
      </x:c>
      <x:c r="O17" s="29" t="n">
        <x:v>0</x:v>
      </x:c>
      <x:c r="P17" s="29" t="n">
        <x:v>0</x:v>
      </x:c>
      <x:c r="Q17" s="29" t="n">
        <x:v>4.95</x:v>
      </x:c>
      <x:c r="R17" s="29" t="n">
        <x:v>56.2</x:v>
      </x:c>
      <x:c r="S17" s="29" t="n">
        <x:v>18</x:v>
      </x:c>
      <x:c r="T17" s="28" t="n">
        <x:v>0.1795</x:v>
      </x:c>
    </x:row>
    <x:row r="18">
      <x:c r="A18" s="24" t="n">
        <x:v>22</x:v>
      </x:c>
      <x:c r="B18" s="24" t="str">
        <x:v>貼牌客戶-埔里農會</x:v>
      </x:c>
      <x:c r="C18" s="24" t="str">
        <x:v>(手切夾鏈袋380g)</x:v>
      </x:c>
      <x:c r="D18" s="24" t="str"/>
      <x:c r="E18" s="24" t="str">
        <x:v>36包(一箱)</x:v>
      </x:c>
      <x:c r="F18" s="24" t="str">
        <x:v>桂圓黑糖</x:v>
      </x:c>
      <x:c r="G18" s="27" t="n">
        <x:v>200</x:v>
      </x:c>
      <x:c r="H18" s="27" t="n">
        <x:v>110</x:v>
      </x:c>
      <x:c r="I18" s="28" t="n">
        <x:v>0.55</x:v>
      </x:c>
      <x:c r="J18" s="27" t="n">
        <x:v>30</x:v>
      </x:c>
      <x:c r="K18" s="27" t="n">
        <x:v>80</x:v>
      </x:c>
      <x:c r="L18" s="28" t="n">
        <x:v>0.7273000000000001</x:v>
      </x:c>
      <x:c r="M18" s="29" t="n">
        <x:v>0</x:v>
      </x:c>
      <x:c r="N18" s="29" t="n">
        <x:v>56.97809333</x:v>
      </x:c>
      <x:c r="O18" s="29" t="n">
        <x:v>0</x:v>
      </x:c>
      <x:c r="P18" s="29" t="n">
        <x:v>0</x:v>
      </x:c>
      <x:c r="Q18" s="29" t="n">
        <x:v>5.5</x:v>
      </x:c>
      <x:c r="R18" s="29" t="n">
        <x:v>62.5</x:v>
      </x:c>
      <x:c r="S18" s="29" t="n">
        <x:v>18</x:v>
      </x:c>
      <x:c r="T18" s="28" t="n">
        <x:v>0.1593</x:v>
      </x:c>
    </x:row>
    <x:row r="19">
      <x:c r="A19" s="24" t="n">
        <x:v>23</x:v>
      </x:c>
      <x:c r="B19" s="24" t="str">
        <x:v>貼牌客戶-埔里農會</x:v>
      </x:c>
      <x:c r="C19" s="24" t="str">
        <x:v>(手切夾鏈袋380g)</x:v>
      </x:c>
      <x:c r="D19" s="24" t="str"/>
      <x:c r="E19" s="24" t="str">
        <x:v>36包(一箱)</x:v>
      </x:c>
      <x:c r="F19" s="24" t="str">
        <x:v>玫瑰四物黑糖</x:v>
      </x:c>
      <x:c r="G19" s="27" t="n">
        <x:v>200</x:v>
      </x:c>
      <x:c r="H19" s="27" t="n">
        <x:v>110</x:v>
      </x:c>
      <x:c r="I19" s="28" t="n">
        <x:v>0.55</x:v>
      </x:c>
      <x:c r="J19" s="27" t="n">
        <x:v>24</x:v>
      </x:c>
      <x:c r="K19" s="27" t="n">
        <x:v>86</x:v>
      </x:c>
      <x:c r="L19" s="28" t="n">
        <x:v>0.7818</x:v>
      </x:c>
      <x:c r="M19" s="29" t="n">
        <x:v>0</x:v>
      </x:c>
      <x:c r="N19" s="29" t="n">
        <x:v>56.97809333</x:v>
      </x:c>
      <x:c r="O19" s="29" t="n">
        <x:v>0</x:v>
      </x:c>
      <x:c r="P19" s="29" t="n">
        <x:v>0</x:v>
      </x:c>
      <x:c r="Q19" s="29" t="n">
        <x:v>5.5</x:v>
      </x:c>
      <x:c r="R19" s="29" t="n">
        <x:v>62.5</x:v>
      </x:c>
      <x:c r="S19" s="29" t="n">
        <x:v>24</x:v>
      </x:c>
      <x:c r="T19" s="28" t="n">
        <x:v>0.2138</x:v>
      </x:c>
    </x:row>
    <x:row r="20">
      <x:c r="A20" s="24" t="n">
        <x:v>24</x:v>
      </x:c>
      <x:c r="B20" s="24" t="str">
        <x:v>批發-</x:v>
      </x:c>
      <x:c r="C20" s="24" t="str">
        <x:v>(手切夾鏈袋380g)</x:v>
      </x:c>
      <x:c r="D20" s="24" t="str"/>
      <x:c r="E20" s="24" t="str">
        <x:v>36包(一箱)</x:v>
      </x:c>
      <x:c r="F20" s="24" t="str">
        <x:v>原味黑糖</x:v>
      </x:c>
      <x:c r="G20" s="27"/>
      <x:c r="H20" s="27" t="n">
        <x:v>135</x:v>
      </x:c>
      <x:c r="I20" s="28"/>
      <x:c r="J20" s="27" t="n">
        <x:v>33</x:v>
      </x:c>
      <x:c r="K20" s="27" t="n">
        <x:v>102</x:v>
      </x:c>
      <x:c r="L20" s="28" t="n">
        <x:v>0.7533</x:v>
      </x:c>
      <x:c r="M20" s="29" t="n">
        <x:v>0</x:v>
      </x:c>
      <x:c r="N20" s="29" t="n">
        <x:v>69.92766</x:v>
      </x:c>
      <x:c r="O20" s="29" t="n">
        <x:v>0</x:v>
      </x:c>
      <x:c r="P20" s="29" t="n">
        <x:v>0</x:v>
      </x:c>
      <x:c r="Q20" s="29" t="n">
        <x:v>6.75</x:v>
      </x:c>
      <x:c r="R20" s="29" t="n">
        <x:v>76.7</x:v>
      </x:c>
      <x:c r="S20" s="29" t="n">
        <x:v>25</x:v>
      </x:c>
      <x:c r="T20" s="28" t="n">
        <x:v>0.18539999999999998</x:v>
      </x:c>
    </x:row>
    <x:row r="21">
      <x:c r="A21" s="24" t="n">
        <x:v>25</x:v>
      </x:c>
      <x:c r="B21" s="24" t="str">
        <x:v>批發-</x:v>
      </x:c>
      <x:c r="C21" s="24" t="str">
        <x:v>(手切夾鏈袋380g)</x:v>
      </x:c>
      <x:c r="D21" s="24" t="str"/>
      <x:c r="E21" s="24" t="str">
        <x:v>36包(一箱)</x:v>
      </x:c>
      <x:c r="F21" s="24" t="str">
        <x:v>薑汁黑糖</x:v>
      </x:c>
      <x:c r="G21" s="27"/>
      <x:c r="H21" s="27" t="n">
        <x:v>135</x:v>
      </x:c>
      <x:c r="I21" s="28"/>
      <x:c r="J21" s="27" t="n">
        <x:v>36</x:v>
      </x:c>
      <x:c r="K21" s="27" t="n">
        <x:v>99</x:v>
      </x:c>
      <x:c r="L21" s="28" t="n">
        <x:v>0.7311</x:v>
      </x:c>
      <x:c r="M21" s="29" t="n">
        <x:v>0</x:v>
      </x:c>
      <x:c r="N21" s="29" t="n">
        <x:v>69.92766</x:v>
      </x:c>
      <x:c r="O21" s="29" t="n">
        <x:v>0</x:v>
      </x:c>
      <x:c r="P21" s="29" t="n">
        <x:v>0</x:v>
      </x:c>
      <x:c r="Q21" s="29" t="n">
        <x:v>6.75</x:v>
      </x:c>
      <x:c r="R21" s="29" t="n">
        <x:v>76.7</x:v>
      </x:c>
      <x:c r="S21" s="29" t="n">
        <x:v>22</x:v>
      </x:c>
      <x:c r="T21" s="28" t="n">
        <x:v>0.1631</x:v>
      </x:c>
    </x:row>
    <x:row r="22">
      <x:c r="A22" s="24" t="n">
        <x:v>26</x:v>
      </x:c>
      <x:c r="B22" s="24" t="str">
        <x:v>批發-</x:v>
      </x:c>
      <x:c r="C22" s="24" t="str">
        <x:v>(手切夾鏈袋380g)</x:v>
      </x:c>
      <x:c r="D22" s="24" t="str"/>
      <x:c r="E22" s="24" t="str">
        <x:v>36包(一箱)</x:v>
      </x:c>
      <x:c r="F22" s="24" t="str">
        <x:v>桂圓黑糖</x:v>
      </x:c>
      <x:c r="G22" s="27"/>
      <x:c r="H22" s="27" t="n">
        <x:v>150</x:v>
      </x:c>
      <x:c r="I22" s="28"/>
      <x:c r="J22" s="27" t="n">
        <x:v>42</x:v>
      </x:c>
      <x:c r="K22" s="27" t="n">
        <x:v>109</x:v>
      </x:c>
      <x:c r="L22" s="28" t="n">
        <x:v>0.7232999999999999</x:v>
      </x:c>
      <x:c r="M22" s="29" t="n">
        <x:v>0</x:v>
      </x:c>
      <x:c r="N22" s="29" t="n">
        <x:v>77.6974</x:v>
      </x:c>
      <x:c r="O22" s="29" t="n">
        <x:v>0</x:v>
      </x:c>
      <x:c r="P22" s="29" t="n">
        <x:v>0</x:v>
      </x:c>
      <x:c r="Q22" s="29" t="n">
        <x:v>7.5</x:v>
      </x:c>
      <x:c r="R22" s="29" t="n">
        <x:v>85.2</x:v>
      </x:c>
      <x:c r="S22" s="29" t="n">
        <x:v>23</x:v>
      </x:c>
      <x:c r="T22" s="28" t="n">
        <x:v>0.15539999999999998</x:v>
      </x:c>
    </x:row>
    <x:row r="23">
      <x:c r="A23" s="24" t="n">
        <x:v>27</x:v>
      </x:c>
      <x:c r="B23" s="24" t="str">
        <x:v>批發-</x:v>
      </x:c>
      <x:c r="C23" s="24" t="str">
        <x:v>(手切夾鏈袋380g)</x:v>
      </x:c>
      <x:c r="D23" s="24" t="str"/>
      <x:c r="E23" s="24" t="str">
        <x:v>36包(一箱)</x:v>
      </x:c>
      <x:c r="F23" s="24" t="str">
        <x:v>玫瑰四物黑糖</x:v>
      </x:c>
      <x:c r="G23" s="27"/>
      <x:c r="H23" s="27" t="n">
        <x:v>150</x:v>
      </x:c>
      <x:c r="I23" s="28"/>
      <x:c r="J23" s="27" t="n">
        <x:v>35</x:v>
      </x:c>
      <x:c r="K23" s="27" t="n">
        <x:v>115</x:v>
      </x:c>
      <x:c r="L23" s="28" t="n">
        <x:v>0.7646999999999999</x:v>
      </x:c>
      <x:c r="M23" s="29" t="n">
        <x:v>0</x:v>
      </x:c>
      <x:c r="N23" s="29" t="n">
        <x:v>77.6974</x:v>
      </x:c>
      <x:c r="O23" s="29" t="n">
        <x:v>0</x:v>
      </x:c>
      <x:c r="P23" s="29" t="n">
        <x:v>0</x:v>
      </x:c>
      <x:c r="Q23" s="29" t="n">
        <x:v>7.5</x:v>
      </x:c>
      <x:c r="R23" s="29" t="n">
        <x:v>85.2</x:v>
      </x:c>
      <x:c r="S23" s="29" t="n">
        <x:v>30</x:v>
      </x:c>
      <x:c r="T23" s="28" t="n">
        <x:v>0.1967</x:v>
      </x:c>
    </x:row>
    <x:row r="24">
      <x:c r="A24" s="24" t="n">
        <x:v>28</x:v>
      </x:c>
      <x:c r="B24" s="24" t="str">
        <x:v>手切(每台斤)</x:v>
      </x:c>
      <x:c r="C24" s="24" t="str">
        <x:v>手切(每台斤)</x:v>
      </x:c>
      <x:c r="D24" s="24" t="str"/>
      <x:c r="E24" s="24" t="str">
        <x:v>40台斤(一箱)</x:v>
      </x:c>
      <x:c r="F24" s="24" t="str">
        <x:v>原味黑糖</x:v>
      </x:c>
      <x:c r="G24" s="27"/>
      <x:c r="H24" s="27" t="n">
        <x:v>100</x:v>
      </x:c>
      <x:c r="I24" s="28"/>
      <x:c r="J24" s="27" t="n">
        <x:v>21</x:v>
      </x:c>
      <x:c r="K24" s="27" t="n">
        <x:v>79</x:v>
      </x:c>
      <x:c r="L24" s="28" t="n">
        <x:v>0.79</x:v>
      </x:c>
      <x:c r="M24" s="29" t="n">
        <x:v>0</x:v>
      </x:c>
      <x:c r="N24" s="29" t="n">
        <x:v>51.79826667</x:v>
      </x:c>
      <x:c r="O24" s="29" t="n">
        <x:v>0</x:v>
      </x:c>
      <x:c r="P24" s="29" t="n">
        <x:v>0</x:v>
      </x:c>
      <x:c r="Q24" s="29" t="n">
        <x:v>5</x:v>
      </x:c>
      <x:c r="R24" s="29" t="n">
        <x:v>56.8</x:v>
      </x:c>
      <x:c r="S24" s="29" t="n">
        <x:v>22</x:v>
      </x:c>
      <x:c r="T24" s="28" t="n">
        <x:v>0.222</x:v>
      </x:c>
    </x:row>
    <x:row r="25">
      <x:c r="A25" s="24" t="n">
        <x:v>29</x:v>
      </x:c>
      <x:c r="B25" s="24" t="str">
        <x:v>手切(每台斤)</x:v>
      </x:c>
      <x:c r="C25" s="24" t="str">
        <x:v>手切(每台斤)</x:v>
      </x:c>
      <x:c r="D25" s="24" t="str"/>
      <x:c r="E25" s="24" t="str">
        <x:v>40台斤(一箱)</x:v>
      </x:c>
      <x:c r="F25" s="24" t="str">
        <x:v>薑汁黑糖</x:v>
      </x:c>
      <x:c r="G25" s="27"/>
      <x:c r="H25" s="27" t="n">
        <x:v>110</x:v>
      </x:c>
      <x:c r="I25" s="28"/>
      <x:c r="J25" s="27" t="n">
        <x:v>27</x:v>
      </x:c>
      <x:c r="K25" s="27" t="n">
        <x:v>83</x:v>
      </x:c>
      <x:c r="L25" s="28" t="n">
        <x:v>0.7545000000000001</x:v>
      </x:c>
      <x:c r="M25" s="29" t="n">
        <x:v>0</x:v>
      </x:c>
      <x:c r="N25" s="29" t="n">
        <x:v>56.97809333</x:v>
      </x:c>
      <x:c r="O25" s="29" t="n">
        <x:v>0</x:v>
      </x:c>
      <x:c r="P25" s="29" t="n">
        <x:v>0</x:v>
      </x:c>
      <x:c r="Q25" s="29" t="n">
        <x:v>5.5</x:v>
      </x:c>
      <x:c r="R25" s="29" t="n">
        <x:v>62.5</x:v>
      </x:c>
      <x:c r="S25" s="29" t="n">
        <x:v>21</x:v>
      </x:c>
      <x:c r="T25" s="28" t="n">
        <x:v>0.1866</x:v>
      </x:c>
    </x:row>
    <x:row r="26">
      <x:c r="A26" s="24" t="n">
        <x:v>30</x:v>
      </x:c>
      <x:c r="B26" s="24" t="str">
        <x:v>手切(每台斤)</x:v>
      </x:c>
      <x:c r="C26" s="24" t="str">
        <x:v>手切(每台斤)</x:v>
      </x:c>
      <x:c r="D26" s="24" t="str"/>
      <x:c r="E26" s="24" t="str">
        <x:v>40台斤(一箱)</x:v>
      </x:c>
      <x:c r="F26" s="24" t="str">
        <x:v>桂圓黑糖</x:v>
      </x:c>
      <x:c r="G26" s="27"/>
      <x:c r="H26" s="27" t="n">
        <x:v>140</x:v>
      </x:c>
      <x:c r="I26" s="28"/>
      <x:c r="J26" s="27" t="n">
        <x:v>33</x:v>
      </x:c>
      <x:c r="K26" s="27" t="n">
        <x:v>107</x:v>
      </x:c>
      <x:c r="L26" s="28" t="n">
        <x:v>0.7643000000000001</x:v>
      </x:c>
      <x:c r="M26" s="29" t="n">
        <x:v>0</x:v>
      </x:c>
      <x:c r="N26" s="29" t="n">
        <x:v>72.51757333</x:v>
      </x:c>
      <x:c r="O26" s="29" t="n">
        <x:v>0</x:v>
      </x:c>
      <x:c r="P26" s="29" t="n">
        <x:v>0</x:v>
      </x:c>
      <x:c r="Q26" s="29" t="n">
        <x:v>7</x:v>
      </x:c>
      <x:c r="R26" s="29" t="n">
        <x:v>79.5</x:v>
      </x:c>
      <x:c r="S26" s="29" t="n">
        <x:v>27</x:v>
      </x:c>
      <x:c r="T26" s="28" t="n">
        <x:v>0.1963</x:v>
      </x:c>
    </x:row>
    <x:row r="27">
      <x:c r="A27" s="24" t="n">
        <x:v>31</x:v>
      </x:c>
      <x:c r="B27" s="24" t="str">
        <x:v>手切(每台斤)</x:v>
      </x:c>
      <x:c r="C27" s="24" t="str">
        <x:v>手切(每台斤)</x:v>
      </x:c>
      <x:c r="D27" s="24" t="str"/>
      <x:c r="E27" s="24" t="str">
        <x:v>40台斤(一箱)</x:v>
      </x:c>
      <x:c r="F27" s="24" t="str">
        <x:v>玫瑰四物黑糖</x:v>
      </x:c>
      <x:c r="G27" s="27"/>
      <x:c r="H27" s="27" t="n">
        <x:v>130</x:v>
      </x:c>
      <x:c r="I27" s="28"/>
      <x:c r="J27" s="27" t="n">
        <x:v>26</x:v>
      </x:c>
      <x:c r="K27" s="27" t="n">
        <x:v>104</x:v>
      </x:c>
      <x:c r="L27" s="28" t="n">
        <x:v>0.8</x:v>
      </x:c>
      <x:c r="M27" s="29" t="n">
        <x:v>0</x:v>
      </x:c>
      <x:c r="N27" s="29" t="n">
        <x:v>67.33774667</x:v>
      </x:c>
      <x:c r="O27" s="29" t="n">
        <x:v>0</x:v>
      </x:c>
      <x:c r="P27" s="29" t="n">
        <x:v>0</x:v>
      </x:c>
      <x:c r="Q27" s="29" t="n">
        <x:v>6.5</x:v>
      </x:c>
      <x:c r="R27" s="29" t="n">
        <x:v>73.8</x:v>
      </x:c>
      <x:c r="S27" s="29" t="n">
        <x:v>30</x:v>
      </x:c>
      <x:c r="T27" s="28" t="n">
        <x:v>0.23199999999999998</x:v>
      </x:c>
    </x:row>
    <x:row r="28">
      <x:c r="A28" s="24" t="n">
        <x:v>32</x:v>
      </x:c>
      <x:c r="B28" s="24" t="str">
        <x:v>單顆包(每台斤）</x:v>
      </x:c>
      <x:c r="C28" s="24" t="str">
        <x:v>單顆包(每台斤）</x:v>
      </x:c>
      <x:c r="D28" s="24" t="str"/>
      <x:c r="E28" s="24" t="str">
        <x:v>25台斤(一箱)</x:v>
      </x:c>
      <x:c r="F28" s="24" t="str">
        <x:v>原味黑糖</x:v>
      </x:c>
      <x:c r="G28" s="27"/>
      <x:c r="H28" s="27" t="n">
        <x:v>100</x:v>
      </x:c>
      <x:c r="I28" s="28"/>
      <x:c r="J28" s="27" t="n">
        <x:v>34</x:v>
      </x:c>
      <x:c r="K28" s="27" t="n">
        <x:v>66</x:v>
      </x:c>
      <x:c r="L28" s="28" t="n">
        <x:v>0.66</x:v>
      </x:c>
      <x:c r="M28" s="29" t="n">
        <x:v>0</x:v>
      </x:c>
      <x:c r="N28" s="29" t="n">
        <x:v>51.79826667</x:v>
      </x:c>
      <x:c r="O28" s="29" t="n">
        <x:v>0</x:v>
      </x:c>
      <x:c r="P28" s="29" t="n">
        <x:v>0</x:v>
      </x:c>
      <x:c r="Q28" s="29" t="n">
        <x:v>5</x:v>
      </x:c>
      <x:c r="R28" s="29" t="n">
        <x:v>56.8</x:v>
      </x:c>
      <x:c r="S28" s="29" t="n">
        <x:v>9</x:v>
      </x:c>
      <x:c r="T28" s="28" t="n">
        <x:v>0.092</x:v>
      </x:c>
    </x:row>
    <x:row r="29">
      <x:c r="A29" s="24" t="n">
        <x:v>33</x:v>
      </x:c>
      <x:c r="B29" s="24" t="str">
        <x:v>單顆包(每台斤）</x:v>
      </x:c>
      <x:c r="C29" s="24" t="str">
        <x:v>單顆包(每台斤）</x:v>
      </x:c>
      <x:c r="D29" s="24" t="str"/>
      <x:c r="E29" s="24" t="str">
        <x:v>25台斤(一箱)</x:v>
      </x:c>
      <x:c r="F29" s="24" t="str">
        <x:v>薑汁黑糖</x:v>
      </x:c>
      <x:c r="G29" s="27"/>
      <x:c r="H29" s="27" t="n">
        <x:v>130</x:v>
      </x:c>
      <x:c r="I29" s="28"/>
      <x:c r="J29" s="27" t="n">
        <x:v>40</x:v>
      </x:c>
      <x:c r="K29" s="27" t="n">
        <x:v>90</x:v>
      </x:c>
      <x:c r="L29" s="28" t="n">
        <x:v>0.6923</x:v>
      </x:c>
      <x:c r="M29" s="29" t="n">
        <x:v>0</x:v>
      </x:c>
      <x:c r="N29" s="29" t="n">
        <x:v>67.33774667</x:v>
      </x:c>
      <x:c r="O29" s="29" t="n">
        <x:v>0</x:v>
      </x:c>
      <x:c r="P29" s="29" t="n">
        <x:v>0</x:v>
      </x:c>
      <x:c r="Q29" s="29" t="n">
        <x:v>6.5</x:v>
      </x:c>
      <x:c r="R29" s="29" t="n">
        <x:v>73.8</x:v>
      </x:c>
      <x:c r="S29" s="29" t="n">
        <x:v>16</x:v>
      </x:c>
      <x:c r="T29" s="28" t="n">
        <x:v>0.1243</x:v>
      </x:c>
    </x:row>
    <x:row r="30">
      <x:c r="A30" s="24" t="n">
        <x:v>34</x:v>
      </x:c>
      <x:c r="B30" s="24" t="str">
        <x:v>單顆包(每台斤）</x:v>
      </x:c>
      <x:c r="C30" s="24" t="str">
        <x:v>單顆包(每台斤）</x:v>
      </x:c>
      <x:c r="D30" s="24" t="str"/>
      <x:c r="E30" s="24" t="str">
        <x:v>25台斤(一箱)</x:v>
      </x:c>
      <x:c r="F30" s="24" t="str">
        <x:v>桂圓黑糖</x:v>
      </x:c>
      <x:c r="G30" s="27"/>
      <x:c r="H30" s="27" t="n">
        <x:v>130</x:v>
      </x:c>
      <x:c r="I30" s="28"/>
      <x:c r="J30" s="27" t="n">
        <x:v>47</x:v>
      </x:c>
      <x:c r="K30" s="27" t="n">
        <x:v>83</x:v>
      </x:c>
      <x:c r="L30" s="28" t="n">
        <x:v>0.6385000000000001</x:v>
      </x:c>
      <x:c r="M30" s="29" t="n">
        <x:v>0</x:v>
      </x:c>
      <x:c r="N30" s="29" t="n">
        <x:v>67.33774667</x:v>
      </x:c>
      <x:c r="O30" s="29" t="n">
        <x:v>0</x:v>
      </x:c>
      <x:c r="P30" s="29" t="n">
        <x:v>0</x:v>
      </x:c>
      <x:c r="Q30" s="29" t="n">
        <x:v>6.5</x:v>
      </x:c>
      <x:c r="R30" s="29" t="n">
        <x:v>73.8</x:v>
      </x:c>
      <x:c r="S30" s="29" t="n">
        <x:v>9</x:v>
      </x:c>
      <x:c r="T30" s="28" t="n">
        <x:v>0.0705</x:v>
      </x:c>
    </x:row>
    <x:row r="31">
      <x:c r="A31" s="24" t="n">
        <x:v>35</x:v>
      </x:c>
      <x:c r="B31" s="24" t="str">
        <x:v>單顆包(每台斤）</x:v>
      </x:c>
      <x:c r="C31" s="24" t="str">
        <x:v>單顆包(每台斤）</x:v>
      </x:c>
      <x:c r="D31" s="24" t="str"/>
      <x:c r="E31" s="24" t="str">
        <x:v>25台斤(一箱)</x:v>
      </x:c>
      <x:c r="F31" s="24" t="str">
        <x:v>玫瑰四物黑糖</x:v>
      </x:c>
      <x:c r="G31" s="27"/>
      <x:c r="H31" s="27" t="n">
        <x:v>130</x:v>
      </x:c>
      <x:c r="I31" s="28"/>
      <x:c r="J31" s="27" t="n">
        <x:v>39</x:v>
      </x:c>
      <x:c r="K31" s="27" t="n">
        <x:v>91</x:v>
      </x:c>
      <x:c r="L31" s="28" t="n">
        <x:v>0.7</x:v>
      </x:c>
      <x:c r="M31" s="29" t="n">
        <x:v>0</x:v>
      </x:c>
      <x:c r="N31" s="29" t="n">
        <x:v>67.33774667</x:v>
      </x:c>
      <x:c r="O31" s="29" t="n">
        <x:v>0</x:v>
      </x:c>
      <x:c r="P31" s="29" t="n">
        <x:v>0</x:v>
      </x:c>
      <x:c r="Q31" s="29" t="n">
        <x:v>6.5</x:v>
      </x:c>
      <x:c r="R31" s="29" t="n">
        <x:v>73.8</x:v>
      </x:c>
      <x:c r="S31" s="29" t="n">
        <x:v>17</x:v>
      </x:c>
      <x:c r="T31" s="28" t="n">
        <x:v>0.132</x:v>
      </x:c>
    </x:row>
    <x:row r="32">
      <x:c r="A32" s="24" t="n">
        <x:v>36</x:v>
      </x:c>
      <x:c r="B32" s="24" t="str">
        <x:v>單顆包(每台斤）</x:v>
      </x:c>
      <x:c r="C32" s="24" t="str">
        <x:v>單顆包(每台斤）</x:v>
      </x:c>
      <x:c r="D32" s="24" t="str"/>
      <x:c r="E32" s="24" t="str">
        <x:v>25台斤(一箱)</x:v>
      </x:c>
      <x:c r="F32" s="24" t="str">
        <x:v>桂圓紅棗薑</x:v>
      </x:c>
      <x:c r="G32" s="27"/>
      <x:c r="H32" s="27" t="n">
        <x:v>150</x:v>
      </x:c>
      <x:c r="I32" s="28"/>
      <x:c r="J32" s="27" t="n">
        <x:v>46</x:v>
      </x:c>
      <x:c r="K32" s="27" t="n">
        <x:v>104</x:v>
      </x:c>
      <x:c r="L32" s="28" t="n">
        <x:v>0.6933</x:v>
      </x:c>
      <x:c r="M32" s="29" t="n">
        <x:v>0</x:v>
      </x:c>
      <x:c r="N32" s="29" t="n">
        <x:v>77.6974</x:v>
      </x:c>
      <x:c r="O32" s="29" t="n">
        <x:v>0</x:v>
      </x:c>
      <x:c r="P32" s="29" t="n">
        <x:v>0</x:v>
      </x:c>
      <x:c r="Q32" s="29" t="n">
        <x:v>7.5</x:v>
      </x:c>
      <x:c r="R32" s="29" t="n">
        <x:v>85.2</x:v>
      </x:c>
      <x:c r="S32" s="29" t="n">
        <x:v>19</x:v>
      </x:c>
      <x:c r="T32" s="28" t="n">
        <x:v>0.12539999999999998</x:v>
      </x:c>
    </x:row>
    <x:row r="33">
      <x:c r="A33" s="24" t="n">
        <x:v>37</x:v>
      </x:c>
      <x:c r="B33" s="24" t="str">
        <x:v>單顆包(每台斤）</x:v>
      </x:c>
      <x:c r="C33" s="24" t="str">
        <x:v>單顆包(每台斤）</x:v>
      </x:c>
      <x:c r="D33" s="24" t="str"/>
      <x:c r="E33" s="24" t="str">
        <x:v>25台斤(一箱)</x:v>
      </x:c>
      <x:c r="F33" s="24" t="str">
        <x:v>冬瓜</x:v>
      </x:c>
      <x:c r="G33" s="27"/>
      <x:c r="H33" s="27" t="n">
        <x:v>140</x:v>
      </x:c>
      <x:c r="I33" s="28"/>
      <x:c r="J33" s="27" t="n">
        <x:v>41</x:v>
      </x:c>
      <x:c r="K33" s="27" t="n">
        <x:v>99</x:v>
      </x:c>
      <x:c r="L33" s="28" t="n">
        <x:v>0.7071</x:v>
      </x:c>
      <x:c r="M33" s="29" t="n">
        <x:v>0</x:v>
      </x:c>
      <x:c r="N33" s="29" t="n">
        <x:v>72.51757333</x:v>
      </x:c>
      <x:c r="O33" s="29" t="n">
        <x:v>0</x:v>
      </x:c>
      <x:c r="P33" s="29" t="n">
        <x:v>0</x:v>
      </x:c>
      <x:c r="Q33" s="29" t="n">
        <x:v>7</x:v>
      </x:c>
      <x:c r="R33" s="29" t="n">
        <x:v>79.5</x:v>
      </x:c>
      <x:c r="S33" s="29" t="n">
        <x:v>19</x:v>
      </x:c>
      <x:c r="T33" s="28" t="n">
        <x:v>0.1392</x:v>
      </x:c>
    </x:row>
    <x:row r="34">
      <x:c r="A34" s="24" t="n">
        <x:v>38</x:v>
      </x:c>
      <x:c r="B34" s="24" t="str">
        <x:v>蜜類-350ml</x:v>
      </x:c>
      <x:c r="C34" s="24" t="str">
        <x:v>蜜類-350ml</x:v>
      </x:c>
      <x:c r="D34" s="24" t="str"/>
      <x:c r="E34" s="24" t="str"/>
      <x:c r="F34" s="24" t="str">
        <x:v>黑糖蜜</x:v>
      </x:c>
      <x:c r="G34" s="27" t="n">
        <x:v>200</x:v>
      </x:c>
      <x:c r="H34" s="27" t="n">
        <x:v>130</x:v>
      </x:c>
      <x:c r="I34" s="28" t="n">
        <x:v>0.65</x:v>
      </x:c>
      <x:c r="J34" s="27" t="n">
        <x:v>39</x:v>
      </x:c>
      <x:c r="K34" s="27" t="n">
        <x:v>91</x:v>
      </x:c>
      <x:c r="L34" s="28" t="n">
        <x:v>0.7031000000000001</x:v>
      </x:c>
      <x:c r="M34" s="29" t="n">
        <x:v>0</x:v>
      </x:c>
      <x:c r="N34" s="29" t="n">
        <x:v>67.33774667</x:v>
      </x:c>
      <x:c r="O34" s="29" t="n">
        <x:v>0</x:v>
      </x:c>
      <x:c r="P34" s="29" t="n">
        <x:v>0</x:v>
      </x:c>
      <x:c r="Q34" s="29" t="n">
        <x:v>6.5</x:v>
      </x:c>
      <x:c r="R34" s="29" t="n">
        <x:v>73.8</x:v>
      </x:c>
      <x:c r="S34" s="29" t="n">
        <x:v>18</x:v>
      </x:c>
      <x:c r="T34" s="28" t="n">
        <x:v>0.1351</x:v>
      </x:c>
    </x:row>
    <x:row r="35">
      <x:c r="A35" s="24" t="n">
        <x:v>39</x:v>
      </x:c>
      <x:c r="B35" s="24" t="str">
        <x:v>蜜類-150ml</x:v>
      </x:c>
      <x:c r="C35" s="24" t="str">
        <x:v>蜜類-150ml</x:v>
      </x:c>
      <x:c r="D35" s="24" t="str"/>
      <x:c r="E35" s="24" t="str"/>
      <x:c r="F35" s="24" t="str">
        <x:v>黑糖檸檬</x:v>
      </x:c>
      <x:c r="G35" s="27" t="n">
        <x:v>180</x:v>
      </x:c>
      <x:c r="H35" s="27" t="n">
        <x:v>117</x:v>
      </x:c>
      <x:c r="I35" s="28" t="n">
        <x:v>0.65</x:v>
      </x:c>
      <x:c r="J35" s="27" t="n">
        <x:v>51</x:v>
      </x:c>
      <x:c r="K35" s="27" t="n">
        <x:v>66</x:v>
      </x:c>
      <x:c r="L35" s="28" t="n">
        <x:v>0.5615</x:v>
      </x:c>
      <x:c r="M35" s="29" t="n">
        <x:v>0</x:v>
      </x:c>
      <x:c r="N35" s="29" t="n">
        <x:v>60.603972</x:v>
      </x:c>
      <x:c r="O35" s="29" t="n">
        <x:v>0</x:v>
      </x:c>
      <x:c r="P35" s="29" t="n">
        <x:v>0</x:v>
      </x:c>
      <x:c r="Q35" s="29" t="n">
        <x:v>5.85</x:v>
      </x:c>
      <x:c r="R35" s="29" t="n">
        <x:v>66.5</x:v>
      </x:c>
      <x:c r="S35" s="29" t="n">
        <x:v>-1</x:v>
      </x:c>
      <x:c r="T35" s="28" t="n">
        <x:v>-0.0064</x:v>
      </x:c>
    </x:row>
    <x:row r="36">
      <x:c r="A36" s="24" t="n">
        <x:v>40</x:v>
      </x:c>
      <x:c r="B36" s="24" t="str">
        <x:v>蜜類-150ml</x:v>
      </x:c>
      <x:c r="C36" s="24" t="str">
        <x:v>蜜類-150ml</x:v>
      </x:c>
      <x:c r="D36" s="24" t="str"/>
      <x:c r="E36" s="24" t="str"/>
      <x:c r="F36" s="24" t="str">
        <x:v>百香果黑糖</x:v>
      </x:c>
      <x:c r="G36" s="27" t="n">
        <x:v>180</x:v>
      </x:c>
      <x:c r="H36" s="27" t="n">
        <x:v>117</x:v>
      </x:c>
      <x:c r="I36" s="28" t="n">
        <x:v>0.65</x:v>
      </x:c>
      <x:c r="J36" s="27" t="n">
        <x:v>48</x:v>
      </x:c>
      <x:c r="K36" s="27" t="n">
        <x:v>69</x:v>
      </x:c>
      <x:c r="L36" s="28" t="n">
        <x:v>0.5897</x:v>
      </x:c>
      <x:c r="M36" s="29" t="n">
        <x:v>0</x:v>
      </x:c>
      <x:c r="N36" s="29" t="n">
        <x:v>60.603972</x:v>
      </x:c>
      <x:c r="O36" s="29" t="n">
        <x:v>0</x:v>
      </x:c>
      <x:c r="P36" s="29" t="n">
        <x:v>0</x:v>
      </x:c>
      <x:c r="Q36" s="29" t="n">
        <x:v>5.85</x:v>
      </x:c>
      <x:c r="R36" s="29" t="n">
        <x:v>66.5</x:v>
      </x:c>
      <x:c r="S36" s="29" t="n">
        <x:v>3</x:v>
      </x:c>
      <x:c r="T36" s="28" t="n">
        <x:v>0.0218</x:v>
      </x:c>
    </x:row>
    <x:row r="37">
      <x:c r="A37" s="24" t="n">
        <x:v>41</x:v>
      </x:c>
      <x:c r="B37" s="24" t="str">
        <x:v>蜜類-150ml</x:v>
      </x:c>
      <x:c r="C37" s="24" t="str">
        <x:v>蜜類-150ml</x:v>
      </x:c>
      <x:c r="D37" s="24" t="str"/>
      <x:c r="E37" s="24" t="str"/>
      <x:c r="F37" s="24" t="str">
        <x:v>梅精黑糖</x:v>
      </x:c>
      <x:c r="G37" s="27" t="n">
        <x:v>220</x:v>
      </x:c>
      <x:c r="H37" s="27" t="n">
        <x:v>143</x:v>
      </x:c>
      <x:c r="I37" s="28" t="n">
        <x:v>0.65</x:v>
      </x:c>
      <x:c r="J37" s="27" t="n">
        <x:v>47</x:v>
      </x:c>
      <x:c r="K37" s="27" t="n">
        <x:v>96</x:v>
      </x:c>
      <x:c r="L37" s="28" t="n">
        <x:v>0.6713</x:v>
      </x:c>
      <x:c r="M37" s="29" t="n">
        <x:v>0</x:v>
      </x:c>
      <x:c r="N37" s="29" t="n">
        <x:v>74.07152133</x:v>
      </x:c>
      <x:c r="O37" s="29" t="n">
        <x:v>0</x:v>
      </x:c>
      <x:c r="P37" s="29" t="n">
        <x:v>0</x:v>
      </x:c>
      <x:c r="Q37" s="29" t="n">
        <x:v>7.15</x:v>
      </x:c>
      <x:c r="R37" s="29" t="n">
        <x:v>81.2</x:v>
      </x:c>
      <x:c r="S37" s="29" t="n">
        <x:v>15</x:v>
      </x:c>
      <x:c r="T37" s="28" t="n">
        <x:v>0.1033</x:v>
      </x:c>
    </x:row>
    <x:row r="38">
      <x:c r="A38" s="24" t="n">
        <x:v>43</x:v>
      </x:c>
      <x:c r="B38" s="24" t="str">
        <x:v>日月町罐裝(160g）</x:v>
      </x:c>
      <x:c r="C38" s="24" t="str">
        <x:v>日月町罐裝(160g）</x:v>
      </x:c>
      <x:c r="D38" s="24" t="str"/>
      <x:c r="E38" s="24" t="str"/>
      <x:c r="F38" s="24" t="str">
        <x:v>原味黑糖</x:v>
      </x:c>
      <x:c r="G38" s="27" t="n">
        <x:v>180</x:v>
      </x:c>
      <x:c r="H38" s="27" t="n">
        <x:v>126</x:v>
      </x:c>
      <x:c r="I38" s="28" t="n">
        <x:v>0.7</x:v>
      </x:c>
      <x:c r="J38" s="27" t="n">
        <x:v>43</x:v>
      </x:c>
      <x:c r="K38" s="27" t="n">
        <x:v>83</x:v>
      </x:c>
      <x:c r="L38" s="28" t="n">
        <x:v>0.6587000000000001</x:v>
      </x:c>
      <x:c r="M38" s="29" t="n">
        <x:v>0</x:v>
      </x:c>
      <x:c r="N38" s="29" t="n">
        <x:v>65.265816</x:v>
      </x:c>
      <x:c r="O38" s="29" t="n">
        <x:v>0</x:v>
      </x:c>
      <x:c r="P38" s="29" t="n">
        <x:v>0</x:v>
      </x:c>
      <x:c r="Q38" s="29" t="n">
        <x:v>6.3</x:v>
      </x:c>
      <x:c r="R38" s="29" t="n">
        <x:v>71.6</x:v>
      </x:c>
      <x:c r="S38" s="29" t="n">
        <x:v>11</x:v>
      </x:c>
      <x:c r="T38" s="28" t="n">
        <x:v>0.0907</x:v>
      </x:c>
    </x:row>
    <x:row r="39">
      <x:c r="A39" s="24" t="n">
        <x:v>44</x:v>
      </x:c>
      <x:c r="B39" s="24" t="str">
        <x:v>日月町罐裝(160g）</x:v>
      </x:c>
      <x:c r="C39" s="24" t="str">
        <x:v>日月町罐裝(160g）</x:v>
      </x:c>
      <x:c r="D39" s="24" t="str"/>
      <x:c r="E39" s="24" t="str"/>
      <x:c r="F39" s="24" t="str">
        <x:v>薑汁黑糖</x:v>
      </x:c>
      <x:c r="G39" s="27" t="n">
        <x:v>180</x:v>
      </x:c>
      <x:c r="H39" s="27" t="n">
        <x:v>126</x:v>
      </x:c>
      <x:c r="I39" s="28" t="n">
        <x:v>0.7</x:v>
      </x:c>
      <x:c r="J39" s="27" t="n">
        <x:v>43</x:v>
      </x:c>
      <x:c r="K39" s="27" t="n">
        <x:v>83</x:v>
      </x:c>
      <x:c r="L39" s="28" t="n">
        <x:v>0.6587000000000001</x:v>
      </x:c>
      <x:c r="M39" s="29" t="n">
        <x:v>0</x:v>
      </x:c>
      <x:c r="N39" s="29" t="n">
        <x:v>65.265816</x:v>
      </x:c>
      <x:c r="O39" s="29" t="n">
        <x:v>0</x:v>
      </x:c>
      <x:c r="P39" s="29" t="n">
        <x:v>0</x:v>
      </x:c>
      <x:c r="Q39" s="29" t="n">
        <x:v>6.3</x:v>
      </x:c>
      <x:c r="R39" s="29" t="n">
        <x:v>71.6</x:v>
      </x:c>
      <x:c r="S39" s="29" t="n">
        <x:v>11</x:v>
      </x:c>
      <x:c r="T39" s="28" t="n">
        <x:v>0.0907</x:v>
      </x:c>
    </x:row>
    <x:row r="40">
      <x:c r="A40" s="24" t="n">
        <x:v>45</x:v>
      </x:c>
      <x:c r="B40" s="24" t="str">
        <x:v>日月町罐裝(160g）</x:v>
      </x:c>
      <x:c r="C40" s="24" t="str">
        <x:v>日月町罐裝(160g）</x:v>
      </x:c>
      <x:c r="D40" s="24" t="str"/>
      <x:c r="E40" s="24" t="str"/>
      <x:c r="F40" s="24" t="str">
        <x:v>桂圓黑糖</x:v>
      </x:c>
      <x:c r="G40" s="27" t="n">
        <x:v>180</x:v>
      </x:c>
      <x:c r="H40" s="27" t="n">
        <x:v>126</x:v>
      </x:c>
      <x:c r="I40" s="28" t="n">
        <x:v>0.7</x:v>
      </x:c>
      <x:c r="J40" s="27" t="n">
        <x:v>43</x:v>
      </x:c>
      <x:c r="K40" s="27" t="n">
        <x:v>83</x:v>
      </x:c>
      <x:c r="L40" s="28" t="n">
        <x:v>0.6587000000000001</x:v>
      </x:c>
      <x:c r="M40" s="29" t="n">
        <x:v>0</x:v>
      </x:c>
      <x:c r="N40" s="29" t="n">
        <x:v>65.265816</x:v>
      </x:c>
      <x:c r="O40" s="29" t="n">
        <x:v>0</x:v>
      </x:c>
      <x:c r="P40" s="29" t="n">
        <x:v>0</x:v>
      </x:c>
      <x:c r="Q40" s="29" t="n">
        <x:v>6.3</x:v>
      </x:c>
      <x:c r="R40" s="29" t="n">
        <x:v>71.6</x:v>
      </x:c>
      <x:c r="S40" s="29" t="n">
        <x:v>11</x:v>
      </x:c>
      <x:c r="T40" s="28" t="n">
        <x:v>0.0907</x:v>
      </x:c>
    </x:row>
    <x:row r="41">
      <x:c r="A41" s="24" t="n">
        <x:v>46</x:v>
      </x:c>
      <x:c r="B41" s="24" t="str">
        <x:v>日月町罐裝(160g）</x:v>
      </x:c>
      <x:c r="C41" s="24" t="str">
        <x:v>日月町罐裝(160g）</x:v>
      </x:c>
      <x:c r="D41" s="24" t="str"/>
      <x:c r="E41" s="24" t="str"/>
      <x:c r="F41" s="24" t="str">
        <x:v>玫瑰四物黑糖</x:v>
      </x:c>
      <x:c r="G41" s="27" t="n">
        <x:v>180</x:v>
      </x:c>
      <x:c r="H41" s="27" t="n">
        <x:v>126</x:v>
      </x:c>
      <x:c r="I41" s="28" t="n">
        <x:v>0.7</x:v>
      </x:c>
      <x:c r="J41" s="27" t="n">
        <x:v>43</x:v>
      </x:c>
      <x:c r="K41" s="27" t="n">
        <x:v>83</x:v>
      </x:c>
      <x:c r="L41" s="28" t="n">
        <x:v>0.6587000000000001</x:v>
      </x:c>
      <x:c r="M41" s="29" t="n">
        <x:v>0</x:v>
      </x:c>
      <x:c r="N41" s="29" t="n">
        <x:v>65.265816</x:v>
      </x:c>
      <x:c r="O41" s="29" t="n">
        <x:v>0</x:v>
      </x:c>
      <x:c r="P41" s="29" t="n">
        <x:v>0</x:v>
      </x:c>
      <x:c r="Q41" s="29" t="n">
        <x:v>6.3</x:v>
      </x:c>
      <x:c r="R41" s="29" t="n">
        <x:v>71.6</x:v>
      </x:c>
      <x:c r="S41" s="29" t="n">
        <x:v>11</x:v>
      </x:c>
      <x:c r="T41" s="28" t="n">
        <x:v>0.0907</x:v>
      </x:c>
    </x:row>
    <x:row r="42">
      <x:c r="A42" s="24" t="n">
        <x:v>47</x:v>
      </x:c>
      <x:c r="B42" s="24" t="str">
        <x:v>日月町罐裝(160g）</x:v>
      </x:c>
      <x:c r="C42" s="24" t="str">
        <x:v>日月町罐裝(160g）</x:v>
      </x:c>
      <x:c r="D42" s="24" t="str"/>
      <x:c r="E42" s="24" t="str"/>
      <x:c r="F42" s="24" t="str">
        <x:v>桂圓紅棗薑</x:v>
      </x:c>
      <x:c r="G42" s="27" t="n">
        <x:v>180</x:v>
      </x:c>
      <x:c r="H42" s="27" t="n">
        <x:v>126</x:v>
      </x:c>
      <x:c r="I42" s="28" t="n">
        <x:v>0.7</x:v>
      </x:c>
      <x:c r="J42" s="27" t="n">
        <x:v>43</x:v>
      </x:c>
      <x:c r="K42" s="27" t="n">
        <x:v>83</x:v>
      </x:c>
      <x:c r="L42" s="28" t="n">
        <x:v>0.6587000000000001</x:v>
      </x:c>
      <x:c r="M42" s="29" t="n">
        <x:v>0</x:v>
      </x:c>
      <x:c r="N42" s="29" t="n">
        <x:v>65.265816</x:v>
      </x:c>
      <x:c r="O42" s="29" t="n">
        <x:v>0</x:v>
      </x:c>
      <x:c r="P42" s="29" t="n">
        <x:v>0</x:v>
      </x:c>
      <x:c r="Q42" s="29" t="n">
        <x:v>6.3</x:v>
      </x:c>
      <x:c r="R42" s="29" t="n">
        <x:v>71.6</x:v>
      </x:c>
      <x:c r="S42" s="29" t="n">
        <x:v>11</x:v>
      </x:c>
      <x:c r="T42" s="28" t="n">
        <x:v>0.0907</x:v>
      </x:c>
    </x:row>
    <x:row r="43">
      <x:c r="A43" s="24" t="n">
        <x:v>48</x:v>
      </x:c>
      <x:c r="B43" s="24" t="str">
        <x:v>日月町罐裝(160g）</x:v>
      </x:c>
      <x:c r="C43" s="24" t="str">
        <x:v>日月町罐裝(160g）</x:v>
      </x:c>
      <x:c r="D43" s="24" t="str"/>
      <x:c r="E43" s="24" t="str"/>
      <x:c r="F43" s="24" t="str">
        <x:v>冬瓜</x:v>
      </x:c>
      <x:c r="G43" s="27" t="n">
        <x:v>180</x:v>
      </x:c>
      <x:c r="H43" s="27" t="n">
        <x:v>126</x:v>
      </x:c>
      <x:c r="I43" s="28" t="n">
        <x:v>0.7</x:v>
      </x:c>
      <x:c r="J43" s="27" t="n">
        <x:v>43</x:v>
      </x:c>
      <x:c r="K43" s="27" t="n">
        <x:v>83</x:v>
      </x:c>
      <x:c r="L43" s="28" t="n">
        <x:v>0.6587000000000001</x:v>
      </x:c>
      <x:c r="M43" s="29" t="n">
        <x:v>0</x:v>
      </x:c>
      <x:c r="N43" s="29" t="n">
        <x:v>65.265816</x:v>
      </x:c>
      <x:c r="O43" s="29" t="n">
        <x:v>0</x:v>
      </x:c>
      <x:c r="P43" s="29" t="n">
        <x:v>0</x:v>
      </x:c>
      <x:c r="Q43" s="29" t="n">
        <x:v>6.3</x:v>
      </x:c>
      <x:c r="R43" s="29" t="n">
        <x:v>71.6</x:v>
      </x:c>
      <x:c r="S43" s="29" t="n">
        <x:v>11</x:v>
      </x:c>
      <x:c r="T43" s="28" t="n">
        <x:v>0.0907</x:v>
      </x:c>
    </x:row>
    <x:row r="44">
      <x:c r="A44" s="24" t="n">
        <x:v>49</x:v>
      </x:c>
      <x:c r="B44" s="24" t="str">
        <x:v>日月町禮盒組</x:v>
      </x:c>
      <x:c r="C44" s="24" t="str">
        <x:v>日月町禮盒組</x:v>
      </x:c>
      <x:c r="D44" s="24" t="str"/>
      <x:c r="E44" s="24" t="str"/>
      <x:c r="F44" s="24" t="str">
        <x:v>2入任搭組合</x:v>
      </x:c>
      <x:c r="G44" s="27" t="n">
        <x:v>430</x:v>
      </x:c>
      <x:c r="H44" s="27" t="n">
        <x:v>301</x:v>
      </x:c>
      <x:c r="I44" s="28" t="n">
        <x:v>0.7</x:v>
      </x:c>
      <x:c r="J44" s="27" t="n">
        <x:v>172</x:v>
      </x:c>
      <x:c r="K44" s="27" t="n">
        <x:v>129</x:v>
      </x:c>
      <x:c r="L44" s="28" t="n">
        <x:v>0.4286</x:v>
      </x:c>
      <x:c r="M44" s="29" t="n">
        <x:v>0</x:v>
      </x:c>
      <x:c r="N44" s="29" t="n">
        <x:v>155.9127827</x:v>
      </x:c>
      <x:c r="O44" s="29" t="n">
        <x:v>0</x:v>
      </x:c>
      <x:c r="P44" s="29" t="n">
        <x:v>0</x:v>
      </x:c>
      <x:c r="Q44" s="29" t="n">
        <x:v>15.05</x:v>
      </x:c>
      <x:c r="R44" s="29" t="n">
        <x:v>171</x:v>
      </x:c>
      <x:c r="S44" s="29" t="n">
        <x:v>-42</x:v>
      </x:c>
      <x:c r="T44" s="28" t="n">
        <x:v>-0.1394</x:v>
      </x:c>
    </x:row>
    <x:row r="45">
      <x:c r="A45" s="24" t="n">
        <x:v>51</x:v>
      </x:c>
      <x:c r="B45" s="24" t="str">
        <x:v>科技中藥廠</x:v>
      </x:c>
      <x:c r="C45" s="24" t="str"/>
      <x:c r="D45" s="24" t="str"/>
      <x:c r="E45" s="24" t="str">
        <x:v>40台斤(一箱)</x:v>
      </x:c>
      <x:c r="F45" s="24" t="str">
        <x:v>黑糖薑母茶</x:v>
      </x:c>
      <x:c r="G45" s="27"/>
      <x:c r="H45" s="27" t="n">
        <x:v>112</x:v>
      </x:c>
      <x:c r="I45" s="28"/>
      <x:c r="J45" s="27" t="n">
        <x:v>46</x:v>
      </x:c>
      <x:c r="K45" s="27" t="n">
        <x:v>66</x:v>
      </x:c>
      <x:c r="L45" s="28" t="n">
        <x:v>0.5893</x:v>
      </x:c>
      <x:c r="M45" s="29" t="n">
        <x:v>0</x:v>
      </x:c>
      <x:c r="N45" s="29" t="n">
        <x:v>58.01405867</x:v>
      </x:c>
      <x:c r="O45" s="29" t="n">
        <x:v>0</x:v>
      </x:c>
      <x:c r="P45" s="29" t="n">
        <x:v>0</x:v>
      </x:c>
      <x:c r="Q45" s="29" t="n">
        <x:v>5.6</x:v>
      </x:c>
      <x:c r="R45" s="29" t="n">
        <x:v>63.6</x:v>
      </x:c>
      <x:c r="S45" s="29" t="n">
        <x:v>2</x:v>
      </x:c>
      <x:c r="T45" s="28" t="n">
        <x:v>0.0213</x:v>
      </x:c>
    </x:row>
    <x:row r="46">
      <x:c r="A46" s="24" t="n">
        <x:v>53</x:v>
      </x:c>
      <x:c r="B46" s="24" t="str">
        <x:v>科技中藥廠</x:v>
      </x:c>
      <x:c r="C46" s="24" t="str"/>
      <x:c r="D46" s="24" t="str"/>
      <x:c r="E46" s="24" t="str">
        <x:v>40台斤(一箱)</x:v>
      </x:c>
      <x:c r="F46" s="24" t="str">
        <x:v>海陸奢華霸王組8~10人
贈玫瑰鹽一罐(市價89元)</x:v>
      </x:c>
      <x:c r="G46" s="27" t="n">
        <x:v>6680</x:v>
      </x:c>
      <x:c r="H46" s="27" t="n">
        <x:v>5680</x:v>
      </x:c>
      <x:c r="I46" s="28"/>
      <x:c r="J46" s="27"/>
      <x:c r="K46" s="27"/>
      <x:c r="L46" s="28"/>
      <x:c r="M46" s="29"/>
      <x:c r="N46" s="29"/>
      <x:c r="O46" s="29"/>
      <x:c r="P46" s="29"/>
      <x:c r="Q46" s="29"/>
      <x:c r="R46" s="29"/>
      <x:c r="S46" s="29"/>
      <x:c r="T46" s="28"/>
    </x:row>
    <x:row r="47">
      <x:c r="A47" s="24" t="n">
        <x:v>54</x:v>
      </x:c>
      <x:c r="B47" s="24" t="str">
        <x:v>科技中藥廠</x:v>
      </x:c>
      <x:c r="C47" s="24" t="str"/>
      <x:c r="D47" s="24" t="str"/>
      <x:c r="E47" s="24" t="str">
        <x:v>40台斤(一箱)</x:v>
      </x:c>
      <x:c r="F47" s="24" t="str">
        <x:v>五星級海陸烤肉組(5-8人份)</x:v>
      </x:c>
      <x:c r="G47" s="27" t="n">
        <x:v>1688</x:v>
      </x:c>
      <x:c r="H47" s="27" t="n">
        <x:v>1570</x:v>
      </x:c>
      <x:c r="I47" s="28"/>
      <x:c r="J47" s="27"/>
      <x:c r="K47" s="27"/>
      <x:c r="L47" s="28"/>
      <x:c r="M47" s="29"/>
      <x:c r="N47" s="29"/>
      <x:c r="O47" s="29"/>
      <x:c r="P47" s="29"/>
      <x:c r="Q47" s="29"/>
      <x:c r="R47" s="29"/>
      <x:c r="S47" s="29"/>
      <x:c r="T47" s="28"/>
    </x:row>
    <x:row r="48">
      <x:c r="A48" s="24" t="n">
        <x:v>55</x:v>
      </x:c>
      <x:c r="B48" s="24" t="str">
        <x:v>科技中藥廠</x:v>
      </x:c>
      <x:c r="C48" s="24" t="str"/>
      <x:c r="D48" s="24" t="str"/>
      <x:c r="E48" s="24" t="str">
        <x:v>40台斤(一箱)</x:v>
      </x:c>
      <x:c r="F48" s="24" t="str">
        <x:v>超值燒肉烤肉組</x:v>
      </x:c>
      <x:c r="G48" s="27" t="n">
        <x:v>2000</x:v>
      </x:c>
      <x:c r="H48" s="27" t="n">
        <x:v>2000</x:v>
      </x:c>
      <x:c r="I48" s="28"/>
      <x:c r="J48" s="27"/>
      <x:c r="K48" s="27"/>
      <x:c r="L48" s="28"/>
      <x:c r="M48" s="29"/>
      <x:c r="N48" s="29"/>
      <x:c r="O48" s="29"/>
      <x:c r="P48" s="29"/>
      <x:c r="Q48" s="29"/>
      <x:c r="R48" s="29"/>
      <x:c r="S48" s="29"/>
      <x:c r="T48" s="28"/>
    </x:row>
    <x:row r="49">
      <x:c r="A49" s="24" t="n">
        <x:v>56</x:v>
      </x:c>
      <x:c r="B49" s="24" t="str">
        <x:v>科技中藥廠</x:v>
      </x:c>
      <x:c r="C49" s="24" t="str"/>
      <x:c r="D49" s="24" t="str"/>
      <x:c r="E49" s="24" t="str">
        <x:v>40台斤(一箱)</x:v>
      </x:c>
      <x:c r="F49" s="24" t="str">
        <x:v>中秋烤肉海陸豪華14件組(約5-7人/份)</x:v>
      </x:c>
      <x:c r="G49" s="27" t="n">
        <x:v>2390</x:v>
      </x:c>
      <x:c r="H49" s="27" t="n">
        <x:v>1580</x:v>
      </x:c>
      <x:c r="I49" s="28"/>
      <x:c r="J49" s="27"/>
      <x:c r="K49" s="27"/>
      <x:c r="L49" s="28"/>
      <x:c r="M49" s="29"/>
      <x:c r="N49" s="29"/>
      <x:c r="O49" s="29"/>
      <x:c r="P49" s="29"/>
      <x:c r="Q49" s="29"/>
      <x:c r="R49" s="29"/>
      <x:c r="S49" s="29"/>
      <x:c r="T49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09000015258789" hidden="0" customWidth="1"/>
    <x:col min="2" max="2" width="19.520000457763672" hidden="0" customWidth="1"/>
    <x:col min="3" max="3" width="15.479999542236328" hidden="0" customWidth="1"/>
    <x:col min="4" max="4" width="15.479999542236328" hidden="0" customWidth="1"/>
    <x:col min="5" max="5" width="11.4399995803833" hidden="0" customWidth="1"/>
    <x:col min="6" max="6" width="34.31999969482422" hidden="0" customWidth="1"/>
    <x:col min="7" max="7" width="47.779998779296875" hidden="0" customWidth="1"/>
  </x:cols>
  <x:sheetData>
    <x:row r="1">
      <x:c r="A1" s="45" t="str">
        <x:v>Source Row</x:v>
      </x:c>
      <x:c r="B1" s="45" t="str">
        <x:v>Item</x:v>
      </x:c>
      <x:c r="C1" s="45" t="str">
        <x:v>Annual Cost</x:v>
      </x:c>
      <x:c r="D1" s="45" t="str">
        <x:v>Raw Amount</x:v>
      </x:c>
      <x:c r="E1" s="45" t="str">
        <x:v>Status</x:v>
      </x:c>
      <x:c r="F1" s="45" t="str">
        <x:v>Content</x:v>
      </x:c>
      <x:c r="G1" s="45" t="str">
        <x:v>Notes</x:v>
      </x:c>
      <x:c r="H1" s="42"/>
      <x:c r="I1" s="42"/>
      <x:c r="J1" s="42"/>
      <x:c r="K1" s="42"/>
      <x:c r="L1" s="42"/>
      <x:c r="M1" s="42"/>
      <x:c r="N1" s="42"/>
      <x:c r="O1" s="42"/>
      <x:c r="P1" s="42"/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n">
        <x:v>2</x:v>
      </x:c>
      <x:c r="B2" s="24" t="str">
        <x:v>保險費</x:v>
      </x:c>
      <x:c r="C2" s="35" t="n">
        <x:v>4000</x:v>
      </x:c>
      <x:c r="D2" s="24" t="str">
        <x:v>4,000</x:v>
      </x:c>
      <x:c r="E2" s="24" t="str">
        <x:v>Confirmed</x:v>
      </x:c>
      <x:c r="F2" s="24" t="str">
        <x:v>產品投保責任險</x:v>
      </x:c>
      <x:c r="G2" s="24" t="str"/>
    </x:row>
    <x:row r="3">
      <x:c r="A3" s="24" t="n">
        <x:v>3</x:v>
      </x:c>
      <x:c r="B3" s="24" t="str">
        <x:v>產品條碼</x:v>
      </x:c>
      <x:c r="C3" s="35" t="n">
        <x:v>5667</x:v>
      </x:c>
      <x:c r="D3" s="24" t="str">
        <x:v>5,667</x:v>
      </x:c>
      <x:c r="E3" s="24" t="str">
        <x:v>Confirmed</x:v>
      </x:c>
      <x:c r="F3" s="24" t="str"/>
      <x:c r="G3" s="24" t="str">
        <x:v>條碼使用期限3年，3年後需繳交17000元</x:v>
      </x:c>
    </x:row>
    <x:row r="4">
      <x:c r="A4" s="24" t="n">
        <x:v>4</x:v>
      </x:c>
      <x:c r="B4" s="24" t="str">
        <x:v>記帳士費用</x:v>
      </x:c>
      <x:c r="C4" s="35" t="n">
        <x:v>20400</x:v>
      </x:c>
      <x:c r="D4" s="24" t="str">
        <x:v>20,400</x:v>
      </x:c>
      <x:c r="E4" s="24" t="str">
        <x:v>Confirmed</x:v>
      </x:c>
      <x:c r="F4" s="24" t="str">
        <x:v>外請記帳士協助每月報帳事宜</x:v>
      </x:c>
      <x:c r="G4" s="24" t="str">
        <x:v>鐵比倫花園1200/月、鐵比倫有限公司6000/年</x:v>
      </x:c>
    </x:row>
    <x:row r="5">
      <x:c r="A5" s="24" t="n">
        <x:v>5</x:v>
      </x:c>
      <x:c r="B5" s="24" t="str">
        <x:v>油資</x:v>
      </x:c>
      <x:c r="C5" s="35" t="n">
        <x:v>3600</x:v>
      </x:c>
      <x:c r="D5" s="24" t="str">
        <x:v>3,600</x:v>
      </x:c>
      <x:c r="E5" s="24" t="str">
        <x:v>Confirmed</x:v>
      </x:c>
      <x:c r="F5" s="24" t="str">
        <x:v>概括平均300/月</x:v>
      </x:c>
      <x:c r="G5" s="24" t="str">
        <x:v>埔里地區目前親送的廠商，包含酒廠、農會、九族、日月町</x:v>
      </x:c>
    </x:row>
    <x:row r="6">
      <x:c r="A6" s="24" t="n">
        <x:v>6</x:v>
      </x:c>
      <x:c r="B6" s="24" t="str">
        <x:v>人事費</x:v>
      </x:c>
      <x:c r="C6" s="35" t="n">
        <x:v>1400000</x:v>
      </x:c>
      <x:c r="D6" s="24" t="str">
        <x:v>1,400,000</x:v>
      </x:c>
      <x:c r="E6" s="24" t="str">
        <x:v>Confirmed</x:v>
      </x:c>
      <x:c r="F6" s="24" t="str">
        <x:v>正職*2+PT</x:v>
      </x:c>
      <x:c r="G6" s="24" t="str">
        <x:v>-正職*2(我都先算5萬)
50000*2*12 = 1,200,000 
-PT/年=200000
1200000+200000 = 1,400,000</x:v>
      </x:c>
    </x:row>
    <x:row r="7">
      <x:c r="A7" s="24" t="n">
        <x:v>7</x:v>
      </x:c>
      <x:c r="B7" s="24" t="str">
        <x:v>房租 (倉庫)</x:v>
      </x:c>
      <x:c r="C7" s="35" t="n">
        <x:v>60000</x:v>
      </x:c>
      <x:c r="D7" s="24" t="str">
        <x:v>60,000</x:v>
      </x:c>
      <x:c r="E7" s="24" t="str">
        <x:v>Confirmed</x:v>
      </x:c>
      <x:c r="F7" s="24" t="str">
        <x:v>5000/月</x:v>
      </x:c>
      <x:c r="G7" s="24" t="str">
        <x:v>工廠是自己的，旁邊倉庫是租借的</x:v>
      </x:c>
    </x:row>
    <x:row r="8">
      <x:c r="A8" s="24" t="n">
        <x:v>8</x:v>
      </x:c>
      <x:c r="B8" s="24" t="str">
        <x:v>運費</x:v>
      </x:c>
      <x:c r="C8" s="35" t="n">
        <x:v>34574</x:v>
      </x:c>
      <x:c r="D8" s="24" t="str">
        <x:v>34,574</x:v>
      </x:c>
      <x:c r="E8" s="24" t="str">
        <x:v>Confirmed</x:v>
      </x:c>
      <x:c r="F8" s="24" t="str">
        <x:v>新竹物流運費</x:v>
      </x:c>
      <x:c r="G8" s="24" t="str">
        <x:v>此為114年總運費金額</x:v>
      </x:c>
    </x:row>
    <x:row r="9">
      <x:c r="A9" s="24" t="n">
        <x:v>9</x:v>
      </x:c>
      <x:c r="B9" s="24" t="str">
        <x:v>官網</x:v>
      </x:c>
      <x:c r="C9" s="35" t="n">
        <x:v>4200</x:v>
      </x:c>
      <x:c r="D9" s="24" t="str">
        <x:v>4,200</x:v>
      </x:c>
      <x:c r="E9" s="24" t="str">
        <x:v>Confirmed</x:v>
      </x:c>
      <x:c r="F9" s="24" t="str">
        <x:v>QDM 年費</x:v>
      </x:c>
      <x:c r="G9" s="24" t="str"/>
    </x:row>
    <x:row r="10">
      <x:c r="A10" s="24" t="n">
        <x:v>10</x:v>
      </x:c>
      <x:c r="B10" s="24" t="str">
        <x:v>雜支</x:v>
      </x:c>
      <x:c r="C10" s="35"/>
      <x:c r="D10" s="24" t="str"/>
      <x:c r="E10" s="24" t="str">
        <x:v>Blank</x:v>
      </x:c>
      <x:c r="F10" s="24" t="str"/>
      <x:c r="G10" s="24" t="str">
        <x:v>車輛保養維修、辦公用具採買、生產用消耗品...等</x:v>
      </x:c>
    </x:row>
    <x:row r="11">
      <x:c r="A11" s="24" t="n">
        <x:v>11</x:v>
      </x:c>
      <x:c r="B11" s="24" t="str">
        <x:v>設備攤提</x:v>
      </x:c>
      <x:c r="C11" s="35"/>
      <x:c r="D11" s="24" t="str">
        <x:v>待確認</x:v>
      </x:c>
      <x:c r="E11" s="24" t="str">
        <x:v>Pending</x:v>
      </x:c>
      <x:c r="F11" s="24" t="str"/>
      <x:c r="G11" s="24" t="str"/>
    </x:row>
    <x:row r="12">
      <x:c r="A12" s="24" t="n">
        <x:v>12</x:v>
      </x:c>
      <x:c r="B12" s="24" t="str">
        <x:v>水電費</x:v>
      </x:c>
      <x:c r="C12" s="35" t="n">
        <x:v>21507</x:v>
      </x:c>
      <x:c r="D12" s="24" t="str">
        <x:v>21,507</x:v>
      </x:c>
      <x:c r="E12" s="24" t="str">
        <x:v>Confirmed</x:v>
      </x:c>
      <x:c r="F12" s="24" t="str"/>
      <x:c r="G12" s="24" t="str">
        <x:v>此為114年總水電費金額</x:v>
      </x:c>
    </x:row>
    <x:row r="13">
      <x:c r="A13" s="38" t="str"/>
      <x:c r="B13" s="38" t="str">
        <x:v>Confirmed Operating Cost</x:v>
      </x:c>
      <x:c r="C13" s="39" t="n">
        <x:v>1553948</x:v>
      </x:c>
      <x:c r="D13" s="38" t="str"/>
      <x:c r="E13" s="38" t="str"/>
      <x:c r="F13" s="38" t="str"/>
      <x:c r="G13" s="38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.400001525878906" hidden="0" customWidth="1"/>
    <x:col min="2" max="2" width="18.84000015258789" hidden="0" customWidth="1"/>
    <x:col min="3" max="3" width="19.520000457763672" hidden="0" customWidth="1"/>
    <x:col min="4" max="4" width="24.899999618530273" hidden="0" customWidth="1"/>
    <x:col min="5" max="5" width="13.460000038146973" hidden="0" customWidth="1"/>
    <x:col min="6" max="6" width="10.09000015258789" hidden="0" customWidth="1"/>
    <x:col min="7" max="7" width="15.479999542236328" hidden="0" customWidth="1"/>
    <x:col min="8" max="8" width="15.479999542236328" hidden="0" customWidth="1"/>
    <x:col min="9" max="9" width="14.800000190734863" hidden="0" customWidth="1"/>
    <x:col min="10" max="10" width="14.800000190734863" hidden="0" customWidth="1"/>
    <x:col min="11" max="11" width="16.81999969482422" hidden="0" customWidth="1"/>
    <x:col min="12" max="12" width="11.4399995803833" hidden="0" customWidth="1"/>
    <x:col min="13" max="13" width="15.479999542236328" hidden="0" customWidth="1"/>
    <x:col min="14" max="14" width="17.5" hidden="0" customWidth="1"/>
    <x:col min="15" max="15" width="18.84000015258789" hidden="0" customWidth="1"/>
    <x:col min="16" max="16" width="30.280000686645508" hidden="0" customWidth="1"/>
  </x:cols>
  <x:sheetData>
    <x:row r="1">
      <x:c r="A1" s="44" t="str">
        <x:v>Analysis SKU</x:v>
      </x:c>
      <x:c r="B1" s="44" t="str">
        <x:v>Product</x:v>
      </x:c>
      <x:c r="C1" s="44" t="str">
        <x:v>Channel</x:v>
      </x:c>
      <x:c r="D1" s="44" t="str">
        <x:v>Spec</x:v>
      </x:c>
      <x:c r="E1" s="44" t="str">
        <x:v>Unit Basis</x:v>
      </x:c>
      <x:c r="F1" s="44" t="str">
        <x:v>Units</x:v>
      </x:c>
      <x:c r="G1" s="44" t="str">
        <x:v>Revenue</x:v>
      </x:c>
      <x:c r="H1" s="44" t="str">
        <x:v>Avg Wholesale Price</x:v>
      </x:c>
      <x:c r="I1" s="44" t="str">
        <x:v>Avg Product COGS</x:v>
      </x:c>
      <x:c r="J1" s="44" t="str">
        <x:v>Net Profit/Unit</x:v>
      </x:c>
      <x:c r="K1" s="44" t="str">
        <x:v>Contribution Profit</x:v>
      </x:c>
      <x:c r="L1" s="44" t="str">
        <x:v>Net Margin</x:v>
      </x:c>
      <x:c r="M1" s="44" t="str">
        <x:v>Revenue / 100 Unit</x:v>
      </x:c>
      <x:c r="N1" s="44" t="str">
        <x:v>Contribution / 100 Unit</x:v>
      </x:c>
      <x:c r="O1" s="44" t="str">
        <x:v>Diagnosis</x:v>
      </x:c>
      <x:c r="P1" s="44" t="str">
        <x:v>Comparability Note</x:v>
      </x:c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str">
        <x:v>黑糖蜜_None_蜜類瓶裝_130.0</x:v>
      </x:c>
      <x:c r="B2" s="24" t="str">
        <x:v>黑糖蜜</x:v>
      </x:c>
      <x:c r="C2" s="24" t="str">
        <x:v>未分類</x:v>
      </x:c>
      <x:c r="D2" s="24" t="str">
        <x:v>蜜類瓶裝</x:v>
      </x:c>
      <x:c r="E2" s="24" t="str">
        <x:v>350.0ml</x:v>
      </x:c>
      <x:c r="F2" s="29" t="n">
        <x:v>2362</x:v>
      </x:c>
      <x:c r="G2" s="29" t="n">
        <x:v>307060</x:v>
      </x:c>
      <x:c r="H2" s="29" t="n">
        <x:v>130</x:v>
      </x:c>
      <x:c r="I2" s="29" t="n">
        <x:v>39</x:v>
      </x:c>
      <x:c r="J2" s="29" t="n">
        <x:v>17.562235393734124</x:v>
      </x:c>
      <x:c r="K2" s="29" t="n">
        <x:v>41482</x:v>
      </x:c>
      <x:c r="L2" s="28" t="n">
        <x:v>0.1350941184133394</x:v>
      </x:c>
      <x:c r="M2" s="29" t="n">
        <x:v>37.142857142857146</x:v>
      </x:c>
      <x:c r="N2" s="29" t="n">
        <x:v>5.017781541066892</x:v>
      </x:c>
      <x:c r="O2" s="24" t="str">
        <x:v>Core profit driver</x:v>
      </x:c>
      <x:c r="P2" s="24" t="str"/>
    </x:row>
    <x:row r="3">
      <x:c r="A3" s="24" t="str">
        <x:v>薑汁黑糖_None_None_110.0</x:v>
      </x:c>
      <x:c r="B3" s="24" t="str">
        <x:v>薑汁黑糖</x:v>
      </x:c>
      <x:c r="C3" s="24" t="str">
        <x:v>未分類</x:v>
      </x:c>
      <x:c r="D3" s="24" t="str">
        <x:v>未標示規格</x:v>
      </x:c>
      <x:c r="E3" s="24" t="str"/>
      <x:c r="F3" s="29" t="n">
        <x:v>1776</x:v>
      </x:c>
      <x:c r="G3" s="29" t="n">
        <x:v>195360</x:v>
      </x:c>
      <x:c r="H3" s="29" t="n">
        <x:v>110</x:v>
      </x:c>
      <x:c r="I3" s="29" t="n">
        <x:v>26.14864864864865</x:v>
      </x:c>
      <x:c r="J3" s="29" t="n">
        <x:v>21.37331081081081</x:v>
      </x:c>
      <x:c r="K3" s="29" t="n">
        <x:v>37959</x:v>
      </x:c>
      <x:c r="L3" s="28" t="n">
        <x:v>0.19430282555282555</x:v>
      </x:c>
      <x:c r="M3" s="29"/>
      <x:c r="N3" s="29"/>
      <x:c r="O3" s="24" t="str">
        <x:v>Core profit driver</x:v>
      </x:c>
      <x:c r="P3" s="24" t="str">
        <x:v>missing_spec</x:v>
      </x:c>
    </x:row>
    <x:row r="4">
      <x:c r="A4" s="24" t="str">
        <x:v>薑汁黑糖_None_None_99.0</x:v>
      </x:c>
      <x:c r="B4" s="24" t="str">
        <x:v>薑汁黑糖</x:v>
      </x:c>
      <x:c r="C4" s="24" t="str">
        <x:v>未分類</x:v>
      </x:c>
      <x:c r="D4" s="24" t="str">
        <x:v>未標示規格</x:v>
      </x:c>
      <x:c r="E4" s="24" t="str"/>
      <x:c r="F4" s="29" t="n">
        <x:v>1980</x:v>
      </x:c>
      <x:c r="G4" s="29" t="n">
        <x:v>196020</x:v>
      </x:c>
      <x:c r="H4" s="29" t="n">
        <x:v>99</x:v>
      </x:c>
      <x:c r="I4" s="29" t="n">
        <x:v>25</x:v>
      </x:c>
      <x:c r="J4" s="29" t="n">
        <x:v>17.76969696969697</x:v>
      </x:c>
      <x:c r="K4" s="29" t="n">
        <x:v>35184</x:v>
      </x:c>
      <x:c r="L4" s="28" t="n">
        <x:v>0.1794918885827977</x:v>
      </x:c>
      <x:c r="M4" s="29"/>
      <x:c r="N4" s="29"/>
      <x:c r="O4" s="24" t="str">
        <x:v>Core profit driver</x:v>
      </x:c>
      <x:c r="P4" s="24" t="str">
        <x:v>missing_spec</x:v>
      </x:c>
    </x:row>
    <x:row r="5">
      <x:c r="A5" s="24" t="str">
        <x:v>桂圓黑糖_None_None_110.0</x:v>
      </x:c>
      <x:c r="B5" s="24" t="str">
        <x:v>桂圓黑糖</x:v>
      </x:c>
      <x:c r="C5" s="24" t="str">
        <x:v>未分類</x:v>
      </x:c>
      <x:c r="D5" s="24" t="str">
        <x:v>未標示規格</x:v>
      </x:c>
      <x:c r="E5" s="24" t="str"/>
      <x:c r="F5" s="29" t="n">
        <x:v>828</x:v>
      </x:c>
      <x:c r="G5" s="29" t="n">
        <x:v>91080</x:v>
      </x:c>
      <x:c r="H5" s="29" t="n">
        <x:v>110</x:v>
      </x:c>
      <x:c r="I5" s="29" t="n">
        <x:v>30</x:v>
      </x:c>
      <x:c r="J5" s="29" t="n">
        <x:v>17.52173913043478</x:v>
      </x:c>
      <x:c r="K5" s="29" t="n">
        <x:v>14508</x:v>
      </x:c>
      <x:c r="L5" s="28" t="n">
        <x:v>0.1592885375494071</x:v>
      </x:c>
      <x:c r="M5" s="29"/>
      <x:c r="N5" s="29"/>
      <x:c r="O5" s="24" t="str">
        <x:v>Stable contributor</x:v>
      </x:c>
      <x:c r="P5" s="24" t="str">
        <x:v>missing_spec</x:v>
      </x:c>
    </x:row>
    <x:row r="6">
      <x:c r="A6" s="24" t="str">
        <x:v>玫瑰四物黑糖_None_None_110.0</x:v>
      </x:c>
      <x:c r="B6" s="24" t="str">
        <x:v>玫瑰四物黑糖</x:v>
      </x:c>
      <x:c r="C6" s="24" t="str">
        <x:v>未分類</x:v>
      </x:c>
      <x:c r="D6" s="24" t="str">
        <x:v>未標示規格</x:v>
      </x:c>
      <x:c r="E6" s="24" t="str"/>
      <x:c r="F6" s="29" t="n">
        <x:v>468</x:v>
      </x:c>
      <x:c r="G6" s="29" t="n">
        <x:v>51480</x:v>
      </x:c>
      <x:c r="H6" s="29" t="n">
        <x:v>110</x:v>
      </x:c>
      <x:c r="I6" s="29" t="n">
        <x:v>24</x:v>
      </x:c>
      <x:c r="J6" s="29" t="n">
        <x:v>23.521367521367523</x:v>
      </x:c>
      <x:c r="K6" s="29" t="n">
        <x:v>11008</x:v>
      </x:c>
      <x:c r="L6" s="28" t="n">
        <x:v>0.21383061383061383</x:v>
      </x:c>
      <x:c r="M6" s="29"/>
      <x:c r="N6" s="29"/>
      <x:c r="O6" s="24" t="str">
        <x:v>High-margin niche</x:v>
      </x:c>
      <x:c r="P6" s="24" t="str">
        <x:v>missing_spec</x:v>
      </x:c>
    </x:row>
    <x:row r="7">
      <x:c r="A7" s="24" t="str">
        <x:v>玫瑰四物黑糖_None_None_122.0</x:v>
      </x:c>
      <x:c r="B7" s="24" t="str">
        <x:v>玫瑰四物黑糖</x:v>
      </x:c>
      <x:c r="C7" s="24" t="str">
        <x:v>未分類</x:v>
      </x:c>
      <x:c r="D7" s="24" t="str">
        <x:v>未標示規格</x:v>
      </x:c>
      <x:c r="E7" s="24" t="str"/>
      <x:c r="F7" s="29" t="n">
        <x:v>360</x:v>
      </x:c>
      <x:c r="G7" s="29" t="n">
        <x:v>43920</x:v>
      </x:c>
      <x:c r="H7" s="29" t="n">
        <x:v>122</x:v>
      </x:c>
      <x:c r="I7" s="29" t="n">
        <x:v>24</x:v>
      </x:c>
      <x:c r="J7" s="29" t="n">
        <x:v>28.705555555555556</x:v>
      </x:c>
      <x:c r="K7" s="29" t="n">
        <x:v>10334</x:v>
      </x:c>
      <x:c r="L7" s="28" t="n">
        <x:v>0.23529143897996357</x:v>
      </x:c>
      <x:c r="M7" s="29"/>
      <x:c r="N7" s="29"/>
      <x:c r="O7" s="24" t="str">
        <x:v>High-margin niche</x:v>
      </x:c>
      <x:c r="P7" s="24" t="str">
        <x:v>missing_spec</x:v>
      </x:c>
    </x:row>
    <x:row r="8">
      <x:c r="A8" s="24" t="str">
        <x:v>薑汁黑糖_None_None_117.0</x:v>
      </x:c>
      <x:c r="B8" s="24" t="str">
        <x:v>薑汁黑糖</x:v>
      </x:c>
      <x:c r="C8" s="24" t="str">
        <x:v>未分類</x:v>
      </x:c>
      <x:c r="D8" s="24" t="str">
        <x:v>未標示規格</x:v>
      </x:c>
      <x:c r="E8" s="24" t="str"/>
      <x:c r="F8" s="29" t="n">
        <x:v>375</x:v>
      </x:c>
      <x:c r="G8" s="29" t="n">
        <x:v>43875</x:v>
      </x:c>
      <x:c r="H8" s="29" t="n">
        <x:v>117</x:v>
      </x:c>
      <x:c r="I8" s="29" t="n">
        <x:v>25</x:v>
      </x:c>
      <x:c r="J8" s="29" t="n">
        <x:v>25.546666666666667</x:v>
      </x:c>
      <x:c r="K8" s="29" t="n">
        <x:v>9580</x:v>
      </x:c>
      <x:c r="L8" s="28" t="n">
        <x:v>0.21834757834757834</x:v>
      </x:c>
      <x:c r="M8" s="29"/>
      <x:c r="N8" s="29"/>
      <x:c r="O8" s="24" t="str">
        <x:v>High-margin niche</x:v>
      </x:c>
      <x:c r="P8" s="24" t="str">
        <x:v>missing_spec</x:v>
      </x:c>
    </x:row>
    <x:row r="9">
      <x:c r="A9" s="24" t="str">
        <x:v>原味黑糖 _農會_手切夾鏈袋_110.0</x:v>
      </x:c>
      <x:c r="B9" s="24" t="str">
        <x:v>原味黑糖</x:v>
      </x:c>
      <x:c r="C9" s="24" t="str">
        <x:v>農會</x:v>
      </x:c>
      <x:c r="D9" s="24" t="str">
        <x:v>手切夾鏈袋</x:v>
      </x:c>
      <x:c r="E9" s="24" t="str">
        <x:v>380.0g</x:v>
      </x:c>
      <x:c r="F9" s="29" t="n">
        <x:v>360</x:v>
      </x:c>
      <x:c r="G9" s="29" t="n">
        <x:v>39600</x:v>
      </x:c>
      <x:c r="H9" s="29" t="n">
        <x:v>110</x:v>
      </x:c>
      <x:c r="I9" s="29" t="n">
        <x:v>22</x:v>
      </x:c>
      <x:c r="J9" s="29" t="n">
        <x:v>25.522222222222222</x:v>
      </x:c>
      <x:c r="K9" s="29" t="n">
        <x:v>9188</x:v>
      </x:c>
      <x:c r="L9" s="28" t="n">
        <x:v>0.23202020202020202</x:v>
      </x:c>
      <x:c r="M9" s="29" t="n">
        <x:v>28.947368421052634</x:v>
      </x:c>
      <x:c r="N9" s="29" t="n">
        <x:v>6.716374269005848</x:v>
      </x:c>
      <x:c r="O9" s="24" t="str">
        <x:v>High-margin niche</x:v>
      </x:c>
      <x:c r="P9" s="24" t="str"/>
    </x:row>
    <x:row r="10">
      <x:c r="A10" s="24" t="str">
        <x:v>玫瑰四物黑糖_None_None_130.0</x:v>
      </x:c>
      <x:c r="B10" s="24" t="str">
        <x:v>玫瑰四物黑糖</x:v>
      </x:c>
      <x:c r="C10" s="24" t="str">
        <x:v>未分類</x:v>
      </x:c>
      <x:c r="D10" s="24" t="str">
        <x:v>未標示規格</x:v>
      </x:c>
      <x:c r="E10" s="24" t="str"/>
      <x:c r="F10" s="29" t="n">
        <x:v>286</x:v>
      </x:c>
      <x:c r="G10" s="29" t="n">
        <x:v>37180</x:v>
      </x:c>
      <x:c r="H10" s="29" t="n">
        <x:v>130</x:v>
      </x:c>
      <x:c r="I10" s="29" t="n">
        <x:v>24.27972027972028</x:v>
      </x:c>
      <x:c r="J10" s="29" t="n">
        <x:v>31.88111888111888</x:v>
      </x:c>
      <x:c r="K10" s="29" t="n">
        <x:v>9118</x:v>
      </x:c>
      <x:c r="L10" s="28" t="n">
        <x:v>0.2452393760086068</x:v>
      </x:c>
      <x:c r="M10" s="29"/>
      <x:c r="N10" s="29"/>
      <x:c r="O10" s="24" t="str">
        <x:v>High-margin niche</x:v>
      </x:c>
      <x:c r="P10" s="24" t="str">
        <x:v>missing_spec</x:v>
      </x:c>
    </x:row>
    <x:row r="11">
      <x:c r="A11" s="24" t="str">
        <x:v>桂圓黑糖_None_None_122.0</x:v>
      </x:c>
      <x:c r="B11" s="24" t="str">
        <x:v>桂圓黑糖</x:v>
      </x:c>
      <x:c r="C11" s="24" t="str">
        <x:v>未分類</x:v>
      </x:c>
      <x:c r="D11" s="24" t="str">
        <x:v>未標示規格</x:v>
      </x:c>
      <x:c r="E11" s="24" t="str"/>
      <x:c r="F11" s="29" t="n">
        <x:v>396</x:v>
      </x:c>
      <x:c r="G11" s="29" t="n">
        <x:v>48312</x:v>
      </x:c>
      <x:c r="H11" s="29" t="n">
        <x:v>122</x:v>
      </x:c>
      <x:c r="I11" s="29" t="n">
        <x:v>30</x:v>
      </x:c>
      <x:c r="J11" s="29" t="n">
        <x:v>22.707070707070706</x:v>
      </x:c>
      <x:c r="K11" s="29" t="n">
        <x:v>8992</x:v>
      </x:c>
      <x:c r="L11" s="28" t="n">
        <x:v>0.18612353038582546</x:v>
      </x:c>
      <x:c r="M11" s="29"/>
      <x:c r="N11" s="29"/>
      <x:c r="O11" s="24" t="str">
        <x:v>Stable contributor</x:v>
      </x:c>
      <x:c r="P11" s="24" t="str">
        <x:v>missing_spec</x:v>
      </x:c>
    </x:row>
    <x:row r="12">
      <x:c r="A12" s="24" t="str">
        <x:v>原味黑糖 _台糖_手切夾鏈袋_117.0</x:v>
      </x:c>
      <x:c r="B12" s="24" t="str">
        <x:v>原味黑糖</x:v>
      </x:c>
      <x:c r="C12" s="24" t="str">
        <x:v>台糖</x:v>
      </x:c>
      <x:c r="D12" s="24" t="str">
        <x:v>手切夾鏈袋</x:v>
      </x:c>
      <x:c r="E12" s="24" t="str">
        <x:v>380.0g</x:v>
      </x:c>
      <x:c r="F12" s="29" t="n">
        <x:v>300</x:v>
      </x:c>
      <x:c r="G12" s="29" t="n">
        <x:v>35100</x:v>
      </x:c>
      <x:c r="H12" s="29" t="n">
        <x:v>117</x:v>
      </x:c>
      <x:c r="I12" s="29" t="n">
        <x:v>22</x:v>
      </x:c>
      <x:c r="J12" s="29" t="n">
        <x:v>28.546666666666667</x:v>
      </x:c>
      <x:c r="K12" s="29" t="n">
        <x:v>8564</x:v>
      </x:c>
      <x:c r="L12" s="28" t="n">
        <x:v>0.24398860398860397</x:v>
      </x:c>
      <x:c r="M12" s="29" t="n">
        <x:v>30.789473684210527</x:v>
      </x:c>
      <x:c r="N12" s="29" t="n">
        <x:v>7.512280701754386</x:v>
      </x:c>
      <x:c r="O12" s="24" t="str">
        <x:v>High-margin niche</x:v>
      </x:c>
      <x:c r="P12" s="24" t="str"/>
    </x:row>
    <x:row r="13">
      <x:c r="A13" s="24" t="str">
        <x:v>桂圓紅棗薑黑糖_None_None_140.0</x:v>
      </x:c>
      <x:c r="B13" s="24" t="str">
        <x:v>桂圓紅棗薑黑糖</x:v>
      </x:c>
      <x:c r="C13" s="24" t="str">
        <x:v>未分類</x:v>
      </x:c>
      <x:c r="D13" s="24" t="str">
        <x:v>未標示規格</x:v>
      </x:c>
      <x:c r="E13" s="24" t="str"/>
      <x:c r="F13" s="29" t="n">
        <x:v>272</x:v>
      </x:c>
      <x:c r="G13" s="29" t="n">
        <x:v>38080</x:v>
      </x:c>
      <x:c r="H13" s="29" t="n">
        <x:v>140</x:v>
      </x:c>
      <x:c r="I13" s="29" t="n">
        <x:v>31</x:v>
      </x:c>
      <x:c r="J13" s="29" t="n">
        <x:v>29.481617647058822</x:v>
      </x:c>
      <x:c r="K13" s="29" t="n">
        <x:v>8019</x:v>
      </x:c>
      <x:c r="L13" s="28" t="n">
        <x:v>0.2105829831932773</x:v>
      </x:c>
      <x:c r="M13" s="29"/>
      <x:c r="N13" s="29"/>
      <x:c r="O13" s="24" t="str">
        <x:v>High-margin niche</x:v>
      </x:c>
      <x:c r="P13" s="24" t="str">
        <x:v>missing_spec</x:v>
      </x:c>
    </x:row>
    <x:row r="14">
      <x:c r="A14" s="24" t="str">
        <x:v>原味黑糖 _埔里農會_手切夾鏈袋_99.0</x:v>
      </x:c>
      <x:c r="B14" s="24" t="str">
        <x:v>原味黑糖</x:v>
      </x:c>
      <x:c r="C14" s="24" t="str">
        <x:v>埔里農會</x:v>
      </x:c>
      <x:c r="D14" s="24" t="str">
        <x:v>手切夾鏈袋</x:v>
      </x:c>
      <x:c r="E14" s="24" t="str">
        <x:v>380.0g</x:v>
      </x:c>
      <x:c r="F14" s="29" t="n">
        <x:v>288</x:v>
      </x:c>
      <x:c r="G14" s="29" t="n">
        <x:v>28512</x:v>
      </x:c>
      <x:c r="H14" s="29" t="n">
        <x:v>99</x:v>
      </x:c>
      <x:c r="I14" s="29" t="n">
        <x:v>22</x:v>
      </x:c>
      <x:c r="J14" s="29" t="n">
        <x:v>20.770833333333332</x:v>
      </x:c>
      <x:c r="K14" s="29" t="n">
        <x:v>5982</x:v>
      </x:c>
      <x:c r="L14" s="28" t="n">
        <x:v>0.2098063973063973</x:v>
      </x:c>
      <x:c r="M14" s="29" t="n">
        <x:v>26.052631578947366</x:v>
      </x:c>
      <x:c r="N14" s="29" t="n">
        <x:v>5.4660087719298245</x:v>
      </x:c>
      <x:c r="O14" s="24" t="str">
        <x:v>High-margin niche</x:v>
      </x:c>
      <x:c r="P14" s="24" t="str"/>
    </x:row>
    <x:row r="15">
      <x:c r="A15" s="24" t="str">
        <x:v>黑糖薑母茶_科技中藥廠_薑母茶_112.0</x:v>
      </x:c>
      <x:c r="B15" s="24" t="str">
        <x:v>黑糖薑母茶</x:v>
      </x:c>
      <x:c r="C15" s="24" t="str">
        <x:v>科技中藥廠</x:v>
      </x:c>
      <x:c r="D15" s="24" t="str">
        <x:v>薑母茶</x:v>
      </x:c>
      <x:c r="E15" s="24" t="str"/>
      <x:c r="F15" s="29" t="n">
        <x:v>2360</x:v>
      </x:c>
      <x:c r="G15" s="29" t="n">
        <x:v>264320</x:v>
      </x:c>
      <x:c r="H15" s="29" t="n">
        <x:v>112</x:v>
      </x:c>
      <x:c r="I15" s="29" t="n">
        <x:v>46</x:v>
      </x:c>
      <x:c r="J15" s="29" t="n">
        <x:v>2.385941330000003</x:v>
      </x:c>
      <x:c r="K15" s="29" t="n">
        <x:v>5630.821538800007</x:v>
      </x:c>
      <x:c r="L15" s="28" t="n">
        <x:v>0.02130304758928574</x:v>
      </x:c>
      <x:c r="M15" s="29"/>
      <x:c r="N15" s="29"/>
      <x:c r="O15" s="24" t="str">
        <x:v>Traffic, low profit</x:v>
      </x:c>
      <x:c r="P15" s="24" t="str">
        <x:v>calculated_revenue;calculated_profit;missing_spec</x:v>
      </x:c>
    </x:row>
    <x:row r="16">
      <x:c r="A16" s="24" t="str">
        <x:v>原味黑糖 _None_手切_100.0</x:v>
      </x:c>
      <x:c r="B16" s="24" t="str">
        <x:v>原味黑糖</x:v>
      </x:c>
      <x:c r="C16" s="24" t="str">
        <x:v>未分類</x:v>
      </x:c>
      <x:c r="D16" s="24" t="str">
        <x:v>手切</x:v>
      </x:c>
      <x:c r="E16" s="24" t="str">
        <x:v>600g</x:v>
      </x:c>
      <x:c r="F16" s="29" t="n">
        <x:v>240</x:v>
      </x:c>
      <x:c r="G16" s="29" t="n">
        <x:v>24000</x:v>
      </x:c>
      <x:c r="H16" s="29" t="n">
        <x:v>100</x:v>
      </x:c>
      <x:c r="I16" s="29" t="n">
        <x:v>21</x:v>
      </x:c>
      <x:c r="J16" s="29" t="n">
        <x:v>22.2</x:v>
      </x:c>
      <x:c r="K16" s="29" t="n">
        <x:v>5328</x:v>
      </x:c>
      <x:c r="L16" s="28" t="n">
        <x:v>0.222</x:v>
      </x:c>
      <x:c r="M16" s="29" t="n">
        <x:v>16.666666666666664</x:v>
      </x:c>
      <x:c r="N16" s="29" t="n">
        <x:v>3.6999999999999997</x:v>
      </x:c>
      <x:c r="O16" s="24" t="str">
        <x:v>High-margin niche</x:v>
      </x:c>
      <x:c r="P16" s="24" t="str"/>
    </x:row>
    <x:row r="17">
      <x:c r="A17" s="24" t="str">
        <x:v>桂圓黑糖_None_None_130.0</x:v>
      </x:c>
      <x:c r="B17" s="24" t="str">
        <x:v>桂圓黑糖</x:v>
      </x:c>
      <x:c r="C17" s="24" t="str">
        <x:v>未分類</x:v>
      </x:c>
      <x:c r="D17" s="24" t="str">
        <x:v>未標示規格</x:v>
      </x:c>
      <x:c r="E17" s="24" t="str"/>
      <x:c r="F17" s="29" t="n">
        <x:v>163</x:v>
      </x:c>
      <x:c r="G17" s="29" t="n">
        <x:v>21190</x:v>
      </x:c>
      <x:c r="H17" s="29" t="n">
        <x:v>130</x:v>
      </x:c>
      <x:c r="I17" s="29" t="n">
        <x:v>30</x:v>
      </x:c>
      <x:c r="J17" s="29" t="n">
        <x:v>26.15950920245399</x:v>
      </x:c>
      <x:c r="K17" s="29" t="n">
        <x:v>4264</x:v>
      </x:c>
      <x:c r="L17" s="28" t="n">
        <x:v>0.20122699386503068</x:v>
      </x:c>
      <x:c r="M17" s="29"/>
      <x:c r="N17" s="29"/>
      <x:c r="O17" s="24" t="str">
        <x:v>High-margin niche</x:v>
      </x:c>
      <x:c r="P17" s="24" t="str">
        <x:v>missing_spec</x:v>
      </x:c>
    </x:row>
    <x:row r="18">
      <x:c r="A18" s="24" t="str">
        <x:v>桂圓黑糖_None_None_140.0</x:v>
      </x:c>
      <x:c r="B18" s="24" t="str">
        <x:v>桂圓黑糖</x:v>
      </x:c>
      <x:c r="C18" s="24" t="str">
        <x:v>未分類</x:v>
      </x:c>
      <x:c r="D18" s="24" t="str">
        <x:v>未標示規格</x:v>
      </x:c>
      <x:c r="E18" s="24" t="str"/>
      <x:c r="F18" s="29" t="n">
        <x:v>120</x:v>
      </x:c>
      <x:c r="G18" s="29" t="n">
        <x:v>16800</x:v>
      </x:c>
      <x:c r="H18" s="29" t="n">
        <x:v>140</x:v>
      </x:c>
      <x:c r="I18" s="29" t="n">
        <x:v>33</x:v>
      </x:c>
      <x:c r="J18" s="29" t="n">
        <x:v>27.483333333333334</x:v>
      </x:c>
      <x:c r="K18" s="29" t="n">
        <x:v>3298</x:v>
      </x:c>
      <x:c r="L18" s="28" t="n">
        <x:v>0.19630952380952382</x:v>
      </x:c>
      <x:c r="M18" s="29"/>
      <x:c r="N18" s="29"/>
      <x:c r="O18" s="24" t="str">
        <x:v>Stable contributor</x:v>
      </x:c>
      <x:c r="P18" s="24" t="str">
        <x:v>missing_spec</x:v>
      </x:c>
    </x:row>
    <x:row r="19">
      <x:c r="A19" s="24" t="str">
        <x:v>冬瓜_None_None_140.0</x:v>
      </x:c>
      <x:c r="B19" s="24" t="str">
        <x:v>冬瓜</x:v>
      </x:c>
      <x:c r="C19" s="24" t="str">
        <x:v>未分類</x:v>
      </x:c>
      <x:c r="D19" s="24" t="str">
        <x:v>未標示規格</x:v>
      </x:c>
      <x:c r="E19" s="24" t="str"/>
      <x:c r="F19" s="29" t="n">
        <x:v>98</x:v>
      </x:c>
      <x:c r="G19" s="29" t="n">
        <x:v>13720</x:v>
      </x:c>
      <x:c r="H19" s="29" t="n">
        <x:v>140</x:v>
      </x:c>
      <x:c r="I19" s="29" t="n">
        <x:v>28</x:v>
      </x:c>
      <x:c r="J19" s="29" t="n">
        <x:v>32.47959183673469</x:v>
      </x:c>
      <x:c r="K19" s="29" t="n">
        <x:v>3183</x:v>
      </x:c>
      <x:c r="L19" s="28" t="n">
        <x:v>0.23199708454810494</x:v>
      </x:c>
      <x:c r="M19" s="29"/>
      <x:c r="N19" s="29"/>
      <x:c r="O19" s="24" t="str">
        <x:v>High-margin niche</x:v>
      </x:c>
      <x:c r="P19" s="24" t="str">
        <x:v>missing_spec</x:v>
      </x:c>
    </x:row>
    <x:row r="20">
      <x:c r="A20" s="24" t="str">
        <x:v>梅精黑糖_None_None_143.0</x:v>
      </x:c>
      <x:c r="B20" s="24" t="str">
        <x:v>梅精黑糖</x:v>
      </x:c>
      <x:c r="C20" s="24" t="str">
        <x:v>未分類</x:v>
      </x:c>
      <x:c r="D20" s="24" t="str">
        <x:v>未標示規格</x:v>
      </x:c>
      <x:c r="E20" s="24" t="str"/>
      <x:c r="F20" s="29" t="n">
        <x:v>109</x:v>
      </x:c>
      <x:c r="G20" s="29" t="n">
        <x:v>15587</x:v>
      </x:c>
      <x:c r="H20" s="29" t="n">
        <x:v>143</x:v>
      </x:c>
      <x:c r="I20" s="29" t="n">
        <x:v>47</x:v>
      </x:c>
      <x:c r="J20" s="29" t="n">
        <x:v>14.779816513761467</x:v>
      </x:c>
      <x:c r="K20" s="29" t="n">
        <x:v>1611</x:v>
      </x:c>
      <x:c r="L20" s="28" t="n">
        <x:v>0.10335536023609418</x:v>
      </x:c>
      <x:c r="M20" s="29"/>
      <x:c r="N20" s="29"/>
      <x:c r="O20" s="24" t="str">
        <x:v>Stable contributor</x:v>
      </x:c>
      <x:c r="P20" s="24" t="str">
        <x:v>missing_spec</x:v>
      </x:c>
    </x:row>
    <x:row r="21">
      <x:c r="A21" s="24" t="str">
        <x:v>百香果黑糖_None_None_117.0</x:v>
      </x:c>
      <x:c r="B21" s="24" t="str">
        <x:v>百香果黑糖</x:v>
      </x:c>
      <x:c r="C21" s="24" t="str">
        <x:v>未分類</x:v>
      </x:c>
      <x:c r="D21" s="24" t="str">
        <x:v>未標示規格</x:v>
      </x:c>
      <x:c r="E21" s="24" t="str"/>
      <x:c r="F21" s="29" t="n">
        <x:v>40</x:v>
      </x:c>
      <x:c r="G21" s="29" t="n">
        <x:v>4680</x:v>
      </x:c>
      <x:c r="H21" s="29" t="n">
        <x:v>117</x:v>
      </x:c>
      <x:c r="I21" s="29" t="n">
        <x:v>48</x:v>
      </x:c>
      <x:c r="J21" s="29" t="n">
        <x:v>2.55</x:v>
      </x:c>
      <x:c r="K21" s="29" t="n">
        <x:v>102</x:v>
      </x:c>
      <x:c r="L21" s="28" t="n">
        <x:v>0.021794871794871794</x:v>
      </x:c>
      <x:c r="M21" s="29"/>
      <x:c r="N21" s="29"/>
      <x:c r="O21" s="24" t="str">
        <x:v>Stable contributor</x:v>
      </x:c>
      <x:c r="P21" s="24" t="str">
        <x:v>missing_spec</x:v>
      </x:c>
    </x:row>
    <x:row r="22">
      <x:c r="A22" s="24" t="str">
        <x:v>黑糖蜜_None_蜜類瓶裝_None</x:v>
      </x:c>
      <x:c r="B22" s="24" t="str">
        <x:v>黑糖蜜</x:v>
      </x:c>
      <x:c r="C22" s="24" t="str">
        <x:v>未分類</x:v>
      </x:c>
      <x:c r="D22" s="24" t="str">
        <x:v>蜜類瓶裝</x:v>
      </x:c>
      <x:c r="E22" s="24" t="str">
        <x:v>1890.0ml</x:v>
      </x:c>
      <x:c r="F22" s="29" t="n">
        <x:v>50</x:v>
      </x:c>
      <x:c r="G22" s="29" t="n">
        <x:v>0</x:v>
      </x:c>
      <x:c r="H22" s="29" t="n">
        <x:v>0</x:v>
      </x:c>
      <x:c r="I22" s="29" t="n">
        <x:v>0</x:v>
      </x:c>
      <x:c r="J22" s="29" t="n">
        <x:v>0</x:v>
      </x:c>
      <x:c r="K22" s="29" t="n">
        <x:v>0</x:v>
      </x:c>
      <x:c r="L22" s="28" t="n">
        <x:v>0</x:v>
      </x:c>
      <x:c r="M22" s="29" t="n">
        <x:v>0</x:v>
      </x:c>
      <x:c r="N22" s="29" t="n">
        <x:v>0</x:v>
      </x:c>
      <x:c r="O22" s="24" t="str">
        <x:v>Stable contributor</x:v>
      </x:c>
      <x:c r="P22" s="24" t="str">
        <x:v>missing_price;missing_cost</x:v>
      </x:c>
    </x:row>
    <x:row r="23">
      <x:c r="A23" s="24" t="str">
        <x:v>梅精黑糖_None_蜜類瓶裝_None</x:v>
      </x:c>
      <x:c r="B23" s="24" t="str">
        <x:v>梅精黑糖</x:v>
      </x:c>
      <x:c r="C23" s="24" t="str">
        <x:v>未分類</x:v>
      </x:c>
      <x:c r="D23" s="24" t="str">
        <x:v>蜜類瓶裝</x:v>
      </x:c>
      <x:c r="E23" s="24" t="str">
        <x:v>1890.0ml</x:v>
      </x:c>
      <x:c r="F23" s="29" t="n">
        <x:v>45</x:v>
      </x:c>
      <x:c r="G23" s="29" t="n">
        <x:v>0</x:v>
      </x:c>
      <x:c r="H23" s="29" t="n">
        <x:v>0</x:v>
      </x:c>
      <x:c r="I23" s="29" t="n">
        <x:v>0</x:v>
      </x:c>
      <x:c r="J23" s="29" t="n">
        <x:v>0</x:v>
      </x:c>
      <x:c r="K23" s="29" t="n">
        <x:v>0</x:v>
      </x:c>
      <x:c r="L23" s="28" t="n">
        <x:v>0</x:v>
      </x:c>
      <x:c r="M23" s="29" t="n">
        <x:v>0</x:v>
      </x:c>
      <x:c r="N23" s="29" t="n">
        <x:v>0</x:v>
      </x:c>
      <x:c r="O23" s="24" t="str">
        <x:v>Stable contributor</x:v>
      </x:c>
      <x:c r="P23" s="24" t="str">
        <x:v>missing_price;missing_cost</x:v>
      </x:c>
    </x:row>
    <x:row r="24">
      <x:c r="A24" s="24" t="str">
        <x:v>黑糖檸檬_None_蜜類瓶裝_117.0</x:v>
      </x:c>
      <x:c r="B24" s="24" t="str">
        <x:v>黑糖檸檬</x:v>
      </x:c>
      <x:c r="C24" s="24" t="str">
        <x:v>未分類</x:v>
      </x:c>
      <x:c r="D24" s="24" t="str">
        <x:v>蜜類瓶裝</x:v>
      </x:c>
      <x:c r="E24" s="24" t="str">
        <x:v>150.0ml</x:v>
      </x:c>
      <x:c r="F24" s="29" t="n">
        <x:v>63</x:v>
      </x:c>
      <x:c r="G24" s="29" t="n">
        <x:v>7371</x:v>
      </x:c>
      <x:c r="H24" s="29" t="n">
        <x:v>117</x:v>
      </x:c>
      <x:c r="I24" s="29" t="n">
        <x:v>51</x:v>
      </x:c>
      <x:c r="J24" s="29" t="n">
        <x:v>-0.7619047619047619</x:v>
      </x:c>
      <x:c r="K24" s="29" t="n">
        <x:v>-48</x:v>
      </x:c>
      <x:c r="L24" s="28" t="n">
        <x:v>-0.006512006512006512</x:v>
      </x:c>
      <x:c r="M24" s="29" t="n">
        <x:v>78</x:v>
      </x:c>
      <x:c r="N24" s="29" t="n">
        <x:v>-0.5079365079365079</x:v>
      </x:c>
      <x:c r="O24" s="24" t="str">
        <x:v>Loss risk</x:v>
      </x:c>
      <x:c r="P24" s="24" t="str">
        <x:v>negative_profit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209999084472656" hidden="0" customWidth="1"/>
    <x:col min="2" max="2" width="10.09000015258789" hidden="0" customWidth="1"/>
    <x:col min="3" max="3" width="10.09000015258789" hidden="0" customWidth="1"/>
    <x:col min="4" max="4" width="24.899999618530273" hidden="0" customWidth="1"/>
    <x:col min="5" max="5" width="11.4399995803833" hidden="0" customWidth="1"/>
    <x:col min="6" max="6" width="15.479999542236328" hidden="0" customWidth="1"/>
    <x:col min="7" max="7" width="16.81999969482422" hidden="0" customWidth="1"/>
    <x:col min="8" max="8" width="16.81999969482422" hidden="0" customWidth="1"/>
    <x:col min="9" max="9" width="17.5" hidden="0" customWidth="1"/>
    <x:col min="10" max="10" width="19.520000457763672" hidden="0" customWidth="1"/>
    <x:col min="11" max="11" width="17.5" hidden="0" customWidth="1"/>
    <x:col min="12" max="12" width="12.789999961853027" hidden="0" customWidth="1"/>
    <x:col min="13" max="13" width="12.789999961853027" hidden="0" customWidth="1"/>
    <x:col min="14" max="14" width="19.520000457763672" hidden="0" customWidth="1"/>
    <x:col min="15" max="15" width="30.280000686645508" hidden="0" customWidth="1"/>
  </x:cols>
  <x:sheetData>
    <x:row r="1">
      <x:c r="A1" s="44" t="str">
        <x:v>Product</x:v>
      </x:c>
      <x:c r="B1" s="44" t="str">
        <x:v>SKU Count</x:v>
      </x:c>
      <x:c r="C1" s="44" t="str">
        <x:v>Spec Count</x:v>
      </x:c>
      <x:c r="D1" s="44" t="str">
        <x:v>Comparability Flag</x:v>
      </x:c>
      <x:c r="E1" s="44" t="str">
        <x:v>Units</x:v>
      </x:c>
      <x:c r="F1" s="44" t="str">
        <x:v>Revenue</x:v>
      </x:c>
      <x:c r="G1" s="44" t="str">
        <x:v>Avg Wholesale Price</x:v>
      </x:c>
      <x:c r="H1" s="44" t="str">
        <x:v>Product Cost Total</x:v>
      </x:c>
      <x:c r="I1" s="44" t="str">
        <x:v>Gross Profit Total</x:v>
      </x:c>
      <x:c r="J1" s="44" t="str">
        <x:v>Expense Allocation Total</x:v>
      </x:c>
      <x:c r="K1" s="44" t="str">
        <x:v>Contribution Profit</x:v>
      </x:c>
      <x:c r="L1" s="44" t="str">
        <x:v>Gross Margin</x:v>
      </x:c>
      <x:c r="M1" s="44" t="str">
        <x:v>Net Margin</x:v>
      </x:c>
      <x:c r="N1" s="44" t="str">
        <x:v>Diagnosis</x:v>
      </x:c>
      <x:c r="O1" s="44" t="str">
        <x:v>Interpretation</x:v>
      </x:c>
      <x:c r="P1" s="42"/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str">
        <x:v>薑汁黑糖</x:v>
      </x:c>
      <x:c r="B2" s="27" t="n">
        <x:v>3</x:v>
      </x:c>
      <x:c r="C2" s="27" t="n">
        <x:v>1</x:v>
      </x:c>
      <x:c r="D2" s="24" t="str">
        <x:v>Single comparable spec</x:v>
      </x:c>
      <x:c r="E2" s="27" t="n">
        <x:v>4131</x:v>
      </x:c>
      <x:c r="F2" s="27" t="n">
        <x:v>435255</x:v>
      </x:c>
      <x:c r="G2" s="27" t="n">
        <x:v>105.36310820624546</x:v>
      </x:c>
      <x:c r="H2" s="27" t="n">
        <x:v>105315</x:v>
      </x:c>
      <x:c r="I2" s="27" t="n">
        <x:v>329940</x:v>
      </x:c>
      <x:c r="J2" s="27" t="n">
        <x:v>247213.5</x:v>
      </x:c>
      <x:c r="K2" s="27" t="n">
        <x:v>82723</x:v>
      </x:c>
      <x:c r="L2" s="28" t="n">
        <x:v>0.7580383912878658</x:v>
      </x:c>
      <x:c r="M2" s="28" t="n">
        <x:v>0.1900564037173611</x:v>
      </x:c>
      <x:c r="N2" s="24" t="str">
        <x:v>Core profit driver</x:v>
      </x:c>
      <x:c r="O2" s="24" t="str">
        <x:v>可作為單一規格銷量解讀</x:v>
      </x:c>
    </x:row>
    <x:row r="3">
      <x:c r="A3" s="24" t="str">
        <x:v>黑糖蜜</x:v>
      </x:c>
      <x:c r="B3" s="27" t="n">
        <x:v>2</x:v>
      </x:c>
      <x:c r="C3" s="27" t="n">
        <x:v>1</x:v>
      </x:c>
      <x:c r="D3" s="24" t="str">
        <x:v>Single comparable spec</x:v>
      </x:c>
      <x:c r="E3" s="27" t="n">
        <x:v>2412</x:v>
      </x:c>
      <x:c r="F3" s="27" t="n">
        <x:v>307060</x:v>
      </x:c>
      <x:c r="G3" s="27" t="n">
        <x:v>127.30514096185738</x:v>
      </x:c>
      <x:c r="H3" s="27" t="n">
        <x:v>92118</x:v>
      </x:c>
      <x:c r="I3" s="27" t="n">
        <x:v>214942</x:v>
      </x:c>
      <x:c r="J3" s="27" t="n">
        <x:v>174315.6</x:v>
      </x:c>
      <x:c r="K3" s="27" t="n">
        <x:v>41482</x:v>
      </x:c>
      <x:c r="L3" s="28" t="n">
        <x:v>0.7</x:v>
      </x:c>
      <x:c r="M3" s="28" t="n">
        <x:v>0.1350941184133394</x:v>
      </x:c>
      <x:c r="N3" s="24" t="str">
        <x:v>Core profit driver</x:v>
      </x:c>
      <x:c r="O3" s="24" t="str">
        <x:v>可作為單一規格銷量解讀</x:v>
      </x:c>
    </x:row>
    <x:row r="4">
      <x:c r="A4" s="24" t="str">
        <x:v>桂圓黑糖</x:v>
      </x:c>
      <x:c r="B4" s="27" t="n">
        <x:v>4</x:v>
      </x:c>
      <x:c r="C4" s="27" t="n">
        <x:v>1</x:v>
      </x:c>
      <x:c r="D4" s="24" t="str">
        <x:v>Single comparable spec</x:v>
      </x:c>
      <x:c r="E4" s="27" t="n">
        <x:v>1507</x:v>
      </x:c>
      <x:c r="F4" s="27" t="n">
        <x:v>177382</x:v>
      </x:c>
      <x:c r="G4" s="27" t="n">
        <x:v>117.70537491705375</x:v>
      </x:c>
      <x:c r="H4" s="27" t="n">
        <x:v>45570</x:v>
      </x:c>
      <x:c r="I4" s="27" t="n">
        <x:v>131812</x:v>
      </x:c>
      <x:c r="J4" s="27" t="n">
        <x:v>100762.2</x:v>
      </x:c>
      <x:c r="K4" s="27" t="n">
        <x:v>31062</x:v>
      </x:c>
      <x:c r="L4" s="28" t="n">
        <x:v>0.7430968192939532</x:v>
      </x:c>
      <x:c r="M4" s="28" t="n">
        <x:v>0.17511359664452988</x:v>
      </x:c>
      <x:c r="N4" s="24" t="str">
        <x:v>Core profit driver</x:v>
      </x:c>
      <x:c r="O4" s="24" t="str">
        <x:v>可作為單一規格銷量解讀</x:v>
      </x:c>
    </x:row>
    <x:row r="5">
      <x:c r="A5" s="24" t="str">
        <x:v>玫瑰四物黑糖</x:v>
      </x:c>
      <x:c r="B5" s="27" t="n">
        <x:v>3</x:v>
      </x:c>
      <x:c r="C5" s="27" t="n">
        <x:v>1</x:v>
      </x:c>
      <x:c r="D5" s="24" t="str">
        <x:v>Single comparable spec</x:v>
      </x:c>
      <x:c r="E5" s="27" t="n">
        <x:v>1114</x:v>
      </x:c>
      <x:c r="F5" s="27" t="n">
        <x:v>132580</x:v>
      </x:c>
      <x:c r="G5" s="27" t="n">
        <x:v>119.01256732495511</x:v>
      </x:c>
      <x:c r="H5" s="27" t="n">
        <x:v>26816</x:v>
      </x:c>
      <x:c r="I5" s="27" t="n">
        <x:v>105764</x:v>
      </x:c>
      <x:c r="J5" s="27" t="n">
        <x:v>75304.8</x:v>
      </x:c>
      <x:c r="K5" s="27" t="n">
        <x:v>30460</x:v>
      </x:c>
      <x:c r="L5" s="28" t="n">
        <x:v>0.7977372152662543</x:v>
      </x:c>
      <x:c r="M5" s="28" t="n">
        <x:v>0.2297480766329763</x:v>
      </x:c>
      <x:c r="N5" s="24" t="str">
        <x:v>Core profit driver</x:v>
      </x:c>
      <x:c r="O5" s="24" t="str">
        <x:v>可作為單一規格銷量解讀</x:v>
      </x:c>
    </x:row>
    <x:row r="6">
      <x:c r="A6" s="24" t="str">
        <x:v>原味黑糖</x:v>
      </x:c>
      <x:c r="B6" s="27" t="n">
        <x:v>4</x:v>
      </x:c>
      <x:c r="C6" s="27" t="n">
        <x:v>2</x:v>
      </x:c>
      <x:c r="D6" s="24" t="str">
        <x:v>Mixed specs - review SKU sheet</x:v>
      </x:c>
      <x:c r="E6" s="27" t="n">
        <x:v>1188</x:v>
      </x:c>
      <x:c r="F6" s="27" t="n">
        <x:v>127212</x:v>
      </x:c>
      <x:c r="G6" s="27" t="n">
        <x:v>107.08080808080808</x:v>
      </x:c>
      <x:c r="H6" s="27" t="n">
        <x:v>25896</x:v>
      </x:c>
      <x:c r="I6" s="27" t="n">
        <x:v>101316</x:v>
      </x:c>
      <x:c r="J6" s="27" t="n">
        <x:v>72267.6</x:v>
      </x:c>
      <x:c r="K6" s="27" t="n">
        <x:v>29062</x:v>
      </x:c>
      <x:c r="L6" s="28" t="n">
        <x:v>0.7964342986510706</x:v>
      </x:c>
      <x:c r="M6" s="28" t="n">
        <x:v>0.228453290570072</x:v>
      </x:c>
      <x:c r="N6" s="24" t="str">
        <x:v>High-margin niche</x:v>
      </x:c>
      <x:c r="O6" s="24" t="str">
        <x:v>產品族群銷量，不代表單一規格銷量</x:v>
      </x:c>
    </x:row>
    <x:row r="7">
      <x:c r="A7" s="24" t="str">
        <x:v>桂圓紅棗薑黑糖</x:v>
      </x:c>
      <x:c r="B7" s="27" t="n">
        <x:v>1</x:v>
      </x:c>
      <x:c r="C7" s="27" t="n">
        <x:v>1</x:v>
      </x:c>
      <x:c r="D7" s="24" t="str">
        <x:v>Single comparable spec</x:v>
      </x:c>
      <x:c r="E7" s="27" t="n">
        <x:v>272</x:v>
      </x:c>
      <x:c r="F7" s="27" t="n">
        <x:v>38080</x:v>
      </x:c>
      <x:c r="G7" s="27" t="n">
        <x:v>140</x:v>
      </x:c>
      <x:c r="H7" s="27" t="n">
        <x:v>8432</x:v>
      </x:c>
      <x:c r="I7" s="27" t="n">
        <x:v>29648</x:v>
      </x:c>
      <x:c r="J7" s="27" t="n">
        <x:v>21624</x:v>
      </x:c>
      <x:c r="K7" s="27" t="n">
        <x:v>8019</x:v>
      </x:c>
      <x:c r="L7" s="28" t="n">
        <x:v>0.7785714285714286</x:v>
      </x:c>
      <x:c r="M7" s="28" t="n">
        <x:v>0.2105829831932773</x:v>
      </x:c>
      <x:c r="N7" s="24" t="str">
        <x:v>High-margin niche</x:v>
      </x:c>
      <x:c r="O7" s="24" t="str">
        <x:v>可作為單一規格銷量解讀</x:v>
      </x:c>
    </x:row>
    <x:row r="8">
      <x:c r="A8" s="24" t="str">
        <x:v>黑糖薑母茶</x:v>
      </x:c>
      <x:c r="B8" s="27" t="n">
        <x:v>1</x:v>
      </x:c>
      <x:c r="C8" s="27" t="n">
        <x:v>1</x:v>
      </x:c>
      <x:c r="D8" s="24" t="str">
        <x:v>Single comparable spec</x:v>
      </x:c>
      <x:c r="E8" s="27" t="n">
        <x:v>2360</x:v>
      </x:c>
      <x:c r="F8" s="27" t="n">
        <x:v>264320</x:v>
      </x:c>
      <x:c r="G8" s="27" t="n">
        <x:v>112</x:v>
      </x:c>
      <x:c r="H8" s="27" t="n">
        <x:v>108560</x:v>
      </x:c>
      <x:c r="I8" s="27" t="n">
        <x:v>155760</x:v>
      </x:c>
      <x:c r="J8" s="27" t="n">
        <x:v>150096</x:v>
      </x:c>
      <x:c r="K8" s="27" t="n">
        <x:v>5630.821538800007</x:v>
      </x:c>
      <x:c r="L8" s="28" t="n">
        <x:v>0.5892857142857143</x:v>
      </x:c>
      <x:c r="M8" s="28" t="n">
        <x:v>0.02130304758928574</x:v>
      </x:c>
      <x:c r="N8" s="24" t="str">
        <x:v>Traffic, low profit</x:v>
      </x:c>
      <x:c r="O8" s="24" t="str">
        <x:v>可作為單一規格銷量解讀</x:v>
      </x:c>
    </x:row>
    <x:row r="9">
      <x:c r="A9" s="24" t="str">
        <x:v>冬瓜</x:v>
      </x:c>
      <x:c r="B9" s="27" t="n">
        <x:v>1</x:v>
      </x:c>
      <x:c r="C9" s="27" t="n">
        <x:v>1</x:v>
      </x:c>
      <x:c r="D9" s="24" t="str">
        <x:v>Single comparable spec</x:v>
      </x:c>
      <x:c r="E9" s="27" t="n">
        <x:v>98</x:v>
      </x:c>
      <x:c r="F9" s="27" t="n">
        <x:v>13720</x:v>
      </x:c>
      <x:c r="G9" s="27" t="n">
        <x:v>140</x:v>
      </x:c>
      <x:c r="H9" s="27" t="n">
        <x:v>2744</x:v>
      </x:c>
      <x:c r="I9" s="27" t="n">
        <x:v>10976</x:v>
      </x:c>
      <x:c r="J9" s="27" t="n">
        <x:v>7791</x:v>
      </x:c>
      <x:c r="K9" s="27" t="n">
        <x:v>3183</x:v>
      </x:c>
      <x:c r="L9" s="28" t="n">
        <x:v>0.8</x:v>
      </x:c>
      <x:c r="M9" s="28" t="n">
        <x:v>0.23199708454810494</x:v>
      </x:c>
      <x:c r="N9" s="24" t="str">
        <x:v>High-margin niche</x:v>
      </x:c>
      <x:c r="O9" s="24" t="str">
        <x:v>可作為單一規格銷量解讀</x:v>
      </x:c>
    </x:row>
    <x:row r="10">
      <x:c r="A10" s="24" t="str">
        <x:v>梅精黑糖</x:v>
      </x:c>
      <x:c r="B10" s="27" t="n">
        <x:v>2</x:v>
      </x:c>
      <x:c r="C10" s="27" t="n">
        <x:v>2</x:v>
      </x:c>
      <x:c r="D10" s="24" t="str">
        <x:v>Mixed specs - review SKU sheet</x:v>
      </x:c>
      <x:c r="E10" s="27" t="n">
        <x:v>154</x:v>
      </x:c>
      <x:c r="F10" s="27" t="n">
        <x:v>15587</x:v>
      </x:c>
      <x:c r="G10" s="27" t="n">
        <x:v>101.21428571428571</x:v>
      </x:c>
      <x:c r="H10" s="27" t="n">
        <x:v>5123</x:v>
      </x:c>
      <x:c r="I10" s="27" t="n">
        <x:v>10464</x:v>
      </x:c>
      <x:c r="J10" s="27" t="n">
        <x:v>8850.800000000001</x:v>
      </x:c>
      <x:c r="K10" s="27" t="n">
        <x:v>1611</x:v>
      </x:c>
      <x:c r="L10" s="28" t="n">
        <x:v>0.6713286713286714</x:v>
      </x:c>
      <x:c r="M10" s="28" t="n">
        <x:v>0.10335536023609418</x:v>
      </x:c>
      <x:c r="N10" s="24" t="str">
        <x:v>Stable contributor</x:v>
      </x:c>
      <x:c r="O10" s="24" t="str">
        <x:v>產品族群銷量，不代表單一規格銷量</x:v>
      </x:c>
    </x:row>
    <x:row r="11">
      <x:c r="A11" s="24" t="str">
        <x:v>百香果黑糖</x:v>
      </x:c>
      <x:c r="B11" s="27" t="n">
        <x:v>1</x:v>
      </x:c>
      <x:c r="C11" s="27" t="n">
        <x:v>1</x:v>
      </x:c>
      <x:c r="D11" s="24" t="str">
        <x:v>Single comparable spec</x:v>
      </x:c>
      <x:c r="E11" s="27" t="n">
        <x:v>40</x:v>
      </x:c>
      <x:c r="F11" s="27" t="n">
        <x:v>4680</x:v>
      </x:c>
      <x:c r="G11" s="27" t="n">
        <x:v>117</x:v>
      </x:c>
      <x:c r="H11" s="27" t="n">
        <x:v>1920</x:v>
      </x:c>
      <x:c r="I11" s="27" t="n">
        <x:v>2760</x:v>
      </x:c>
      <x:c r="J11" s="27" t="n">
        <x:v>2660</x:v>
      </x:c>
      <x:c r="K11" s="27" t="n">
        <x:v>102</x:v>
      </x:c>
      <x:c r="L11" s="28" t="n">
        <x:v>0.5897435897435898</x:v>
      </x:c>
      <x:c r="M11" s="28" t="n">
        <x:v>0.021794871794871794</x:v>
      </x:c>
      <x:c r="N11" s="24" t="str">
        <x:v>Stable contributor</x:v>
      </x:c>
      <x:c r="O11" s="24" t="str">
        <x:v>可作為單一規格銷量解讀</x:v>
      </x:c>
    </x:row>
    <x:row r="12">
      <x:c r="A12" s="24" t="str">
        <x:v>黑糖檸檬</x:v>
      </x:c>
      <x:c r="B12" s="27" t="n">
        <x:v>1</x:v>
      </x:c>
      <x:c r="C12" s="27" t="n">
        <x:v>1</x:v>
      </x:c>
      <x:c r="D12" s="24" t="str">
        <x:v>Single comparable spec</x:v>
      </x:c>
      <x:c r="E12" s="27" t="n">
        <x:v>63</x:v>
      </x:c>
      <x:c r="F12" s="27" t="n">
        <x:v>7371</x:v>
      </x:c>
      <x:c r="G12" s="27" t="n">
        <x:v>117</x:v>
      </x:c>
      <x:c r="H12" s="27" t="n">
        <x:v>3213</x:v>
      </x:c>
      <x:c r="I12" s="27" t="n">
        <x:v>4158</x:v>
      </x:c>
      <x:c r="J12" s="27" t="n">
        <x:v>4189.5</x:v>
      </x:c>
      <x:c r="K12" s="27" t="n">
        <x:v>-48</x:v>
      </x:c>
      <x:c r="L12" s="28" t="n">
        <x:v>0.5641025641025641</x:v>
      </x:c>
      <x:c r="M12" s="28" t="n">
        <x:v>-0.006512006512006512</x:v>
      </x:c>
      <x:c r="N12" s="24" t="str">
        <x:v>Loss risk</x:v>
      </x:c>
      <x:c r="O12" s="24" t="str">
        <x:v>可作為單一規格銷量解讀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209999084472656" hidden="0" customWidth="1"/>
    <x:col min="2" max="2" width="11.4399995803833" hidden="0" customWidth="1"/>
    <x:col min="3" max="3" width="15.479999542236328" hidden="0" customWidth="1"/>
    <x:col min="4" max="4" width="16.81999969482422" hidden="0" customWidth="1"/>
    <x:col min="5" max="5" width="16.81999969482422" hidden="0" customWidth="1"/>
    <x:col min="6" max="6" width="17.5" hidden="0" customWidth="1"/>
    <x:col min="7" max="7" width="19.520000457763672" hidden="0" customWidth="1"/>
    <x:col min="8" max="8" width="17.5" hidden="0" customWidth="1"/>
    <x:col min="9" max="9" width="12.789999961853027" hidden="0" customWidth="1"/>
    <x:col min="10" max="10" width="12.789999961853027" hidden="0" customWidth="1"/>
    <x:col min="11" max="11" width="19.520000457763672" hidden="0" customWidth="1"/>
  </x:cols>
  <x:sheetData>
    <x:row r="1">
      <x:c r="A1" s="44" t="str">
        <x:v>Channel</x:v>
      </x:c>
      <x:c r="B1" s="44" t="str">
        <x:v>Units</x:v>
      </x:c>
      <x:c r="C1" s="44" t="str">
        <x:v>Revenue</x:v>
      </x:c>
      <x:c r="D1" s="44" t="str">
        <x:v>Avg Wholesale Price</x:v>
      </x:c>
      <x:c r="E1" s="44" t="str">
        <x:v>Product Cost Total</x:v>
      </x:c>
      <x:c r="F1" s="44" t="str">
        <x:v>Gross Profit Total</x:v>
      </x:c>
      <x:c r="G1" s="44" t="str">
        <x:v>Expense Allocation Total</x:v>
      </x:c>
      <x:c r="H1" s="44" t="str">
        <x:v>Contribution Profit</x:v>
      </x:c>
      <x:c r="I1" s="44" t="str">
        <x:v>Gross Margin</x:v>
      </x:c>
      <x:c r="J1" s="44" t="str">
        <x:v>Net Margin</x:v>
      </x:c>
      <x:c r="K1" s="44" t="str">
        <x:v>Diagnosis</x:v>
      </x:c>
      <x:c r="L1" s="42"/>
      <x:c r="M1" s="42"/>
      <x:c r="N1" s="42"/>
      <x:c r="O1" s="42"/>
      <x:c r="P1" s="42"/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str">
        <x:v>未分類</x:v>
      </x:c>
      <x:c r="B2" s="27" t="n">
        <x:v>10031</x:v>
      </x:c>
      <x:c r="C2" s="27" t="n">
        <x:v>1155715</x:v>
      </x:c>
      <x:c r="D2" s="27" t="n">
        <x:v>115.21433555976473</x:v>
      </x:c>
      <x:c r="E2" s="27" t="n">
        <x:v>296291</x:v>
      </x:c>
      <x:c r="F2" s="27" t="n">
        <x:v>859424</x:v>
      </x:c>
      <x:c r="G2" s="27" t="n">
        <x:v>656343.4</x:v>
      </x:c>
      <x:c r="H2" s="27" t="n">
        <x:v>203922</x:v>
      </x:c>
      <x:c r="I2" s="28" t="n">
        <x:v>0.7436297010941278</x:v>
      </x:c>
      <x:c r="J2" s="28" t="n">
        <x:v>0.17644661529875444</x:v>
      </x:c>
      <x:c r="K2" s="24" t="str">
        <x:v>Core profit driver</x:v>
      </x:c>
    </x:row>
    <x:row r="3">
      <x:c r="A3" s="24" t="str">
        <x:v>農會</x:v>
      </x:c>
      <x:c r="B3" s="27" t="n">
        <x:v>360</x:v>
      </x:c>
      <x:c r="C3" s="27" t="n">
        <x:v>39600</x:v>
      </x:c>
      <x:c r="D3" s="27" t="n">
        <x:v>110</x:v>
      </x:c>
      <x:c r="E3" s="27" t="n">
        <x:v>7920</x:v>
      </x:c>
      <x:c r="F3" s="27" t="n">
        <x:v>31680</x:v>
      </x:c>
      <x:c r="G3" s="27" t="n">
        <x:v>22500</x:v>
      </x:c>
      <x:c r="H3" s="27" t="n">
        <x:v>9188</x:v>
      </x:c>
      <x:c r="I3" s="28" t="n">
        <x:v>0.8</x:v>
      </x:c>
      <x:c r="J3" s="28" t="n">
        <x:v>0.23202020202020202</x:v>
      </x:c>
      <x:c r="K3" s="24" t="str">
        <x:v>High-margin niche</x:v>
      </x:c>
    </x:row>
    <x:row r="4">
      <x:c r="A4" s="24" t="str">
        <x:v>台糖</x:v>
      </x:c>
      <x:c r="B4" s="27" t="n">
        <x:v>300</x:v>
      </x:c>
      <x:c r="C4" s="27" t="n">
        <x:v>35100</x:v>
      </x:c>
      <x:c r="D4" s="27" t="n">
        <x:v>117</x:v>
      </x:c>
      <x:c r="E4" s="27" t="n">
        <x:v>6600</x:v>
      </x:c>
      <x:c r="F4" s="27" t="n">
        <x:v>28500</x:v>
      </x:c>
      <x:c r="G4" s="27" t="n">
        <x:v>19950</x:v>
      </x:c>
      <x:c r="H4" s="27" t="n">
        <x:v>8564</x:v>
      </x:c>
      <x:c r="I4" s="28" t="n">
        <x:v>0.811965811965812</x:v>
      </x:c>
      <x:c r="J4" s="28" t="n">
        <x:v>0.24398860398860397</x:v>
      </x:c>
      <x:c r="K4" s="24" t="str">
        <x:v>High-margin niche</x:v>
      </x:c>
    </x:row>
    <x:row r="5">
      <x:c r="A5" s="24" t="str">
        <x:v>埔里農會</x:v>
      </x:c>
      <x:c r="B5" s="27" t="n">
        <x:v>288</x:v>
      </x:c>
      <x:c r="C5" s="27" t="n">
        <x:v>28512</x:v>
      </x:c>
      <x:c r="D5" s="27" t="n">
        <x:v>99</x:v>
      </x:c>
      <x:c r="E5" s="27" t="n">
        <x:v>6336</x:v>
      </x:c>
      <x:c r="F5" s="27" t="n">
        <x:v>22176</x:v>
      </x:c>
      <x:c r="G5" s="27" t="n">
        <x:v>16185.6</x:v>
      </x:c>
      <x:c r="H5" s="27" t="n">
        <x:v>5982</x:v>
      </x:c>
      <x:c r="I5" s="28" t="n">
        <x:v>0.7777777777777778</x:v>
      </x:c>
      <x:c r="J5" s="28" t="n">
        <x:v>0.2098063973063973</x:v>
      </x:c>
      <x:c r="K5" s="24" t="str">
        <x:v>High-margin niche</x:v>
      </x:c>
    </x:row>
    <x:row r="6">
      <x:c r="A6" s="24" t="str">
        <x:v>科技中藥廠</x:v>
      </x:c>
      <x:c r="B6" s="27" t="n">
        <x:v>2360</x:v>
      </x:c>
      <x:c r="C6" s="27" t="n">
        <x:v>264320</x:v>
      </x:c>
      <x:c r="D6" s="27" t="n">
        <x:v>112</x:v>
      </x:c>
      <x:c r="E6" s="27" t="n">
        <x:v>108560</x:v>
      </x:c>
      <x:c r="F6" s="27" t="n">
        <x:v>155760</x:v>
      </x:c>
      <x:c r="G6" s="27" t="n">
        <x:v>150096</x:v>
      </x:c>
      <x:c r="H6" s="27" t="n">
        <x:v>5630.821538800007</x:v>
      </x:c>
      <x:c r="I6" s="28" t="n">
        <x:v>0.5892857142857143</x:v>
      </x:c>
      <x:c r="J6" s="28" t="n">
        <x:v>0.02130304758928574</x:v>
      </x:c>
      <x:c r="K6" s="24" t="str">
        <x:v>Traffic, low profit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940000534057617" hidden="0" customWidth="1"/>
    <x:col min="2" max="2" width="16.149999618530273" hidden="0" customWidth="1"/>
    <x:col min="3" max="3" width="16.149999618530273" hidden="0" customWidth="1"/>
    <x:col min="4" max="4" width="14.800000190734863" hidden="0" customWidth="1"/>
    <x:col min="5" max="5" width="11.4399995803833" hidden="0" customWidth="1"/>
    <x:col min="6" max="6" width="11.4399995803833" hidden="0" customWidth="1"/>
    <x:col min="7" max="7" width="45.09000015258789" hidden="0" customWidth="1"/>
  </x:cols>
  <x:sheetData>
    <x:row r="1">
      <x:c r="A1" s="44" t="str">
        <x:v>Check</x:v>
      </x:c>
      <x:c r="B1" s="44" t="str">
        <x:v>Actual</x:v>
      </x:c>
      <x:c r="C1" s="44" t="str">
        <x:v>Expected</x:v>
      </x:c>
      <x:c r="D1" s="44" t="str">
        <x:v>Difference</x:v>
      </x:c>
      <x:c r="E1" s="44" t="str">
        <x:v>Tolerance</x:v>
      </x:c>
      <x:c r="F1" s="44" t="str">
        <x:v>Status</x:v>
      </x:c>
      <x:c r="G1" s="44" t="str">
        <x:v>Notes</x:v>
      </x:c>
      <x:c r="H1" s="42"/>
      <x:c r="I1" s="42"/>
      <x:c r="J1" s="42"/>
      <x:c r="K1" s="42"/>
      <x:c r="L1" s="42"/>
      <x:c r="M1" s="42"/>
      <x:c r="N1" s="42"/>
      <x:c r="O1" s="42"/>
      <x:c r="P1" s="42"/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str">
        <x:v>UTF-8 source read</x:v>
      </x:c>
      <x:c r="B2" s="24" t="n">
        <x:v>3</x:v>
      </x:c>
      <x:c r="C2" s="24" t="n">
        <x:v>3</x:v>
      </x:c>
      <x:c r="D2" s="24" t="n">
        <x:v>0</x:v>
      </x:c>
      <x:c r="E2" s="24" t="n">
        <x:v>0</x:v>
      </x:c>
      <x:c r="F2" s="40" t="str">
        <x:v>OK</x:v>
      </x:c>
      <x:c r="G2" s="24" t="str">
        <x:v>All three original CSV files loaded with readable Chinese headers.</x:v>
      </x:c>
    </x:row>
    <x:row r="3">
      <x:c r="A3" s="24" t="str">
        <x:v>Clean sales row count</x:v>
      </x:c>
      <x:c r="B3" s="24" t="n">
        <x:v>25</x:v>
      </x:c>
      <x:c r="C3" s="24" t="str">
        <x:v>&gt; 0</x:v>
      </x:c>
      <x:c r="D3" s="24" t="str"/>
      <x:c r="E3" s="24" t="n">
        <x:v>0</x:v>
      </x:c>
      <x:c r="F3" s="40" t="str">
        <x:v>OK</x:v>
      </x:c>
      <x:c r="G3" s="24" t="str">
        <x:v>Rows require product and 2025 quantity.</x:v>
      </x:c>
    </x:row>
    <x:row r="4">
      <x:c r="A4" s="24" t="str">
        <x:v>Revenue total vs reported</x:v>
      </x:c>
      <x:c r="B4" s="27" t="n">
        <x:f>SUM(Clean_Sales!W2:W26)</x:f>
        <x:v>1258927</x:v>
      </x:c>
      <x:c r="C4" s="27" t="n">
        <x:v>1523247</x:v>
      </x:c>
      <x:c r="D4" s="27" t="n">
        <x:f>B4-C4</x:f>
        <x:v>-264320</x:v>
      </x:c>
      <x:c r="E4" s="27" t="n">
        <x:v>1</x:v>
      </x:c>
      <x:c r="F4" s="40" t="str">
        <x:f>IF(ABS(D4)&lt;=E4,"OK","Check")</x:f>
        <x:v>Check</x:v>
      </x:c>
      <x:c r="G4" s="24" t="str">
        <x:v>Compares cleaned reported revenue to source summary row.</x:v>
      </x:c>
    </x:row>
    <x:row r="5">
      <x:c r="A5" s="24" t="str">
        <x:v>Calculated revenue vs reported</x:v>
      </x:c>
      <x:c r="B5" s="27" t="n">
        <x:f>SUM(Clean_Sales!X2:X26)</x:f>
        <x:v>1523247</x:v>
      </x:c>
      <x:c r="C5" s="27" t="n">
        <x:f>SUM(Clean_Sales!W2:W26)</x:f>
        <x:v>1258927</x:v>
      </x:c>
      <x:c r="D5" s="27" t="n">
        <x:f>B5-C5</x:f>
        <x:v>264320</x:v>
      </x:c>
      <x:c r="E5" s="27" t="n">
        <x:v>1</x:v>
      </x:c>
      <x:c r="F5" s="40" t="str">
        <x:f>IF(ABS(D5)&lt;=E5,"OK","Check")</x:f>
        <x:v>Check</x:v>
      </x:c>
      <x:c r="G5" s="24" t="str">
        <x:v>Uses 2025 units x wholesale price, including rows whose source revenue is blank.</x:v>
      </x:c>
    </x:row>
    <x:row r="6">
      <x:c r="A6" s="24" t="str">
        <x:v>Contribution total vs reported</x:v>
      </x:c>
      <x:c r="B6" s="27" t="n">
        <x:f>SUM(Clean_Sales!V2:V26)</x:f>
        <x:v>227656</x:v>
      </x:c>
      <x:c r="C6" s="27" t="n">
        <x:v>233286.8215388</x:v>
      </x:c>
      <x:c r="D6" s="27" t="n">
        <x:f>B6-C6</x:f>
        <x:v>-5630.821538799995</x:v>
      </x:c>
      <x:c r="E6" s="27" t="n">
        <x:v>1</x:v>
      </x:c>
      <x:c r="F6" s="40" t="str">
        <x:f>IF(ABS(D6)&lt;=E6,"OK","Check")</x:f>
        <x:v>Check</x:v>
      </x:c>
      <x:c r="G6" s="24" t="str">
        <x:v>Compares cleaned reported contribution to source summary row.</x:v>
      </x:c>
    </x:row>
    <x:row r="7">
      <x:c r="A7" s="24" t="str">
        <x:v>Calculated contribution vs reported</x:v>
      </x:c>
      <x:c r="B7" s="27" t="n">
        <x:f>SUM(Clean_Sales!Y2:Y26)</x:f>
        <x:v>232362.10694591992</x:v>
      </x:c>
      <x:c r="C7" s="27" t="n">
        <x:f>SUM(Clean_Sales!V2:V26)</x:f>
        <x:v>227656</x:v>
      </x:c>
      <x:c r="D7" s="27" t="n">
        <x:f>B7-C7</x:f>
        <x:v>4706.106945919921</x:v>
      </x:c>
      <x:c r="E7" s="27" t="n">
        <x:v>1</x:v>
      </x:c>
      <x:c r="F7" s="40" t="str">
        <x:f>IF(ABS(D7)&lt;=E7,"OK","Check")</x:f>
        <x:v>Check</x:v>
      </x:c>
      <x:c r="G7" s="24" t="str">
        <x:v>Uses 2025 units x net profit per unit.</x:v>
      </x:c>
    </x:row>
    <x:row r="8">
      <x:c r="A8" s="24" t="str">
        <x:v>Missing key fields</x:v>
      </x:c>
      <x:c r="B8" s="27" t="n">
        <x:v>2</x:v>
      </x:c>
      <x:c r="C8" s="27" t="n">
        <x:v>0</x:v>
      </x:c>
      <x:c r="D8" s="27" t="n">
        <x:f>B8-C8</x:f>
        <x:v>2</x:v>
      </x:c>
      <x:c r="E8" s="27" t="n">
        <x:v>0</x:v>
      </x:c>
      <x:c r="F8" s="40" t="str">
        <x:f>IF(B8=0,"OK","Check")</x:f>
        <x:v>Check</x:v>
      </x:c>
      <x:c r="G8" s="24" t="str">
        <x:v>Channel/product/quantity/price completeness.</x:v>
      </x:c>
    </x:row>
    <x:row r="9">
      <x:c r="A9" s="24" t="str">
        <x:v>Negative profit sales rows</x:v>
      </x:c>
      <x:c r="B9" s="27" t="n">
        <x:v>1</x:v>
      </x:c>
      <x:c r="C9" s="27" t="n">
        <x:v>0</x:v>
      </x:c>
      <x:c r="D9" s="27" t="n">
        <x:f>B9-C9</x:f>
        <x:v>1</x:v>
      </x:c>
      <x:c r="E9" s="27" t="n">
        <x:v>0</x:v>
      </x:c>
      <x:c r="F9" s="40" t="str">
        <x:v>Review</x:v>
      </x:c>
      <x:c r="G9" s="24" t="str">
        <x:v>Negative rows are surfaced as risk, not removed.</x:v>
      </x:c>
    </x:row>
    <x:row r="10">
      <x:c r="A10" s="24" t="str">
        <x:v>Pending operating cost items</x:v>
      </x:c>
      <x:c r="B10" s="27" t="n">
        <x:v>2</x:v>
      </x:c>
      <x:c r="C10" s="27" t="n">
        <x:v>0</x:v>
      </x:c>
      <x:c r="D10" s="27" t="n">
        <x:f>B10-C10</x:f>
        <x:v>2</x:v>
      </x:c>
      <x:c r="E10" s="27" t="n">
        <x:v>0</x:v>
      </x:c>
      <x:c r="F10" s="40" t="str">
        <x:v>Review</x:v>
      </x:c>
      <x:c r="G10" s="24" t="str">
        <x:v>Pending/blank cost rows retained for management follow-up.</x:v>
      </x:c>
    </x:row>
    <x:row r="11">
      <x:c r="A11" s="24" t="str">
        <x:v>Mixed-spec product rollups</x:v>
      </x:c>
      <x:c r="B11" s="27" t="n">
        <x:v>2</x:v>
      </x:c>
      <x:c r="C11" s="27" t="n">
        <x:v>0</x:v>
      </x:c>
      <x:c r="D11" s="27" t="n">
        <x:f>B11-C11</x:f>
        <x:v>2</x:v>
      </x:c>
      <x:c r="E11" s="27" t="n">
        <x:v>0</x:v>
      </x:c>
      <x:c r="F11" s="40" t="str">
        <x:v>Review</x:v>
      </x:c>
      <x:c r="G11" s="24" t="str">
        <x:v>Product rollups with multiple specs should be interpreted through SKU_Contribution.</x:v>
      </x:c>
    </x:row>
    <x:row r="12">
      <x:c r="A12" s="24" t="str">
        <x:v>Overall model status</x:v>
      </x:c>
      <x:c r="B12" s="24" t="str"/>
      <x:c r="C12" s="24" t="str"/>
      <x:c r="D12" s="24" t="str"/>
      <x:c r="E12" s="24" t="str"/>
      <x:c r="F12" s="40" t="str">
        <x:f>IF(COUNTIF(F2:F11,"Check")+COUNTIF(F2:F11,"Review")=0,"OK","Review")</x:f>
        <x:v>Review</x:v>
      </x:c>
      <x:c r="G12" s="24" t="str">
        <x:v>Review items are expected when source has negative profit, pending costs, or mixed specs.</x:v>
      </x:c>
    </x:row>
  </x:sheetData>
  <x:pageMargins left="0.7" right="0.7" top="0.75" bottom="0.75" header="0.3" footer="0.3"/>
</x:worksheet>
</file>