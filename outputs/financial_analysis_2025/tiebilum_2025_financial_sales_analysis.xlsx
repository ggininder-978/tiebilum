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3096e670e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832b0eae7194ddc"/>
    <x:sheet xmlns:r="http://schemas.openxmlformats.org/officeDocument/2006/relationships" name="Product_Ranking" sheetId="2" r:id="R5c11bcee0aa441d0"/>
    <x:sheet xmlns:r="http://schemas.openxmlformats.org/officeDocument/2006/relationships" name="SKU_Ranking" sheetId="3" r:id="Rb2d696c4fcfe4399"/>
    <x:sheet xmlns:r="http://schemas.openxmlformats.org/officeDocument/2006/relationships" name="Channel_Finance" sheetId="4" r:id="R35634b09a1fa4a93"/>
    <x:sheet xmlns:r="http://schemas.openxmlformats.org/officeDocument/2006/relationships" name="Cost_Structure" sheetId="5" r:id="R560a556521544010"/>
    <x:sheet xmlns:r="http://schemas.openxmlformats.org/officeDocument/2006/relationships" name="Clean_Sales" sheetId="6" r:id="R0db89ce22a87420c"/>
    <x:sheet xmlns:r="http://schemas.openxmlformats.org/officeDocument/2006/relationships" name="Product_Cost_Catalog" sheetId="7" r:id="R9efddb49076945a2"/>
    <x:sheet xmlns:r="http://schemas.openxmlformats.org/officeDocument/2006/relationships" name="Audit_Log" sheetId="8" r:id="R1e600a15a79a40ec"/>
    <x:sheet xmlns:r="http://schemas.openxmlformats.org/officeDocument/2006/relationships" name="Checks" sheetId="9" r:id="R746378bdfe64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NT$&quot;#,##0;[Red](&quot;NT$&quot;#,##0);-"/>
    <x:numFmt numFmtId="201" formatCode="0.0%;[Red](0.0%);-"/>
    <x:numFmt numFmtId="202" formatCode="#,##0"/>
    <x:numFmt numFmtId="203" formatCode="#,##0;[Red](#,##0);-"/>
  </x:numFmts>
  <x:fonts count="8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name val="Carlito"/>
    </x:font>
    <x:font>
      <x:b/>
      <x:sz val="18"/>
      <x:color rgb="FFFFFF"/>
      <x:name val="Aptos"/>
    </x:font>
    <x:font>
      <x:b/>
      <x:sz val="11"/>
      <x:color rgb="FFFFFF"/>
      <x:name val="Aptos"/>
    </x:font>
    <x:font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14342B"/>
      </x:patternFill>
    </x:fill>
    <x:fill>
      <x:patternFill patternType="solid">
        <x:fgColor rgb="E9EFE8"/>
      </x:patternFill>
    </x:fill>
    <x:fill>
      <x:patternFill patternType="solid">
        <x:fgColor rgb="F7F4EA"/>
      </x:patternFill>
    </x:fill>
    <x:fill>
      <x:patternFill patternType="solid">
        <x:fgColor rgb="51624D"/>
      </x:patternFill>
    </x:fill>
  </x:fills>
  <x:borders count="1">
    <x:border/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4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4" fillId="4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5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21b6ccaac44867" /><Relationship Type="http://schemas.openxmlformats.org/officeDocument/2006/relationships/theme" Target="/xl/theme/theme1.xml" Id="R9aa665d3ff254b20" /><Relationship Type="http://schemas.openxmlformats.org/officeDocument/2006/relationships/sharedStrings" Target="/xl/sharedStrings.xml" Id="Rbccf6da68e214814" /><Relationship Type="http://schemas.openxmlformats.org/officeDocument/2006/relationships/worksheet" Target="/xl/worksheets/sheet1.xml" Id="Re832b0eae7194ddc" /><Relationship Type="http://schemas.openxmlformats.org/officeDocument/2006/relationships/worksheet" Target="/xl/worksheets/sheet2.xml" Id="R5c11bcee0aa441d0" /><Relationship Type="http://schemas.openxmlformats.org/officeDocument/2006/relationships/worksheet" Target="/xl/worksheets/sheet3.xml" Id="Rb2d696c4fcfe4399" /><Relationship Type="http://schemas.openxmlformats.org/officeDocument/2006/relationships/worksheet" Target="/xl/worksheets/sheet4.xml" Id="R35634b09a1fa4a93" /><Relationship Type="http://schemas.openxmlformats.org/officeDocument/2006/relationships/worksheet" Target="/xl/worksheets/sheet5.xml" Id="R560a556521544010" /><Relationship Type="http://schemas.openxmlformats.org/officeDocument/2006/relationships/worksheet" Target="/xl/worksheets/sheet6.xml" Id="R0db89ce22a87420c" /><Relationship Type="http://schemas.openxmlformats.org/officeDocument/2006/relationships/worksheet" Target="/xl/worksheets/sheet7.xml" Id="R9efddb49076945a2" /><Relationship Type="http://schemas.openxmlformats.org/officeDocument/2006/relationships/worksheet" Target="/xl/worksheets/sheet8.xml" Id="R1e600a15a79a40ec" /><Relationship Type="http://schemas.openxmlformats.org/officeDocument/2006/relationships/worksheet" Target="/xl/worksheets/sheet9.xml" Id="R746378bdfe6440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52dddc43bb40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商品營收與貢獻淨利 Top 8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營收</c:v>
          </c:tx>
          <c:cat>
            <c:strRef>
              <c:f>'Dashboard'!$J$5:$J$12</c:f>
              <c:strCache>
                <c:ptCount val="0"/>
              </c:strCache>
            </c:strRef>
          </c:cat>
          <c:val>
            <c:numRef>
              <c:f>'Dashboard'!$K$5:$K$12</c:f>
              <c:numCache>
                <c:formatCode>"NT$"#,##0;[Red]("NT$"#,##0);-</c:formatCode>
                <c:ptCount val="0"/>
              </c:numCache>
            </c:numRef>
          </c:val>
        </c:ser>
        <c:ser>
          <c:idx val="1"/>
          <c:order val="1"/>
          <c:tx>
            <c:v>商品貢獻淨利</c:v>
          </c:tx>
          <c:cat>
            <c:strRef>
              <c:f>'Dashboard'!$J$5:$J$12</c:f>
              <c:strCache>
                <c:ptCount val="0"/>
              </c:strCache>
            </c:strRef>
          </c:cat>
          <c:val>
            <c:numRef>
              <c:f>'Dashboard'!$L$5:$L$12</c:f>
              <c:numCache>
                <c:formatCode>"NT$"#,##0;[Red]("NT$"#,##0);-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NT$&quot;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52dddc43bb40b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a013a4ac08c42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8.84000015258789" hidden="0" customWidth="1"/>
    <x:col min="3" max="3" width="10.770000457763672" hidden="0" customWidth="1"/>
    <x:col min="4" max="4" width="15.479999542236328" hidden="0" customWidth="1"/>
    <x:col min="5" max="5" width="15.479999542236328" hidden="0" customWidth="1"/>
    <x:col min="6" max="6" width="10.770000457763672" hidden="0" customWidth="1"/>
    <x:col min="7" max="7" width="15.479999542236328" hidden="0" customWidth="1"/>
    <x:col min="8" max="8" width="1.75" hidden="0" customWidth="1"/>
    <x:col min="9" max="9" width="1.75" hidden="0" customWidth="1"/>
    <x:col min="10" max="10" width="18.84000015258789" hidden="0" customWidth="1"/>
    <x:col min="11" max="11" width="15.479999542236328" hidden="0" customWidth="1"/>
    <x:col min="12" max="12" width="15.479999542236328" hidden="0" customWidth="1"/>
  </x:cols>
  <x:sheetData>
    <x:row r="1">
      <x:c r="A1" s="44" t="str">
        <x:v>鐵比倫 2025 商品銷售與財務分析</x:v>
      </x:c>
      <x:c r="B1" s="44"/>
      <x:c r="C1" s="44"/>
      <x:c r="D1" s="44"/>
      <x:c r="E1" s="44"/>
      <x:c r="F1" s="44"/>
      <x:c r="G1" s="44"/>
      <x:c r="H1" s="44"/>
      <x:c r="I1" s="45"/>
      <x:c r="J1" s="45"/>
      <x:c r="K1" s="45"/>
      <x:c r="L1" s="45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</x:row>
    <x:row r="2">
      <x:c r="A2" s="31" t="str">
        <x:v>資料來源：2025 營收銷量、單品成本結構、營業成本原始 CSV；更新日 2026-05-09</x:v>
      </x:c>
      <x:c r="B2" s="31"/>
      <x:c r="C2" s="31"/>
      <x:c r="D2" s="31"/>
      <x:c r="E2" s="31"/>
      <x:c r="F2" s="31"/>
      <x:c r="G2" s="31"/>
      <x:c r="H2" s="31"/>
      <x:c r="I2" s="32"/>
      <x:c r="J2" s="32"/>
      <x:c r="K2" s="32"/>
      <x:c r="L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4">
      <x:c r="A4" s="33" t="str">
        <x:v>2025 營業額</x:v>
      </x:c>
      <x:c r="B4" s="34" t="n">
        <x:v>1523247</x:v>
      </x:c>
      <x:c r="C4" s="33" t="str">
        <x:v>商品貢獻淨利</x:v>
      </x:c>
      <x:c r="D4" s="34" t="n">
        <x:v>233288.00694799994</x:v>
      </x:c>
      <x:c r="E4" s="32"/>
      <x:c r="F4" s="32"/>
      <x:c r="G4" s="32"/>
      <x:c r="H4" s="32"/>
      <x:c r="I4" s="32"/>
      <x:c r="J4" s="35" t="str">
        <x:v>商品</x:v>
      </x:c>
      <x:c r="K4" s="35" t="str">
        <x:v>營收</x:v>
      </x:c>
      <x:c r="L4" s="35" t="str">
        <x:v>商品貢獻淨利</x:v>
      </x:c>
    </x:row>
    <x:row r="5">
      <x:c r="A5" s="33" t="str">
        <x:v>商品貢獻淨利率</x:v>
      </x:c>
      <x:c r="B5" s="36" t="n">
        <x:v>0.1531517915006561</x:v>
      </x:c>
      <x:c r="C5" s="33" t="str">
        <x:v>已確認年度營業成本</x:v>
      </x:c>
      <x:c r="D5" s="34" t="n">
        <x:v>1553948</x:v>
      </x:c>
      <x:c r="E5" s="32"/>
      <x:c r="F5" s="32"/>
      <x:c r="G5" s="32"/>
      <x:c r="H5" s="32"/>
      <x:c r="I5" s="32"/>
      <x:c r="J5" s="32" t="str">
        <x:v>薑汁黑糖</x:v>
      </x:c>
      <x:c r="K5" s="37" t="n">
        <x:v>435255</x:v>
      </x:c>
      <x:c r="L5" s="37" t="n">
        <x:v>82722.70442</x:v>
      </x:c>
    </x:row>
    <x:row r="6">
      <x:c r="A6" s="33" t="str">
        <x:v>管理口徑淨額</x:v>
      </x:c>
      <x:c r="B6" s="34" t="n">
        <x:v>-1320659.9930520002</x:v>
      </x:c>
      <x:c r="C6" s="33" t="str">
        <x:v>清洗後銷售列數</x:v>
      </x:c>
      <x:c r="D6" s="34" t="n">
        <x:v>25</x:v>
      </x:c>
      <x:c r="E6" s="32"/>
      <x:c r="F6" s="32"/>
      <x:c r="G6" s="32"/>
      <x:c r="H6" s="32"/>
      <x:c r="I6" s="32"/>
      <x:c r="J6" s="32" t="str">
        <x:v>黑糖蜜</x:v>
      </x:c>
      <x:c r="K6" s="37" t="n">
        <x:v>307060</x:v>
      </x:c>
      <x:c r="L6" s="37" t="n">
        <x:v>41482.04237333332</x:v>
      </x:c>
    </x:row>
    <x:row r="7">
      <x:c r="A7" s="33" t="str">
        <x:v>商品數</x:v>
      </x:c>
      <x:c r="B7" s="38" t="n">
        <x:v>11</x:v>
      </x:c>
      <x:c r="C7" s="38" t="str">
        <x:v>SKU 數</x:v>
      </x:c>
      <x:c r="D7" s="38" t="n">
        <x:v>25</x:v>
      </x:c>
      <x:c r="E7" s="32"/>
      <x:c r="F7" s="32"/>
      <x:c r="G7" s="32"/>
      <x:c r="H7" s="32"/>
      <x:c r="I7" s="32"/>
      <x:c r="J7" s="32" t="str">
        <x:v>黑糖薑母茶</x:v>
      </x:c>
      <x:c r="K7" s="37" t="n">
        <x:v>264320</x:v>
      </x:c>
      <x:c r="L7" s="37" t="n">
        <x:v>5630.821546666654</x:v>
      </x:c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 t="str">
        <x:v>桂圓黑糖</x:v>
      </x:c>
      <x:c r="K8" s="37" t="n">
        <x:v>177382</x:v>
      </x:c>
      <x:c r="L8" s="37" t="n">
        <x:v>31062.09862133333</x:v>
      </x:c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 t="str">
        <x:v>玫瑰四物黑糖</x:v>
      </x:c>
      <x:c r="K9" s="37" t="n">
        <x:v>132580</x:v>
      </x:c>
      <x:c r="L9" s="37" t="n">
        <x:v>30460.85805333333</x:v>
      </x:c>
    </x:row>
    <x:row r="10">
      <x:c r="A10" s="30" t="str">
        <x:v>排名</x:v>
      </x:c>
      <x:c r="B10" s="30" t="str">
        <x:v>商品</x:v>
      </x:c>
      <x:c r="C10" s="30" t="str">
        <x:v>銷量</x:v>
      </x:c>
      <x:c r="D10" s="30" t="str">
        <x:v>營收</x:v>
      </x:c>
      <x:c r="E10" s="30" t="str">
        <x:v>商品貢獻淨利</x:v>
      </x:c>
      <x:c r="F10" s="30" t="str">
        <x:v>淨利率</x:v>
      </x:c>
      <x:c r="G10" s="30" t="str">
        <x:v>診斷</x:v>
      </x:c>
      <x:c r="H10" s="32"/>
      <x:c r="I10" s="32"/>
      <x:c r="J10" s="32" t="str">
        <x:v>原味黑糖</x:v>
      </x:c>
      <x:c r="K10" s="37" t="n">
        <x:v>127212</x:v>
      </x:c>
      <x:c r="L10" s="37" t="n">
        <x:v>29061.789007999992</x:v>
      </x:c>
    </x:row>
    <x:row r="11">
      <x:c r="A11" s="32" t="n">
        <x:v>1</x:v>
      </x:c>
      <x:c r="B11" s="32" t="str">
        <x:v>薑汁黑糖</x:v>
      </x:c>
      <x:c r="C11" s="39" t="n">
        <x:v>4131</x:v>
      </x:c>
      <x:c r="D11" s="37" t="n">
        <x:v>435255</x:v>
      </x:c>
      <x:c r="E11" s="37" t="n">
        <x:v>82722.70442</x:v>
      </x:c>
      <x:c r="F11" s="40" t="n">
        <x:v>0.19005572462119905</x:v>
      </x:c>
      <x:c r="G11" s="32" t="str">
        <x:v>淨利主力</x:v>
      </x:c>
      <x:c r="H11" s="32"/>
      <x:c r="I11" s="32"/>
      <x:c r="J11" s="32" t="str">
        <x:v>桂圓紅棗薑黑糖</x:v>
      </x:c>
      <x:c r="K11" s="37" t="n">
        <x:v>38080</x:v>
      </x:c>
      <x:c r="L11" s="37" t="n">
        <x:v>8019.220053333333</x:v>
      </x:c>
    </x:row>
    <x:row r="12">
      <x:c r="A12" s="32" t="n">
        <x:v>2</x:v>
      </x:c>
      <x:c r="B12" s="32" t="str">
        <x:v>黑糖蜜</x:v>
      </x:c>
      <x:c r="C12" s="39" t="n">
        <x:v>2412</x:v>
      </x:c>
      <x:c r="D12" s="37" t="n">
        <x:v>307060</x:v>
      </x:c>
      <x:c r="E12" s="37" t="n">
        <x:v>41482.04237333332</x:v>
      </x:c>
      <x:c r="F12" s="40" t="n">
        <x:v>0.13509425641025638</x:v>
      </x:c>
      <x:c r="G12" s="32" t="str">
        <x:v>成本待補</x:v>
      </x:c>
      <x:c r="H12" s="32"/>
      <x:c r="I12" s="32"/>
      <x:c r="J12" s="32" t="str">
        <x:v>梅精黑糖</x:v>
      </x:c>
      <x:c r="K12" s="37" t="n">
        <x:v>15587</x:v>
      </x:c>
      <x:c r="L12" s="37" t="n">
        <x:v>1610.8541746666656</x:v>
      </x:c>
    </x:row>
    <x:row r="13">
      <x:c r="A13" s="32" t="n">
        <x:v>3</x:v>
      </x:c>
      <x:c r="B13" s="32" t="str">
        <x:v>黑糖薑母茶</x:v>
      </x:c>
      <x:c r="C13" s="39" t="n">
        <x:v>2360</x:v>
      </x:c>
      <x:c r="D13" s="37" t="n">
        <x:v>264320</x:v>
      </x:c>
      <x:c r="E13" s="37" t="n">
        <x:v>5630.821546666654</x:v>
      </x:c>
      <x:c r="F13" s="40" t="n">
        <x:v>0.021303047619047572</x:v>
      </x:c>
      <x:c r="G13" s="32" t="str">
        <x:v>高營收低淨利</x:v>
      </x:c>
      <x:c r="H13" s="32"/>
      <x:c r="I13" s="32"/>
      <x:c r="J13" s="32"/>
      <x:c r="K13" s="32"/>
      <x:c r="L13" s="32"/>
    </x:row>
    <x:row r="14">
      <x:c r="A14" s="32" t="n">
        <x:v>4</x:v>
      </x:c>
      <x:c r="B14" s="32" t="str">
        <x:v>桂圓黑糖</x:v>
      </x:c>
      <x:c r="C14" s="39" t="n">
        <x:v>1507</x:v>
      </x:c>
      <x:c r="D14" s="37" t="n">
        <x:v>177382</x:v>
      </x:c>
      <x:c r="E14" s="37" t="n">
        <x:v>31062.09862133333</x:v>
      </x:c>
      <x:c r="F14" s="40" t="n">
        <x:v>0.1751141526272865</x:v>
      </x:c>
      <x:c r="G14" s="32" t="str">
        <x:v>淨利主力</x:v>
      </x:c>
      <x:c r="H14" s="32"/>
      <x:c r="I14" s="32"/>
      <x:c r="J14" s="32"/>
      <x:c r="K14" s="32"/>
      <x:c r="L14" s="32"/>
    </x:row>
    <x:row r="15">
      <x:c r="A15" s="32" t="n">
        <x:v>5</x:v>
      </x:c>
      <x:c r="B15" s="32" t="str">
        <x:v>玫瑰四物黑糖</x:v>
      </x:c>
      <x:c r="C15" s="39" t="n">
        <x:v>1114</x:v>
      </x:c>
      <x:c r="D15" s="37" t="n">
        <x:v>132580</x:v>
      </x:c>
      <x:c r="E15" s="37" t="n">
        <x:v>30460.85805333333</x:v>
      </x:c>
      <x:c r="F15" s="40" t="n">
        <x:v>0.22975454859958763</x:v>
      </x:c>
      <x:c r="G15" s="32" t="str">
        <x:v>高毛利主力</x:v>
      </x:c>
      <x:c r="H15" s="32"/>
      <x:c r="I15" s="32"/>
      <x:c r="J15" s="32"/>
      <x:c r="K15" s="32"/>
      <x:c r="L15" s="32"/>
    </x:row>
    <x:row r="16">
      <x:c r="A16" s="32" t="n">
        <x:v>6</x:v>
      </x:c>
      <x:c r="B16" s="32" t="str">
        <x:v>原味黑糖</x:v>
      </x:c>
      <x:c r="C16" s="39" t="n">
        <x:v>1188</x:v>
      </x:c>
      <x:c r="D16" s="37" t="n">
        <x:v>127212</x:v>
      </x:c>
      <x:c r="E16" s="37" t="n">
        <x:v>29061.789007999992</x:v>
      </x:c>
      <x:c r="F16" s="40" t="n">
        <x:v>0.22845163198440394</x:v>
      </x:c>
      <x:c r="G16" s="32" t="str">
        <x:v>高毛利主力</x:v>
      </x:c>
      <x:c r="H16" s="32"/>
      <x:c r="I16" s="32"/>
      <x:c r="J16" s="32"/>
      <x:c r="K16" s="32"/>
      <x:c r="L16" s="32"/>
    </x:row>
    <x:row r="17">
      <x:c r="A17" s="32" t="n">
        <x:v>7</x:v>
      </x:c>
      <x:c r="B17" s="32" t="str">
        <x:v>桂圓紅棗薑黑糖</x:v>
      </x:c>
      <x:c r="C17" s="39" t="n">
        <x:v>272</x:v>
      </x:c>
      <x:c r="D17" s="37" t="n">
        <x:v>38080</x:v>
      </x:c>
      <x:c r="E17" s="37" t="n">
        <x:v>8019.220053333333</x:v>
      </x:c>
      <x:c r="F17" s="40" t="n">
        <x:v>0.21058876190476192</x:v>
      </x:c>
      <x:c r="G17" s="32" t="str">
        <x:v>穩定貢獻</x:v>
      </x:c>
      <x:c r="H17" s="32"/>
      <x:c r="I17" s="32"/>
      <x:c r="J17" s="32"/>
      <x:c r="K17" s="32"/>
      <x:c r="L17" s="32"/>
    </x:row>
    <x:row r="18">
      <x:c r="A18" s="32" t="n">
        <x:v>8</x:v>
      </x:c>
      <x:c r="B18" s="32" t="str">
        <x:v>梅精黑糖</x:v>
      </x:c>
      <x:c r="C18" s="39" t="n">
        <x:v>154</x:v>
      </x:c>
      <x:c r="D18" s="37" t="n">
        <x:v>15587</x:v>
      </x:c>
      <x:c r="E18" s="37" t="n">
        <x:v>1610.8541746666656</x:v>
      </x:c>
      <x:c r="F18" s="40" t="n">
        <x:v>0.1033460046620046</x:v>
      </x:c>
      <x:c r="G18" s="32" t="str">
        <x:v>成本待補</x:v>
      </x:c>
      <x:c r="H18" s="32"/>
      <x:c r="I18" s="32"/>
      <x:c r="J18" s="32"/>
      <x:c r="K18" s="32"/>
      <x:c r="L18" s="32"/>
    </x:row>
    <x:row r="19">
      <x:c r="A19" s="32" t="n">
        <x:v>9</x:v>
      </x:c>
      <x:c r="B19" s="32" t="str">
        <x:v>冬瓜</x:v>
      </x:c>
      <x:c r="C19" s="39" t="n">
        <x:v>98</x:v>
      </x:c>
      <x:c r="D19" s="37" t="n">
        <x:v>13720</x:v>
      </x:c>
      <x:c r="E19" s="37" t="n">
        <x:v>3183.2778133333336</x:v>
      </x:c>
      <x:c r="F19" s="40" t="n">
        <x:v>0.23201733333333335</x:v>
      </x:c>
      <x:c r="G19" s="32" t="str">
        <x:v>穩定貢獻</x:v>
      </x:c>
      <x:c r="H19" s="32"/>
      <x:c r="I19" s="32"/>
      <x:c r="J19" s="32"/>
      <x:c r="K19" s="32"/>
      <x:c r="L19" s="32"/>
    </x:row>
    <x:row r="20">
      <x:c r="A20" s="32" t="n">
        <x:v>10</x:v>
      </x:c>
      <x:c r="B20" s="32" t="str">
        <x:v>黑糖檸檬</x:v>
      </x:c>
      <x:c r="C20" s="39" t="n">
        <x:v>63</x:v>
      </x:c>
      <x:c r="D20" s="37" t="n">
        <x:v>7371</x:v>
      </x:c>
      <x:c r="E20" s="37" t="n">
        <x:v>-47.500236000000285</x:v>
      </x:c>
      <x:c r="F20" s="40" t="n">
        <x:v>-0.006444205128205167</x:v>
      </x:c>
      <x:c r="G20" s="32" t="str">
        <x:v>虧損風險</x:v>
      </x:c>
      <x:c r="H20" s="32"/>
      <x:c r="I20" s="32"/>
      <x:c r="J20" s="32"/>
      <x:c r="K20" s="32"/>
      <x:c r="L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a013a4ac08c425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0.09000015258789" hidden="0" customWidth="1"/>
    <x:col min="3" max="3" width="12.109999656677246" hidden="0" customWidth="1"/>
    <x:col min="4" max="4" width="22.209999084472656" hidden="0" customWidth="1"/>
    <x:col min="5" max="5" width="11.4399995803833" hidden="0" customWidth="1"/>
    <x:col min="6" max="6" width="16.149999618530273" hidden="0" customWidth="1"/>
    <x:col min="7" max="7" width="16.149999618530273" hidden="0" customWidth="1"/>
    <x:col min="8" max="8" width="16.149999618530273" hidden="0" customWidth="1"/>
    <x:col min="9" max="9" width="17.5" hidden="0" customWidth="1"/>
    <x:col min="10" max="10" width="17.5" hidden="0" customWidth="1"/>
    <x:col min="11" max="11" width="13.460000038146973" hidden="0" customWidth="1"/>
    <x:col min="12" max="12" width="13.460000038146973" hidden="0" customWidth="1"/>
    <x:col min="13" max="13" width="14.800000190734863" hidden="0" customWidth="1"/>
    <x:col min="14" max="14" width="11.4399995803833" hidden="0" customWidth="1"/>
    <x:col min="15" max="15" width="11.4399995803833" hidden="0" customWidth="1"/>
    <x:col min="16" max="16" width="10.770000457763672" hidden="0" customWidth="1"/>
    <x:col min="17" max="17" width="12.109999656677246" hidden="0" customWidth="1"/>
    <x:col min="18" max="18" width="19.520000457763672" hidden="0" customWidth="1"/>
    <x:col min="19" max="19" width="13.460000038146973" hidden="0" customWidth="1"/>
    <x:col min="20" max="20" width="12.109999656677246" hidden="0" customWidth="1"/>
    <x:col min="21" max="21" width="16.81999969482422" hidden="0" customWidth="1"/>
  </x:cols>
  <x:sheetData>
    <x:row r="1">
      <x:c r="A1" s="45" t="str">
        <x:v>revenue_rank</x:v>
      </x:c>
      <x:c r="B1" s="45" t="str">
        <x:v>units_rank</x:v>
      </x:c>
      <x:c r="C1" s="45" t="str">
        <x:v>contribution_rank</x:v>
      </x:c>
      <x:c r="D1" s="45" t="str">
        <x:v>product</x:v>
      </x:c>
      <x:c r="E1" s="45" t="str">
        <x:v>units</x:v>
      </x:c>
      <x:c r="F1" s="45" t="str">
        <x:v>revenue</x:v>
      </x:c>
      <x:c r="G1" s="45" t="str">
        <x:v>product_cogs_total</x:v>
      </x:c>
      <x:c r="H1" s="45" t="str">
        <x:v>gross_profit_total</x:v>
      </x:c>
      <x:c r="I1" s="45" t="str">
        <x:v>expense_subtotal_total</x:v>
      </x:c>
      <x:c r="J1" s="45" t="str">
        <x:v>contribution_profit</x:v>
      </x:c>
      <x:c r="K1" s="45" t="str">
        <x:v>average_price</x:v>
      </x:c>
      <x:c r="L1" s="45" t="str">
        <x:v>average_cogs</x:v>
      </x:c>
      <x:c r="M1" s="45" t="str">
        <x:v>net_profit_per_unit</x:v>
      </x:c>
      <x:c r="N1" s="45" t="str">
        <x:v>gross_margin</x:v>
      </x:c>
      <x:c r="O1" s="45" t="str">
        <x:v>net_margin</x:v>
      </x:c>
      <x:c r="P1" s="45" t="str">
        <x:v>sku_count</x:v>
      </x:c>
      <x:c r="Q1" s="45" t="str">
        <x:v>channel_count</x:v>
      </x:c>
      <x:c r="R1" s="45" t="str">
        <x:v>spec_summary</x:v>
      </x:c>
      <x:c r="S1" s="45" t="str">
        <x:v>missing_cost_rows</x:v>
      </x:c>
      <x:c r="T1" s="45" t="str">
        <x:v>negative_rows</x:v>
      </x:c>
      <x:c r="U1" s="45" t="str">
        <x:v>diagnosis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</x:row>
    <x:row r="2">
      <x:c r="A2" s="32" t="n">
        <x:v>1</x:v>
      </x:c>
      <x:c r="B2" s="32" t="n">
        <x:v>1</x:v>
      </x:c>
      <x:c r="C2" s="32" t="n">
        <x:v>1</x:v>
      </x:c>
      <x:c r="D2" s="32" t="str">
        <x:v>薑汁黑糖</x:v>
      </x:c>
      <x:c r="E2" s="41" t="n">
        <x:v>4131</x:v>
      </x:c>
      <x:c r="F2" s="37" t="n">
        <x:v>435255</x:v>
      </x:c>
      <x:c r="G2" s="37" t="n">
        <x:v>105315</x:v>
      </x:c>
      <x:c r="H2" s="37" t="n">
        <x:v>329940</x:v>
      </x:c>
      <x:c r="I2" s="37" t="n">
        <x:v>247217.3</x:v>
      </x:c>
      <x:c r="J2" s="37" t="n">
        <x:v>82722.7</x:v>
      </x:c>
      <x:c r="K2" s="37" t="n">
        <x:v>105.36</x:v>
      </x:c>
      <x:c r="L2" s="37" t="n">
        <x:v>25.49</x:v>
      </x:c>
      <x:c r="M2" s="37" t="n">
        <x:v>20.02</x:v>
      </x:c>
      <x:c r="N2" s="40" t="n">
        <x:v>0.7580383912878658</x:v>
      </x:c>
      <x:c r="O2" s="40" t="n">
        <x:v>0.19005572462119905</x:v>
      </x:c>
      <x:c r="P2" s="41" t="n">
        <x:v>4</x:v>
      </x:c>
      <x:c r="Q2" s="41" t="n">
        <x:v>4</x:v>
      </x:c>
      <x:c r="R2" s="32" t="str">
        <x:v>380g / 600g</x:v>
      </x:c>
      <x:c r="S2" s="41" t="n">
        <x:v>0</x:v>
      </x:c>
      <x:c r="T2" s="41" t="n">
        <x:v>0</x:v>
      </x:c>
      <x:c r="U2" s="32" t="str">
        <x:v>淨利主力</x:v>
      </x:c>
    </x:row>
    <x:row r="3">
      <x:c r="A3" s="32" t="n">
        <x:v>2</x:v>
      </x:c>
      <x:c r="B3" s="32" t="n">
        <x:v>2</x:v>
      </x:c>
      <x:c r="C3" s="32" t="n">
        <x:v>2</x:v>
      </x:c>
      <x:c r="D3" s="32" t="str">
        <x:v>黑糖蜜</x:v>
      </x:c>
      <x:c r="E3" s="41" t="n">
        <x:v>2412</x:v>
      </x:c>
      <x:c r="F3" s="37" t="n">
        <x:v>307060</x:v>
      </x:c>
      <x:c r="G3" s="37" t="n">
        <x:v>91173.2</x:v>
      </x:c>
      <x:c r="H3" s="37" t="n">
        <x:v>215886.8</x:v>
      </x:c>
      <x:c r="I3" s="37" t="n">
        <x:v>174404.76</x:v>
      </x:c>
      <x:c r="J3" s="37" t="n">
        <x:v>41482.04</x:v>
      </x:c>
      <x:c r="K3" s="37" t="n">
        <x:v>127.31</x:v>
      </x:c>
      <x:c r="L3" s="37" t="n">
        <x:v>37.8</x:v>
      </x:c>
      <x:c r="M3" s="37" t="n">
        <x:v>17.2</x:v>
      </x:c>
      <x:c r="N3" s="40" t="n">
        <x:v>0.7030769230769232</x:v>
      </x:c>
      <x:c r="O3" s="40" t="n">
        <x:v>0.13509425641025638</x:v>
      </x:c>
      <x:c r="P3" s="41" t="n">
        <x:v>2</x:v>
      </x:c>
      <x:c r="Q3" s="41" t="n">
        <x:v>1</x:v>
      </x:c>
      <x:c r="R3" s="32" t="str">
        <x:v>350ml / 1890ml</x:v>
      </x:c>
      <x:c r="S3" s="41" t="n">
        <x:v>1</x:v>
      </x:c>
      <x:c r="T3" s="41" t="n">
        <x:v>0</x:v>
      </x:c>
      <x:c r="U3" s="32" t="str">
        <x:v>成本待補</x:v>
      </x:c>
    </x:row>
    <x:row r="4">
      <x:c r="A4" s="32" t="n">
        <x:v>3</x:v>
      </x:c>
      <x:c r="B4" s="32" t="n">
        <x:v>3</x:v>
      </x:c>
      <x:c r="C4" s="32" t="n">
        <x:v>7</x:v>
      </x:c>
      <x:c r="D4" s="32" t="str">
        <x:v>黑糖薑母茶</x:v>
      </x:c>
      <x:c r="E4" s="41" t="n">
        <x:v>2360</x:v>
      </x:c>
      <x:c r="F4" s="37" t="n">
        <x:v>264320</x:v>
      </x:c>
      <x:c r="G4" s="37" t="n">
        <x:v>108560</x:v>
      </x:c>
      <x:c r="H4" s="37" t="n">
        <x:v>155760</x:v>
      </x:c>
      <x:c r="I4" s="37" t="n">
        <x:v>150129.18</x:v>
      </x:c>
      <x:c r="J4" s="37" t="n">
        <x:v>5630.82</x:v>
      </x:c>
      <x:c r="K4" s="37" t="n">
        <x:v>112</x:v>
      </x:c>
      <x:c r="L4" s="37" t="n">
        <x:v>46</x:v>
      </x:c>
      <x:c r="M4" s="37" t="n">
        <x:v>2.39</x:v>
      </x:c>
      <x:c r="N4" s="40" t="n">
        <x:v>0.5892857142857143</x:v>
      </x:c>
      <x:c r="O4" s="40" t="n">
        <x:v>0.021303047619047572</x:v>
      </x:c>
      <x:c r="P4" s="41" t="n">
        <x:v>1</x:v>
      </x:c>
      <x:c r="Q4" s="41" t="n">
        <x:v>1</x:v>
      </x:c>
      <x:c r="R4" s="32" t="str">
        <x:v>40台斤(一箱)</x:v>
      </x:c>
      <x:c r="S4" s="41" t="n">
        <x:v>0</x:v>
      </x:c>
      <x:c r="T4" s="41" t="n">
        <x:v>0</x:v>
      </x:c>
      <x:c r="U4" s="32" t="str">
        <x:v>高營收低淨利</x:v>
      </x:c>
    </x:row>
    <x:row r="5">
      <x:c r="A5" s="32" t="n">
        <x:v>4</x:v>
      </x:c>
      <x:c r="B5" s="32" t="n">
        <x:v>4</x:v>
      </x:c>
      <x:c r="C5" s="32" t="n">
        <x:v>3</x:v>
      </x:c>
      <x:c r="D5" s="32" t="str">
        <x:v>桂圓黑糖</x:v>
      </x:c>
      <x:c r="E5" s="41" t="n">
        <x:v>1507</x:v>
      </x:c>
      <x:c r="F5" s="37" t="n">
        <x:v>177382</x:v>
      </x:c>
      <x:c r="G5" s="37" t="n">
        <x:v>45570</x:v>
      </x:c>
      <x:c r="H5" s="37" t="n">
        <x:v>131812</x:v>
      </x:c>
      <x:c r="I5" s="37" t="n">
        <x:v>100749.9</x:v>
      </x:c>
      <x:c r="J5" s="37" t="n">
        <x:v>31062.1</x:v>
      </x:c>
      <x:c r="K5" s="37" t="n">
        <x:v>117.71</x:v>
      </x:c>
      <x:c r="L5" s="37" t="n">
        <x:v>30.24</x:v>
      </x:c>
      <x:c r="M5" s="37" t="n">
        <x:v>20.61</x:v>
      </x:c>
      <x:c r="N5" s="40" t="n">
        <x:v>0.7430968192939532</x:v>
      </x:c>
      <x:c r="O5" s="40" t="n">
        <x:v>0.1751141526272865</x:v>
      </x:c>
      <x:c r="P5" s="41" t="n">
        <x:v>4</x:v>
      </x:c>
      <x:c r="Q5" s="41" t="n">
        <x:v>4</x:v>
      </x:c>
      <x:c r="R5" s="32" t="str">
        <x:v>380g / 600g</x:v>
      </x:c>
      <x:c r="S5" s="41" t="n">
        <x:v>0</x:v>
      </x:c>
      <x:c r="T5" s="41" t="n">
        <x:v>0</x:v>
      </x:c>
      <x:c r="U5" s="32" t="str">
        <x:v>淨利主力</x:v>
      </x:c>
    </x:row>
    <x:row r="6">
      <x:c r="A6" s="32" t="n">
        <x:v>5</x:v>
      </x:c>
      <x:c r="B6" s="32" t="n">
        <x:v>6</x:v>
      </x:c>
      <x:c r="C6" s="32" t="n">
        <x:v>4</x:v>
      </x:c>
      <x:c r="D6" s="32" t="str">
        <x:v>玫瑰四物黑糖</x:v>
      </x:c>
      <x:c r="E6" s="41" t="n">
        <x:v>1114</x:v>
      </x:c>
      <x:c r="F6" s="37" t="n">
        <x:v>132580</x:v>
      </x:c>
      <x:c r="G6" s="37" t="n">
        <x:v>26816</x:v>
      </x:c>
      <x:c r="H6" s="37" t="n">
        <x:v>105764</x:v>
      </x:c>
      <x:c r="I6" s="37" t="n">
        <x:v>75303.14</x:v>
      </x:c>
      <x:c r="J6" s="37" t="n">
        <x:v>30460.86</x:v>
      </x:c>
      <x:c r="K6" s="37" t="n">
        <x:v>119.01</x:v>
      </x:c>
      <x:c r="L6" s="37" t="n">
        <x:v>24.07</x:v>
      </x:c>
      <x:c r="M6" s="37" t="n">
        <x:v>27.34</x:v>
      </x:c>
      <x:c r="N6" s="40" t="n">
        <x:v>0.7977372152662543</x:v>
      </x:c>
      <x:c r="O6" s="40" t="n">
        <x:v>0.22975454859958763</x:v>
      </x:c>
      <x:c r="P6" s="41" t="n">
        <x:v>4</x:v>
      </x:c>
      <x:c r="Q6" s="41" t="n">
        <x:v>4</x:v>
      </x:c>
      <x:c r="R6" s="32" t="str">
        <x:v>380g / 600g</x:v>
      </x:c>
      <x:c r="S6" s="41" t="n">
        <x:v>0</x:v>
      </x:c>
      <x:c r="T6" s="41" t="n">
        <x:v>0</x:v>
      </x:c>
      <x:c r="U6" s="32" t="str">
        <x:v>高毛利主力</x:v>
      </x:c>
    </x:row>
    <x:row r="7">
      <x:c r="A7" s="32" t="n">
        <x:v>6</x:v>
      </x:c>
      <x:c r="B7" s="32" t="n">
        <x:v>5</x:v>
      </x:c>
      <x:c r="C7" s="32" t="n">
        <x:v>5</x:v>
      </x:c>
      <x:c r="D7" s="32" t="str">
        <x:v>原味黑糖</x:v>
      </x:c>
      <x:c r="E7" s="41" t="n">
        <x:v>1188</x:v>
      </x:c>
      <x:c r="F7" s="37" t="n">
        <x:v>127212</x:v>
      </x:c>
      <x:c r="G7" s="37" t="n">
        <x:v>25896</x:v>
      </x:c>
      <x:c r="H7" s="37" t="n">
        <x:v>101316</x:v>
      </x:c>
      <x:c r="I7" s="37" t="n">
        <x:v>72254.21</x:v>
      </x:c>
      <x:c r="J7" s="37" t="n">
        <x:v>29061.79</x:v>
      </x:c>
      <x:c r="K7" s="37" t="n">
        <x:v>107.08</x:v>
      </x:c>
      <x:c r="L7" s="37" t="n">
        <x:v>21.8</x:v>
      </x:c>
      <x:c r="M7" s="37" t="n">
        <x:v>24.46</x:v>
      </x:c>
      <x:c r="N7" s="40" t="n">
        <x:v>0.7964342986510706</x:v>
      </x:c>
      <x:c r="O7" s="40" t="n">
        <x:v>0.22845163198440394</x:v>
      </x:c>
      <x:c r="P7" s="41" t="n">
        <x:v>4</x:v>
      </x:c>
      <x:c r="Q7" s="41" t="n">
        <x:v>4</x:v>
      </x:c>
      <x:c r="R7" s="32" t="str">
        <x:v>380g / 600g</x:v>
      </x:c>
      <x:c r="S7" s="41" t="n">
        <x:v>0</x:v>
      </x:c>
      <x:c r="T7" s="41" t="n">
        <x:v>0</x:v>
      </x:c>
      <x:c r="U7" s="32" t="str">
        <x:v>高毛利主力</x:v>
      </x:c>
    </x:row>
    <x:row r="8">
      <x:c r="A8" s="32" t="n">
        <x:v>7</x:v>
      </x:c>
      <x:c r="B8" s="32" t="n">
        <x:v>7</x:v>
      </x:c>
      <x:c r="C8" s="32" t="n">
        <x:v>6</x:v>
      </x:c>
      <x:c r="D8" s="32" t="str">
        <x:v>桂圓紅棗薑黑糖</x:v>
      </x:c>
      <x:c r="E8" s="41" t="n">
        <x:v>272</x:v>
      </x:c>
      <x:c r="F8" s="37" t="n">
        <x:v>38080</x:v>
      </x:c>
      <x:c r="G8" s="37" t="n">
        <x:v>8432</x:v>
      </x:c>
      <x:c r="H8" s="37" t="n">
        <x:v>29648</x:v>
      </x:c>
      <x:c r="I8" s="37" t="n">
        <x:v>21628.78</x:v>
      </x:c>
      <x:c r="J8" s="37" t="n">
        <x:v>8019.22</x:v>
      </x:c>
      <x:c r="K8" s="37" t="n">
        <x:v>140</x:v>
      </x:c>
      <x:c r="L8" s="37" t="n">
        <x:v>31</x:v>
      </x:c>
      <x:c r="M8" s="37" t="n">
        <x:v>29.48</x:v>
      </x:c>
      <x:c r="N8" s="40" t="n">
        <x:v>0.7785714285714286</x:v>
      </x:c>
      <x:c r="O8" s="40" t="n">
        <x:v>0.21058876190476192</x:v>
      </x:c>
      <x:c r="P8" s="41" t="n">
        <x:v>1</x:v>
      </x:c>
      <x:c r="Q8" s="41" t="n">
        <x:v>1</x:v>
      </x:c>
      <x:c r="R8" s="32" t="str">
        <x:v>260g</x:v>
      </x:c>
      <x:c r="S8" s="41" t="n">
        <x:v>0</x:v>
      </x:c>
      <x:c r="T8" s="41" t="n">
        <x:v>0</x:v>
      </x:c>
      <x:c r="U8" s="32" t="str">
        <x:v>穩定貢獻</x:v>
      </x:c>
    </x:row>
    <x:row r="9">
      <x:c r="A9" s="32" t="n">
        <x:v>8</x:v>
      </x:c>
      <x:c r="B9" s="32" t="n">
        <x:v>8</x:v>
      </x:c>
      <x:c r="C9" s="32" t="n">
        <x:v>9</x:v>
      </x:c>
      <x:c r="D9" s="32" t="str">
        <x:v>梅精黑糖</x:v>
      </x:c>
      <x:c r="E9" s="41" t="n">
        <x:v>154</x:v>
      </x:c>
      <x:c r="F9" s="37" t="n">
        <x:v>15587</x:v>
      </x:c>
      <x:c r="G9" s="37" t="n">
        <x:v>5123</x:v>
      </x:c>
      <x:c r="H9" s="37" t="n">
        <x:v>10464</x:v>
      </x:c>
      <x:c r="I9" s="37" t="n">
        <x:v>8853.15</x:v>
      </x:c>
      <x:c r="J9" s="37" t="n">
        <x:v>1610.85</x:v>
      </x:c>
      <x:c r="K9" s="37" t="n">
        <x:v>101.21</x:v>
      </x:c>
      <x:c r="L9" s="37" t="n">
        <x:v>33.27</x:v>
      </x:c>
      <x:c r="M9" s="37" t="n">
        <x:v>10.46</x:v>
      </x:c>
      <x:c r="N9" s="40" t="n">
        <x:v>0.6713286713286714</x:v>
      </x:c>
      <x:c r="O9" s="40" t="n">
        <x:v>0.1033460046620046</x:v>
      </x:c>
      <x:c r="P9" s="41" t="n">
        <x:v>2</x:v>
      </x:c>
      <x:c r="Q9" s="41" t="n">
        <x:v>1</x:v>
      </x:c>
      <x:c r="R9" s="32" t="str">
        <x:v>150ml / 1890ml</x:v>
      </x:c>
      <x:c r="S9" s="41" t="n">
        <x:v>1</x:v>
      </x:c>
      <x:c r="T9" s="41" t="n">
        <x:v>0</x:v>
      </x:c>
      <x:c r="U9" s="32" t="str">
        <x:v>成本待補</x:v>
      </x:c>
    </x:row>
    <x:row r="10">
      <x:c r="A10" s="32" t="n">
        <x:v>9</x:v>
      </x:c>
      <x:c r="B10" s="32" t="n">
        <x:v>9</x:v>
      </x:c>
      <x:c r="C10" s="32" t="n">
        <x:v>8</x:v>
      </x:c>
      <x:c r="D10" s="32" t="str">
        <x:v>冬瓜</x:v>
      </x:c>
      <x:c r="E10" s="41" t="n">
        <x:v>98</x:v>
      </x:c>
      <x:c r="F10" s="37" t="n">
        <x:v>13720</x:v>
      </x:c>
      <x:c r="G10" s="37" t="n">
        <x:v>2744</x:v>
      </x:c>
      <x:c r="H10" s="37" t="n">
        <x:v>10976</x:v>
      </x:c>
      <x:c r="I10" s="37" t="n">
        <x:v>7792.72</x:v>
      </x:c>
      <x:c r="J10" s="37" t="n">
        <x:v>3183.28</x:v>
      </x:c>
      <x:c r="K10" s="37" t="n">
        <x:v>140</x:v>
      </x:c>
      <x:c r="L10" s="37" t="n">
        <x:v>28</x:v>
      </x:c>
      <x:c r="M10" s="37" t="n">
        <x:v>32.48</x:v>
      </x:c>
      <x:c r="N10" s="40" t="n">
        <x:v>0.8</x:v>
      </x:c>
      <x:c r="O10" s="40" t="n">
        <x:v>0.23201733333333335</x:v>
      </x:c>
      <x:c r="P10" s="41" t="n">
        <x:v>1</x:v>
      </x:c>
      <x:c r="Q10" s="41" t="n">
        <x:v>1</x:v>
      </x:c>
      <x:c r="R10" s="32" t="str">
        <x:v>260g</x:v>
      </x:c>
      <x:c r="S10" s="41" t="n">
        <x:v>0</x:v>
      </x:c>
      <x:c r="T10" s="41" t="n">
        <x:v>0</x:v>
      </x:c>
      <x:c r="U10" s="32" t="str">
        <x:v>穩定貢獻</x:v>
      </x:c>
    </x:row>
    <x:row r="11">
      <x:c r="A11" s="32" t="n">
        <x:v>10</x:v>
      </x:c>
      <x:c r="B11" s="32" t="n">
        <x:v>10</x:v>
      </x:c>
      <x:c r="C11" s="32" t="n">
        <x:v>11</x:v>
      </x:c>
      <x:c r="D11" s="32" t="str">
        <x:v>黑糖檸檬</x:v>
      </x:c>
      <x:c r="E11" s="41" t="n">
        <x:v>63</x:v>
      </x:c>
      <x:c r="F11" s="37" t="n">
        <x:v>7371</x:v>
      </x:c>
      <x:c r="G11" s="37" t="n">
        <x:v>3231.9</x:v>
      </x:c>
      <x:c r="H11" s="37" t="n">
        <x:v>4139.1</x:v>
      </x:c>
      <x:c r="I11" s="37" t="n">
        <x:v>4186.6</x:v>
      </x:c>
      <x:c r="J11" s="37" t="n">
        <x:v>-47.5</x:v>
      </x:c>
      <x:c r="K11" s="37" t="n">
        <x:v>117</x:v>
      </x:c>
      <x:c r="L11" s="37" t="n">
        <x:v>51.3</x:v>
      </x:c>
      <x:c r="M11" s="37" t="n">
        <x:v>-0.75</x:v>
      </x:c>
      <x:c r="N11" s="40" t="n">
        <x:v>0.5615384615384615</x:v>
      </x:c>
      <x:c r="O11" s="40" t="n">
        <x:v>-0.006444205128205167</x:v>
      </x:c>
      <x:c r="P11" s="41" t="n">
        <x:v>1</x:v>
      </x:c>
      <x:c r="Q11" s="41" t="n">
        <x:v>1</x:v>
      </x:c>
      <x:c r="R11" s="32" t="str">
        <x:v>150ml</x:v>
      </x:c>
      <x:c r="S11" s="41" t="n">
        <x:v>0</x:v>
      </x:c>
      <x:c r="T11" s="41" t="n">
        <x:v>1</x:v>
      </x:c>
      <x:c r="U11" s="32" t="str">
        <x:v>虧損風險</x:v>
      </x:c>
    </x:row>
    <x:row r="12">
      <x:c r="A12" s="32" t="n">
        <x:v>11</x:v>
      </x:c>
      <x:c r="B12" s="32" t="n">
        <x:v>11</x:v>
      </x:c>
      <x:c r="C12" s="32" t="n">
        <x:v>10</x:v>
      </x:c>
      <x:c r="D12" s="32" t="str">
        <x:v>百香果黑糖</x:v>
      </x:c>
      <x:c r="E12" s="41" t="n">
        <x:v>40</x:v>
      </x:c>
      <x:c r="F12" s="37" t="n">
        <x:v>4680</x:v>
      </x:c>
      <x:c r="G12" s="37" t="n">
        <x:v>1920</x:v>
      </x:c>
      <x:c r="H12" s="37" t="n">
        <x:v>2760</x:v>
      </x:c>
      <x:c r="I12" s="37" t="n">
        <x:v>2658.16</x:v>
      </x:c>
      <x:c r="J12" s="37" t="n">
        <x:v>101.84</x:v>
      </x:c>
      <x:c r="K12" s="37" t="n">
        <x:v>117</x:v>
      </x:c>
      <x:c r="L12" s="37" t="n">
        <x:v>48</x:v>
      </x:c>
      <x:c r="M12" s="37" t="n">
        <x:v>2.55</x:v>
      </x:c>
      <x:c r="N12" s="40" t="n">
        <x:v>0.5897435897435898</x:v>
      </x:c>
      <x:c r="O12" s="40" t="n">
        <x:v>0.021760923076923015</x:v>
      </x:c>
      <x:c r="P12" s="41" t="n">
        <x:v>1</x:v>
      </x:c>
      <x:c r="Q12" s="41" t="n">
        <x:v>1</x:v>
      </x:c>
      <x:c r="R12" s="32" t="str">
        <x:v>150ml</x:v>
      </x:c>
      <x:c r="S12" s="41" t="n">
        <x:v>0</x:v>
      </x:c>
      <x:c r="T12" s="41" t="n">
        <x:v>0</x:v>
      </x:c>
      <x:c r="U12" s="32" t="str">
        <x:v>穩定貢獻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0.09000015258789" hidden="0" customWidth="1"/>
    <x:col min="3" max="3" width="12.109999656677246" hidden="0" customWidth="1"/>
    <x:col min="4" max="4" width="20.190000534057617" hidden="0" customWidth="1"/>
    <x:col min="5" max="5" width="12.109999656677246" hidden="0" customWidth="1"/>
    <x:col min="6" max="6" width="17.5" hidden="0" customWidth="1"/>
    <x:col min="7" max="7" width="17.5" hidden="0" customWidth="1"/>
    <x:col min="8" max="8" width="12.109999656677246" hidden="0" customWidth="1"/>
    <x:col min="9" max="9" width="10.770000457763672" hidden="0" customWidth="1"/>
    <x:col min="10" max="10" width="15.479999542236328" hidden="0" customWidth="1"/>
    <x:col min="11" max="11" width="15.479999542236328" hidden="0" customWidth="1"/>
    <x:col min="12" max="12" width="16.149999618530273" hidden="0" customWidth="1"/>
    <x:col min="13" max="13" width="13.460000038146973" hidden="0" customWidth="1"/>
    <x:col min="14" max="14" width="13.460000038146973" hidden="0" customWidth="1"/>
    <x:col min="15" max="15" width="14.800000190734863" hidden="0" customWidth="1"/>
    <x:col min="16" max="16" width="11.4399995803833" hidden="0" customWidth="1"/>
    <x:col min="17" max="17" width="28.940000534057617" hidden="0" customWidth="1"/>
    <x:col min="18" max="18" width="16.81999969482422" hidden="0" customWidth="1"/>
  </x:cols>
  <x:sheetData>
    <x:row r="1">
      <x:c r="A1" s="45" t="str">
        <x:v>revenue_rank</x:v>
      </x:c>
      <x:c r="B1" s="45" t="str">
        <x:v>units_rank</x:v>
      </x:c>
      <x:c r="C1" s="45" t="str">
        <x:v>contribution_rank</x:v>
      </x:c>
      <x:c r="D1" s="45" t="str">
        <x:v>product</x:v>
      </x:c>
      <x:c r="E1" s="45" t="str">
        <x:v>channel_type</x:v>
      </x:c>
      <x:c r="F1" s="45" t="str">
        <x:v>channel_name</x:v>
      </x:c>
      <x:c r="G1" s="45" t="str">
        <x:v>package_type</x:v>
      </x:c>
      <x:c r="H1" s="45" t="str">
        <x:v>unit_basis</x:v>
      </x:c>
      <x:c r="I1" s="45" t="str">
        <x:v>units</x:v>
      </x:c>
      <x:c r="J1" s="45" t="str">
        <x:v>revenue</x:v>
      </x:c>
      <x:c r="K1" s="45" t="str">
        <x:v>product_cogs_total</x:v>
      </x:c>
      <x:c r="L1" s="45" t="str">
        <x:v>contribution_profit</x:v>
      </x:c>
      <x:c r="M1" s="45" t="str">
        <x:v>average_price</x:v>
      </x:c>
      <x:c r="N1" s="45" t="str">
        <x:v>product_cogs</x:v>
      </x:c>
      <x:c r="O1" s="45" t="str">
        <x:v>net_profit_per_unit</x:v>
      </x:c>
      <x:c r="P1" s="45" t="str">
        <x:v>net_margin</x:v>
      </x:c>
      <x:c r="Q1" s="45" t="str">
        <x:v>quality_flags</x:v>
      </x:c>
      <x:c r="R1" s="45" t="str">
        <x:v>diagnosis</x:v>
      </x:c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</x:row>
    <x:row r="2">
      <x:c r="A2" s="32" t="n">
        <x:v>1</x:v>
      </x:c>
      <x:c r="B2" s="32" t="n">
        <x:v>1</x:v>
      </x:c>
      <x:c r="C2" s="32" t="n">
        <x:v>1</x:v>
      </x:c>
      <x:c r="D2" s="32" t="str">
        <x:v>黑糖蜜</x:v>
      </x:c>
      <x:c r="E2" s="32" t="str">
        <x:v>蜜類</x:v>
      </x:c>
      <x:c r="F2" s="32" t="str">
        <x:v>蜜類</x:v>
      </x:c>
      <x:c r="G2" s="32" t="str">
        <x:v>蜜類瓶裝</x:v>
      </x:c>
      <x:c r="H2" s="32" t="str">
        <x:v>350ml</x:v>
      </x:c>
      <x:c r="I2" s="41" t="n">
        <x:v>2362</x:v>
      </x:c>
      <x:c r="J2" s="37" t="n">
        <x:v>307060</x:v>
      </x:c>
      <x:c r="K2" s="37" t="n">
        <x:v>91173.2</x:v>
      </x:c>
      <x:c r="L2" s="37" t="n">
        <x:v>41482.04</x:v>
      </x:c>
      <x:c r="M2" s="37" t="n">
        <x:v>130</x:v>
      </x:c>
      <x:c r="N2" s="37" t="n">
        <x:v>38.6</x:v>
      </x:c>
      <x:c r="O2" s="37" t="n">
        <x:v>17.56</x:v>
      </x:c>
      <x:c r="P2" s="40" t="n">
        <x:v>0.13509425641025638</x:v>
      </x:c>
      <x:c r="Q2" s="32" t="str"/>
      <x:c r="R2" s="32" t="str">
        <x:v>淨利主力</x:v>
      </x:c>
    </x:row>
    <x:row r="3">
      <x:c r="A3" s="32" t="n">
        <x:v>2</x:v>
      </x:c>
      <x:c r="B3" s="32" t="n">
        <x:v>2</x:v>
      </x:c>
      <x:c r="C3" s="32" t="n">
        <x:v>15</x:v>
      </x:c>
      <x:c r="D3" s="32" t="str">
        <x:v>黑糖薑母茶</x:v>
      </x:c>
      <x:c r="E3" s="32" t="str">
        <x:v>OEM</x:v>
      </x:c>
      <x:c r="F3" s="32" t="str">
        <x:v>科技中藥廠</x:v>
      </x:c>
      <x:c r="G3" s="32" t="str">
        <x:v>薑母茶</x:v>
      </x:c>
      <x:c r="H3" s="32" t="str">
        <x:v>40台斤(一箱)</x:v>
      </x:c>
      <x:c r="I3" s="41" t="n">
        <x:v>2360</x:v>
      </x:c>
      <x:c r="J3" s="37" t="n">
        <x:v>264320</x:v>
      </x:c>
      <x:c r="K3" s="37" t="n">
        <x:v>108560</x:v>
      </x:c>
      <x:c r="L3" s="37" t="n">
        <x:v>5630.82</x:v>
      </x:c>
      <x:c r="M3" s="37" t="n">
        <x:v>112</x:v>
      </x:c>
      <x:c r="N3" s="37" t="n">
        <x:v>46</x:v>
      </x:c>
      <x:c r="O3" s="37" t="n">
        <x:v>2.39</x:v>
      </x:c>
      <x:c r="P3" s="40" t="n">
        <x:v>0.021303047619047572</x:v>
      </x:c>
      <x:c r="Q3" s="32" t="str"/>
      <x:c r="R3" s="32" t="str">
        <x:v>高營收低淨利</x:v>
      </x:c>
    </x:row>
    <x:row r="4">
      <x:c r="A4" s="32" t="n">
        <x:v>3</x:v>
      </x:c>
      <x:c r="B4" s="32" t="n">
        <x:v>3</x:v>
      </x:c>
      <x:c r="C4" s="32" t="n">
        <x:v>2</x:v>
      </x:c>
      <x:c r="D4" s="32" t="str">
        <x:v>薑汁黑糖</x:v>
      </x:c>
      <x:c r="E4" s="32" t="str">
        <x:v>貼牌</x:v>
      </x:c>
      <x:c r="F4" s="32" t="str">
        <x:v>埔里農會</x:v>
      </x:c>
      <x:c r="G4" s="32" t="str">
        <x:v>手切夾鏈袋</x:v>
      </x:c>
      <x:c r="H4" s="32" t="str">
        <x:v>380g</x:v>
      </x:c>
      <x:c r="I4" s="41" t="n">
        <x:v>1980</x:v>
      </x:c>
      <x:c r="J4" s="37" t="n">
        <x:v>196020</x:v>
      </x:c>
      <x:c r="K4" s="37" t="n">
        <x:v>49500</x:v>
      </x:c>
      <x:c r="L4" s="37" t="n">
        <x:v>35184.04</x:v>
      </x:c>
      <x:c r="M4" s="37" t="n">
        <x:v>99</x:v>
      </x:c>
      <x:c r="N4" s="37" t="n">
        <x:v>25</x:v>
      </x:c>
      <x:c r="O4" s="37" t="n">
        <x:v>17.77</x:v>
      </x:c>
      <x:c r="P4" s="40" t="n">
        <x:v>0.17949208080808077</x:v>
      </x:c>
      <x:c r="Q4" s="32" t="str"/>
      <x:c r="R4" s="32" t="str">
        <x:v>淨利主力</x:v>
      </x:c>
    </x:row>
    <x:row r="5">
      <x:c r="A5" s="32" t="n">
        <x:v>4</x:v>
      </x:c>
      <x:c r="B5" s="32" t="n">
        <x:v>4</x:v>
      </x:c>
      <x:c r="C5" s="32" t="n">
        <x:v>3</x:v>
      </x:c>
      <x:c r="D5" s="32" t="str">
        <x:v>薑汁黑糖</x:v>
      </x:c>
      <x:c r="E5" s="32" t="str">
        <x:v>直售</x:v>
      </x:c>
      <x:c r="F5" s="32" t="str">
        <x:v>手切</x:v>
      </x:c>
      <x:c r="G5" s="32" t="str">
        <x:v>手切台斤</x:v>
      </x:c>
      <x:c r="H5" s="32" t="str">
        <x:v>600g</x:v>
      </x:c>
      <x:c r="I5" s="41" t="n">
        <x:v>1020</x:v>
      </x:c>
      <x:c r="J5" s="37" t="n">
        <x:v>112200</x:v>
      </x:c>
      <x:c r="K5" s="37" t="n">
        <x:v>27540</x:v>
      </x:c>
      <x:c r="L5" s="37" t="n">
        <x:v>20932.34</x:v>
      </x:c>
      <x:c r="M5" s="37" t="n">
        <x:v>110</x:v>
      </x:c>
      <x:c r="N5" s="37" t="n">
        <x:v>27</x:v>
      </x:c>
      <x:c r="O5" s="37" t="n">
        <x:v>20.52</x:v>
      </x:c>
      <x:c r="P5" s="40" t="n">
        <x:v>0.18656278787878786</x:v>
      </x:c>
      <x:c r="Q5" s="32" t="str"/>
      <x:c r="R5" s="32" t="str">
        <x:v>穩定貢獻</x:v>
      </x:c>
    </x:row>
    <x:row r="6">
      <x:c r="A6" s="32" t="n">
        <x:v>5</x:v>
      </x:c>
      <x:c r="B6" s="32" t="n">
        <x:v>5</x:v>
      </x:c>
      <x:c r="C6" s="32" t="n">
        <x:v>5</x:v>
      </x:c>
      <x:c r="D6" s="32" t="str">
        <x:v>桂圓黑糖</x:v>
      </x:c>
      <x:c r="E6" s="32" t="str">
        <x:v>貼牌</x:v>
      </x:c>
      <x:c r="F6" s="32" t="str">
        <x:v>埔里農會</x:v>
      </x:c>
      <x:c r="G6" s="32" t="str">
        <x:v>手切夾鏈袋</x:v>
      </x:c>
      <x:c r="H6" s="32" t="str">
        <x:v>380g</x:v>
      </x:c>
      <x:c r="I6" s="41" t="n">
        <x:v>828</x:v>
      </x:c>
      <x:c r="J6" s="37" t="n">
        <x:v>91080</x:v>
      </x:c>
      <x:c r="K6" s="37" t="n">
        <x:v>24840</x:v>
      </x:c>
      <x:c r="L6" s="37" t="n">
        <x:v>14508.14</x:v>
      </x:c>
      <x:c r="M6" s="37" t="n">
        <x:v>110</x:v>
      </x:c>
      <x:c r="N6" s="37" t="n">
        <x:v>30</x:v>
      </x:c>
      <x:c r="O6" s="37" t="n">
        <x:v>17.52</x:v>
      </x:c>
      <x:c r="P6" s="40" t="n">
        <x:v>0.1592900606060606</x:v>
      </x:c>
      <x:c r="Q6" s="32" t="str"/>
      <x:c r="R6" s="32" t="str">
        <x:v>穩定貢獻</x:v>
      </x:c>
    </x:row>
    <x:row r="7">
      <x:c r="A7" s="32" t="n">
        <x:v>6</x:v>
      </x:c>
      <x:c r="B7" s="32" t="n">
        <x:v>6</x:v>
      </x:c>
      <x:c r="C7" s="32" t="n">
        <x:v>4</x:v>
      </x:c>
      <x:c r="D7" s="32" t="str">
        <x:v>薑汁黑糖</x:v>
      </x:c>
      <x:c r="E7" s="32" t="str">
        <x:v>批發</x:v>
      </x:c>
      <x:c r="F7" s="32" t="str">
        <x:v>農會</x:v>
      </x:c>
      <x:c r="G7" s="32" t="str">
        <x:v>手切夾鏈袋</x:v>
      </x:c>
      <x:c r="H7" s="32" t="str">
        <x:v>380g</x:v>
      </x:c>
      <x:c r="I7" s="41" t="n">
        <x:v>756</x:v>
      </x:c>
      <x:c r="J7" s="37" t="n">
        <x:v>83160</x:v>
      </x:c>
      <x:c r="K7" s="37" t="n">
        <x:v>18900</x:v>
      </x:c>
      <x:c r="L7" s="37" t="n">
        <x:v>17026.56</x:v>
      </x:c>
      <x:c r="M7" s="37" t="n">
        <x:v>110</x:v>
      </x:c>
      <x:c r="N7" s="37" t="n">
        <x:v>25</x:v>
      </x:c>
      <x:c r="O7" s="37" t="n">
        <x:v>22.52</x:v>
      </x:c>
      <x:c r="P7" s="40" t="n">
        <x:v>0.20474460606060604</x:v>
      </x:c>
      <x:c r="Q7" s="32" t="str"/>
      <x:c r="R7" s="32" t="str">
        <x:v>高毛利主力</x:v>
      </x:c>
    </x:row>
    <x:row r="8">
      <x:c r="A8" s="32" t="n">
        <x:v>7</x:v>
      </x:c>
      <x:c r="B8" s="32" t="n">
        <x:v>7</x:v>
      </x:c>
      <x:c r="C8" s="32" t="n">
        <x:v>6</x:v>
      </x:c>
      <x:c r="D8" s="32" t="str">
        <x:v>玫瑰四物黑糖</x:v>
      </x:c>
      <x:c r="E8" s="32" t="str">
        <x:v>貼牌</x:v>
      </x:c>
      <x:c r="F8" s="32" t="str">
        <x:v>埔里農會</x:v>
      </x:c>
      <x:c r="G8" s="32" t="str">
        <x:v>手切夾鏈袋</x:v>
      </x:c>
      <x:c r="H8" s="32" t="str">
        <x:v>380g</x:v>
      </x:c>
      <x:c r="I8" s="41" t="n">
        <x:v>468</x:v>
      </x:c>
      <x:c r="J8" s="37" t="n">
        <x:v>51480</x:v>
      </x:c>
      <x:c r="K8" s="37" t="n">
        <x:v>11232</x:v>
      </x:c>
      <x:c r="L8" s="37" t="n">
        <x:v>11008.25</x:v>
      </x:c>
      <x:c r="M8" s="37" t="n">
        <x:v>110</x:v>
      </x:c>
      <x:c r="N8" s="37" t="n">
        <x:v>24</x:v>
      </x:c>
      <x:c r="O8" s="37" t="n">
        <x:v>23.52</x:v>
      </x:c>
      <x:c r="P8" s="40" t="n">
        <x:v>0.21383551515151514</x:v>
      </x:c>
      <x:c r="Q8" s="32" t="str"/>
      <x:c r="R8" s="32" t="str">
        <x:v>高毛利主力</x:v>
      </x:c>
    </x:row>
    <x:row r="9">
      <x:c r="A9" s="32" t="n">
        <x:v>8</x:v>
      </x:c>
      <x:c r="B9" s="32" t="n">
        <x:v>8</x:v>
      </x:c>
      <x:c r="C9" s="32" t="n">
        <x:v>10</x:v>
      </x:c>
      <x:c r="D9" s="32" t="str">
        <x:v>桂圓黑糖</x:v>
      </x:c>
      <x:c r="E9" s="32" t="str">
        <x:v>批發</x:v>
      </x:c>
      <x:c r="F9" s="32" t="str">
        <x:v>農會</x:v>
      </x:c>
      <x:c r="G9" s="32" t="str">
        <x:v>手切夾鏈袋</x:v>
      </x:c>
      <x:c r="H9" s="32" t="str">
        <x:v>380g</x:v>
      </x:c>
      <x:c r="I9" s="41" t="n">
        <x:v>396</x:v>
      </x:c>
      <x:c r="J9" s="37" t="n">
        <x:v>48312</x:v>
      </x:c>
      <x:c r="K9" s="37" t="n">
        <x:v>11880</x:v>
      </x:c>
      <x:c r="L9" s="37" t="n">
        <x:v>8991.62</x:v>
      </x:c>
      <x:c r="M9" s="37" t="n">
        <x:v>122</x:v>
      </x:c>
      <x:c r="N9" s="37" t="n">
        <x:v>30</x:v>
      </x:c>
      <x:c r="O9" s="37" t="n">
        <x:v>22.71</x:v>
      </x:c>
      <x:c r="P9" s="40" t="n">
        <x:v>0.18611569398907102</x:v>
      </x:c>
      <x:c r="Q9" s="32" t="str"/>
      <x:c r="R9" s="32" t="str">
        <x:v>穩定貢獻</x:v>
      </x:c>
    </x:row>
    <x:row r="10">
      <x:c r="A10" s="32" t="n">
        <x:v>9</x:v>
      </x:c>
      <x:c r="B10" s="32" t="n">
        <x:v>11</x:v>
      </x:c>
      <x:c r="C10" s="32" t="n">
        <x:v>7</x:v>
      </x:c>
      <x:c r="D10" s="32" t="str">
        <x:v>玫瑰四物黑糖</x:v>
      </x:c>
      <x:c r="E10" s="32" t="str">
        <x:v>批發</x:v>
      </x:c>
      <x:c r="F10" s="32" t="str">
        <x:v>農會</x:v>
      </x:c>
      <x:c r="G10" s="32" t="str">
        <x:v>手切夾鏈袋</x:v>
      </x:c>
      <x:c r="H10" s="32" t="str">
        <x:v>380g</x:v>
      </x:c>
      <x:c r="I10" s="41" t="n">
        <x:v>360</x:v>
      </x:c>
      <x:c r="J10" s="37" t="n">
        <x:v>43920</x:v>
      </x:c>
      <x:c r="K10" s="37" t="n">
        <x:v>8640</x:v>
      </x:c>
      <x:c r="L10" s="37" t="n">
        <x:v>10334.2</x:v>
      </x:c>
      <x:c r="M10" s="37" t="n">
        <x:v>122</x:v>
      </x:c>
      <x:c r="N10" s="37" t="n">
        <x:v>24</x:v>
      </x:c>
      <x:c r="O10" s="37" t="n">
        <x:v>28.71</x:v>
      </x:c>
      <x:c r="P10" s="40" t="n">
        <x:v>0.23529602185792348</x:v>
      </x:c>
      <x:c r="Q10" s="32" t="str"/>
      <x:c r="R10" s="32" t="str">
        <x:v>高毛利主力</x:v>
      </x:c>
    </x:row>
    <x:row r="11">
      <x:c r="A11" s="32" t="n">
        <x:v>10</x:v>
      </x:c>
      <x:c r="B11" s="32" t="n">
        <x:v>9</x:v>
      </x:c>
      <x:c r="C11" s="32" t="n">
        <x:v>8</x:v>
      </x:c>
      <x:c r="D11" s="32" t="str">
        <x:v>薑汁黑糖</x:v>
      </x:c>
      <x:c r="E11" s="32" t="str">
        <x:v>批發</x:v>
      </x:c>
      <x:c r="F11" s="32" t="str">
        <x:v>台糖</x:v>
      </x:c>
      <x:c r="G11" s="32" t="str">
        <x:v>手切夾鏈袋</x:v>
      </x:c>
      <x:c r="H11" s="32" t="str">
        <x:v>380g</x:v>
      </x:c>
      <x:c r="I11" s="41" t="n">
        <x:v>375</x:v>
      </x:c>
      <x:c r="J11" s="37" t="n">
        <x:v>43875</x:v>
      </x:c>
      <x:c r="K11" s="37" t="n">
        <x:v>9375</x:v>
      </x:c>
      <x:c r="L11" s="37" t="n">
        <x:v>9579.76</x:v>
      </x:c>
      <x:c r="M11" s="37" t="n">
        <x:v>117</x:v>
      </x:c>
      <x:c r="N11" s="37" t="n">
        <x:v>25</x:v>
      </x:c>
      <x:c r="O11" s="37" t="n">
        <x:v>25.55</x:v>
      </x:c>
      <x:c r="P11" s="40" t="n">
        <x:v>0.2183421196581196</x:v>
      </x:c>
      <x:c r="Q11" s="32" t="str"/>
      <x:c r="R11" s="32" t="str">
        <x:v>穩定貢獻</x:v>
      </x:c>
    </x:row>
    <x:row r="12">
      <x:c r="A12" s="32" t="n">
        <x:v>11</x:v>
      </x:c>
      <x:c r="B12" s="32" t="n">
        <x:v>10</x:v>
      </x:c>
      <x:c r="C12" s="32" t="n">
        <x:v>9</x:v>
      </x:c>
      <x:c r="D12" s="32" t="str">
        <x:v>原味黑糖</x:v>
      </x:c>
      <x:c r="E12" s="32" t="str">
        <x:v>批發</x:v>
      </x:c>
      <x:c r="F12" s="32" t="str">
        <x:v>農會</x:v>
      </x:c>
      <x:c r="G12" s="32" t="str">
        <x:v>手切夾鏈袋</x:v>
      </x:c>
      <x:c r="H12" s="32" t="str">
        <x:v>380g</x:v>
      </x:c>
      <x:c r="I12" s="41" t="n">
        <x:v>360</x:v>
      </x:c>
      <x:c r="J12" s="37" t="n">
        <x:v>39600</x:v>
      </x:c>
      <x:c r="K12" s="37" t="n">
        <x:v>7920</x:v>
      </x:c>
      <x:c r="L12" s="37" t="n">
        <x:v>9187.89</x:v>
      </x:c>
      <x:c r="M12" s="37" t="n">
        <x:v>110</x:v>
      </x:c>
      <x:c r="N12" s="37" t="n">
        <x:v>22</x:v>
      </x:c>
      <x:c r="O12" s="37" t="n">
        <x:v>25.52</x:v>
      </x:c>
      <x:c r="P12" s="40" t="n">
        <x:v>0.23201733333333333</x:v>
      </x:c>
      <x:c r="Q12" s="32" t="str"/>
      <x:c r="R12" s="32" t="str">
        <x:v>穩定貢獻</x:v>
      </x:c>
    </x:row>
    <x:row r="13">
      <x:c r="A13" s="32" t="n">
        <x:v>12</x:v>
      </x:c>
      <x:c r="B13" s="32" t="n">
        <x:v>14</x:v>
      </x:c>
      <x:c r="C13" s="32" t="n">
        <x:v>12</x:v>
      </x:c>
      <x:c r="D13" s="32" t="str">
        <x:v>桂圓紅棗薑黑糖</x:v>
      </x:c>
      <x:c r="E13" s="32" t="str">
        <x:v>批發</x:v>
      </x:c>
      <x:c r="F13" s="32" t="str">
        <x:v>台糖</x:v>
      </x:c>
      <x:c r="G13" s="32" t="str">
        <x:v>單顆包裝夾鏈袋</x:v>
      </x:c>
      <x:c r="H13" s="32" t="str">
        <x:v>260g</x:v>
      </x:c>
      <x:c r="I13" s="41" t="n">
        <x:v>272</x:v>
      </x:c>
      <x:c r="J13" s="37" t="n">
        <x:v>38080</x:v>
      </x:c>
      <x:c r="K13" s="37" t="n">
        <x:v>8432</x:v>
      </x:c>
      <x:c r="L13" s="37" t="n">
        <x:v>8019.22</x:v>
      </x:c>
      <x:c r="M13" s="37" t="n">
        <x:v>140</x:v>
      </x:c>
      <x:c r="N13" s="37" t="n">
        <x:v>31</x:v>
      </x:c>
      <x:c r="O13" s="37" t="n">
        <x:v>29.48</x:v>
      </x:c>
      <x:c r="P13" s="40" t="n">
        <x:v>0.21058876190476192</x:v>
      </x:c>
      <x:c r="Q13" s="32" t="str"/>
      <x:c r="R13" s="32" t="str">
        <x:v>穩定貢獻</x:v>
      </x:c>
    </x:row>
    <x:row r="14">
      <x:c r="A14" s="32" t="n">
        <x:v>13</x:v>
      </x:c>
      <x:c r="B14" s="32" t="n">
        <x:v>12</x:v>
      </x:c>
      <x:c r="C14" s="32" t="n">
        <x:v>11</x:v>
      </x:c>
      <x:c r="D14" s="32" t="str">
        <x:v>原味黑糖</x:v>
      </x:c>
      <x:c r="E14" s="32" t="str">
        <x:v>批發</x:v>
      </x:c>
      <x:c r="F14" s="32" t="str">
        <x:v>台糖</x:v>
      </x:c>
      <x:c r="G14" s="32" t="str">
        <x:v>手切夾鏈袋</x:v>
      </x:c>
      <x:c r="H14" s="32" t="str">
        <x:v>380g</x:v>
      </x:c>
      <x:c r="I14" s="41" t="n">
        <x:v>300</x:v>
      </x:c>
      <x:c r="J14" s="37" t="n">
        <x:v>35100</x:v>
      </x:c>
      <x:c r="K14" s="37" t="n">
        <x:v>6600</x:v>
      </x:c>
      <x:c r="L14" s="37" t="n">
        <x:v>8563.81</x:v>
      </x:c>
      <x:c r="M14" s="37" t="n">
        <x:v>117</x:v>
      </x:c>
      <x:c r="N14" s="37" t="n">
        <x:v>22</x:v>
      </x:c>
      <x:c r="O14" s="37" t="n">
        <x:v>28.55</x:v>
      </x:c>
      <x:c r="P14" s="40" t="n">
        <x:v>0.24398314529914525</x:v>
      </x:c>
      <x:c r="Q14" s="32" t="str"/>
      <x:c r="R14" s="32" t="str">
        <x:v>穩定貢獻</x:v>
      </x:c>
    </x:row>
    <x:row r="15">
      <x:c r="A15" s="32" t="n">
        <x:v>14</x:v>
      </x:c>
      <x:c r="B15" s="32" t="n">
        <x:v>15</x:v>
      </x:c>
      <x:c r="C15" s="32" t="n">
        <x:v>13</x:v>
      </x:c>
      <x:c r="D15" s="32" t="str">
        <x:v>玫瑰四物黑糖</x:v>
      </x:c>
      <x:c r="E15" s="32" t="str">
        <x:v>批發</x:v>
      </x:c>
      <x:c r="F15" s="32" t="str">
        <x:v>台糖</x:v>
      </x:c>
      <x:c r="G15" s="32" t="str">
        <x:v>手切夾鏈袋</x:v>
      </x:c>
      <x:c r="H15" s="32" t="str">
        <x:v>380g</x:v>
      </x:c>
      <x:c r="I15" s="41" t="n">
        <x:v>246</x:v>
      </x:c>
      <x:c r="J15" s="37" t="n">
        <x:v>31980</x:v>
      </x:c>
      <x:c r="K15" s="37" t="n">
        <x:v>5904</x:v>
      </x:c>
      <x:c r="L15" s="37" t="n">
        <x:v>7911.91</x:v>
      </x:c>
      <x:c r="M15" s="37" t="n">
        <x:v>130</x:v>
      </x:c>
      <x:c r="N15" s="37" t="n">
        <x:v>24</x:v>
      </x:c>
      <x:c r="O15" s="37" t="n">
        <x:v>32.16</x:v>
      </x:c>
      <x:c r="P15" s="40" t="n">
        <x:v>0.24740194871794866</x:v>
      </x:c>
      <x:c r="Q15" s="32" t="str"/>
      <x:c r="R15" s="32" t="str">
        <x:v>穩定貢獻</x:v>
      </x:c>
    </x:row>
    <x:row r="16">
      <x:c r="A16" s="32" t="n">
        <x:v>15</x:v>
      </x:c>
      <x:c r="B16" s="32" t="n">
        <x:v>13</x:v>
      </x:c>
      <x:c r="C16" s="32" t="n">
        <x:v>14</x:v>
      </x:c>
      <x:c r="D16" s="32" t="str">
        <x:v>原味黑糖</x:v>
      </x:c>
      <x:c r="E16" s="32" t="str">
        <x:v>貼牌</x:v>
      </x:c>
      <x:c r="F16" s="32" t="str">
        <x:v>埔里農會</x:v>
      </x:c>
      <x:c r="G16" s="32" t="str">
        <x:v>手切夾鏈袋</x:v>
      </x:c>
      <x:c r="H16" s="32" t="str">
        <x:v>380g</x:v>
      </x:c>
      <x:c r="I16" s="41" t="n">
        <x:v>288</x:v>
      </x:c>
      <x:c r="J16" s="37" t="n">
        <x:v>28512</x:v>
      </x:c>
      <x:c r="K16" s="37" t="n">
        <x:v>6336</x:v>
      </x:c>
      <x:c r="L16" s="37" t="n">
        <x:v>5981.68</x:v>
      </x:c>
      <x:c r="M16" s="37" t="n">
        <x:v>99</x:v>
      </x:c>
      <x:c r="N16" s="37" t="n">
        <x:v>22</x:v>
      </x:c>
      <x:c r="O16" s="37" t="n">
        <x:v>20.77</x:v>
      </x:c>
      <x:c r="P16" s="40" t="n">
        <x:v>0.20979511111111104</x:v>
      </x:c>
      <x:c r="Q16" s="32" t="str"/>
      <x:c r="R16" s="32" t="str">
        <x:v>穩定貢獻</x:v>
      </x:c>
    </x:row>
    <x:row r="17">
      <x:c r="A17" s="32" t="n">
        <x:v>16</x:v>
      </x:c>
      <x:c r="B17" s="32" t="n">
        <x:v>16</x:v>
      </x:c>
      <x:c r="C17" s="32" t="n">
        <x:v>16</x:v>
      </x:c>
      <x:c r="D17" s="32" t="str">
        <x:v>原味黑糖</x:v>
      </x:c>
      <x:c r="E17" s="32" t="str">
        <x:v>直售</x:v>
      </x:c>
      <x:c r="F17" s="32" t="str">
        <x:v>手切</x:v>
      </x:c>
      <x:c r="G17" s="32" t="str">
        <x:v>手切台斤</x:v>
      </x:c>
      <x:c r="H17" s="32" t="str">
        <x:v>600g</x:v>
      </x:c>
      <x:c r="I17" s="41" t="n">
        <x:v>240</x:v>
      </x:c>
      <x:c r="J17" s="37" t="n">
        <x:v>24000</x:v>
      </x:c>
      <x:c r="K17" s="37" t="n">
        <x:v>5040</x:v>
      </x:c>
      <x:c r="L17" s="37" t="n">
        <x:v>5328.42</x:v>
      </x:c>
      <x:c r="M17" s="37" t="n">
        <x:v>100</x:v>
      </x:c>
      <x:c r="N17" s="37" t="n">
        <x:v>21</x:v>
      </x:c>
      <x:c r="O17" s="37" t="n">
        <x:v>22.2</x:v>
      </x:c>
      <x:c r="P17" s="40" t="n">
        <x:v>0.2220173333333333</x:v>
      </x:c>
      <x:c r="Q17" s="32" t="str"/>
      <x:c r="R17" s="32" t="str">
        <x:v>穩定貢獻</x:v>
      </x:c>
    </x:row>
    <x:row r="18">
      <x:c r="A18" s="32" t="n">
        <x:v>17</x:v>
      </x:c>
      <x:c r="B18" s="32" t="n">
        <x:v>17</x:v>
      </x:c>
      <x:c r="C18" s="32" t="n">
        <x:v>17</x:v>
      </x:c>
      <x:c r="D18" s="32" t="str">
        <x:v>桂圓黑糖</x:v>
      </x:c>
      <x:c r="E18" s="32" t="str">
        <x:v>批發</x:v>
      </x:c>
      <x:c r="F18" s="32" t="str">
        <x:v>台糖</x:v>
      </x:c>
      <x:c r="G18" s="32" t="str">
        <x:v>手切夾鏈袋</x:v>
      </x:c>
      <x:c r="H18" s="32" t="str">
        <x:v>380g</x:v>
      </x:c>
      <x:c r="I18" s="41" t="n">
        <x:v>163</x:v>
      </x:c>
      <x:c r="J18" s="37" t="n">
        <x:v>21190</x:v>
      </x:c>
      <x:c r="K18" s="37" t="n">
        <x:v>4890</x:v>
      </x:c>
      <x:c r="L18" s="37" t="n">
        <x:v>4264.45</x:v>
      </x:c>
      <x:c r="M18" s="37" t="n">
        <x:v>130</x:v>
      </x:c>
      <x:c r="N18" s="37" t="n">
        <x:v>30</x:v>
      </x:c>
      <x:c r="O18" s="37" t="n">
        <x:v>26.16</x:v>
      </x:c>
      <x:c r="P18" s="40" t="n">
        <x:v>0.2012481025641025</x:v>
      </x:c>
      <x:c r="Q18" s="32" t="str"/>
      <x:c r="R18" s="32" t="str">
        <x:v>穩定貢獻</x:v>
      </x:c>
    </x:row>
    <x:row r="19">
      <x:c r="A19" s="32" t="n">
        <x:v>18</x:v>
      </x:c>
      <x:c r="B19" s="32" t="n">
        <x:v>18</x:v>
      </x:c>
      <x:c r="C19" s="32" t="n">
        <x:v>18</x:v>
      </x:c>
      <x:c r="D19" s="32" t="str">
        <x:v>桂圓黑糖</x:v>
      </x:c>
      <x:c r="E19" s="32" t="str">
        <x:v>直售</x:v>
      </x:c>
      <x:c r="F19" s="32" t="str">
        <x:v>手切</x:v>
      </x:c>
      <x:c r="G19" s="32" t="str">
        <x:v>手切台斤</x:v>
      </x:c>
      <x:c r="H19" s="32" t="str">
        <x:v>600g</x:v>
      </x:c>
      <x:c r="I19" s="41" t="n">
        <x:v>120</x:v>
      </x:c>
      <x:c r="J19" s="37" t="n">
        <x:v>16800</x:v>
      </x:c>
      <x:c r="K19" s="37" t="n">
        <x:v>3960</x:v>
      </x:c>
      <x:c r="L19" s="37" t="n">
        <x:v>3297.89</x:v>
      </x:c>
      <x:c r="M19" s="37" t="n">
        <x:v>140</x:v>
      </x:c>
      <x:c r="N19" s="37" t="n">
        <x:v>33</x:v>
      </x:c>
      <x:c r="O19" s="37" t="n">
        <x:v>27.48</x:v>
      </x:c>
      <x:c r="P19" s="40" t="n">
        <x:v>0.19630304761904763</x:v>
      </x:c>
      <x:c r="Q19" s="32" t="str"/>
      <x:c r="R19" s="32" t="str">
        <x:v>穩定貢獻</x:v>
      </x:c>
    </x:row>
    <x:row r="20">
      <x:c r="A20" s="32" t="n">
        <x:v>19</x:v>
      </x:c>
      <x:c r="B20" s="32" t="n">
        <x:v>19</x:v>
      </x:c>
      <x:c r="C20" s="32" t="n">
        <x:v>20</x:v>
      </x:c>
      <x:c r="D20" s="32" t="str">
        <x:v>梅精黑糖</x:v>
      </x:c>
      <x:c r="E20" s="32" t="str">
        <x:v>蜜類</x:v>
      </x:c>
      <x:c r="F20" s="32" t="str">
        <x:v>蜜類</x:v>
      </x:c>
      <x:c r="G20" s="32" t="str">
        <x:v>蜜類瓶裝</x:v>
      </x:c>
      <x:c r="H20" s="32" t="str">
        <x:v>150ml</x:v>
      </x:c>
      <x:c r="I20" s="41" t="n">
        <x:v>109</x:v>
      </x:c>
      <x:c r="J20" s="37" t="n">
        <x:v>15587</x:v>
      </x:c>
      <x:c r="K20" s="37" t="n">
        <x:v>5123</x:v>
      </x:c>
      <x:c r="L20" s="37" t="n">
        <x:v>1610.85</x:v>
      </x:c>
      <x:c r="M20" s="37" t="n">
        <x:v>143</x:v>
      </x:c>
      <x:c r="N20" s="37" t="n">
        <x:v>47</x:v>
      </x:c>
      <x:c r="O20" s="37" t="n">
        <x:v>14.78</x:v>
      </x:c>
      <x:c r="P20" s="40" t="n">
        <x:v>0.1033460046620046</x:v>
      </x:c>
      <x:c r="Q20" s="32" t="str"/>
      <x:c r="R20" s="32" t="str">
        <x:v>穩定貢獻</x:v>
      </x:c>
    </x:row>
    <x:row r="21">
      <x:c r="A21" s="32" t="n">
        <x:v>20</x:v>
      </x:c>
      <x:c r="B21" s="32" t="n">
        <x:v>20</x:v>
      </x:c>
      <x:c r="C21" s="32" t="n">
        <x:v>19</x:v>
      </x:c>
      <x:c r="D21" s="32" t="str">
        <x:v>冬瓜</x:v>
      </x:c>
      <x:c r="E21" s="32" t="str">
        <x:v>批發</x:v>
      </x:c>
      <x:c r="F21" s="32" t="str">
        <x:v>台糖</x:v>
      </x:c>
      <x:c r="G21" s="32" t="str">
        <x:v>單顆包裝夾鏈袋</x:v>
      </x:c>
      <x:c r="H21" s="32" t="str">
        <x:v>260g</x:v>
      </x:c>
      <x:c r="I21" s="41" t="n">
        <x:v>98</x:v>
      </x:c>
      <x:c r="J21" s="37" t="n">
        <x:v>13720</x:v>
      </x:c>
      <x:c r="K21" s="37" t="n">
        <x:v>2744</x:v>
      </x:c>
      <x:c r="L21" s="37" t="n">
        <x:v>3183.28</x:v>
      </x:c>
      <x:c r="M21" s="37" t="n">
        <x:v>140</x:v>
      </x:c>
      <x:c r="N21" s="37" t="n">
        <x:v>28</x:v>
      </x:c>
      <x:c r="O21" s="37" t="n">
        <x:v>32.48</x:v>
      </x:c>
      <x:c r="P21" s="40" t="n">
        <x:v>0.23201733333333335</x:v>
      </x:c>
      <x:c r="Q21" s="32" t="str"/>
      <x:c r="R21" s="32" t="str">
        <x:v>穩定貢獻</x:v>
      </x:c>
    </x:row>
    <x:row r="22">
      <x:c r="A22" s="32" t="n">
        <x:v>21</x:v>
      </x:c>
      <x:c r="B22" s="32" t="n">
        <x:v>21</x:v>
      </x:c>
      <x:c r="C22" s="32" t="n">
        <x:v>25</x:v>
      </x:c>
      <x:c r="D22" s="32" t="str">
        <x:v>黑糖檸檬</x:v>
      </x:c>
      <x:c r="E22" s="32" t="str">
        <x:v>蜜類</x:v>
      </x:c>
      <x:c r="F22" s="32" t="str">
        <x:v>蜜類</x:v>
      </x:c>
      <x:c r="G22" s="32" t="str">
        <x:v>蜜類瓶裝</x:v>
      </x:c>
      <x:c r="H22" s="32" t="str">
        <x:v>150ml</x:v>
      </x:c>
      <x:c r="I22" s="41" t="n">
        <x:v>63</x:v>
      </x:c>
      <x:c r="J22" s="37" t="n">
        <x:v>7371</x:v>
      </x:c>
      <x:c r="K22" s="37" t="n">
        <x:v>3231.9</x:v>
      </x:c>
      <x:c r="L22" s="37" t="n">
        <x:v>-47.5</x:v>
      </x:c>
      <x:c r="M22" s="37" t="n">
        <x:v>117</x:v>
      </x:c>
      <x:c r="N22" s="37" t="n">
        <x:v>51.3</x:v>
      </x:c>
      <x:c r="O22" s="37" t="n">
        <x:v>-0.75</x:v>
      </x:c>
      <x:c r="P22" s="40" t="n">
        <x:v>-0.006444205128205167</x:v>
      </x:c>
      <x:c r="Q22" s="32" t="str">
        <x:v>negative_profit</x:v>
      </x:c>
      <x:c r="R22" s="32" t="str">
        <x:v>虧損風險</x:v>
      </x:c>
    </x:row>
    <x:row r="23">
      <x:c r="A23" s="32" t="n">
        <x:v>22</x:v>
      </x:c>
      <x:c r="B23" s="32" t="n">
        <x:v>24</x:v>
      </x:c>
      <x:c r="C23" s="32" t="n">
        <x:v>21</x:v>
      </x:c>
      <x:c r="D23" s="32" t="str">
        <x:v>玫瑰四物黑糖</x:v>
      </x:c>
      <x:c r="E23" s="32" t="str">
        <x:v>直售</x:v>
      </x:c>
      <x:c r="F23" s="32" t="str">
        <x:v>手切</x:v>
      </x:c>
      <x:c r="G23" s="32" t="str">
        <x:v>手切台斤</x:v>
      </x:c>
      <x:c r="H23" s="32" t="str">
        <x:v>600g</x:v>
      </x:c>
      <x:c r="I23" s="41" t="n">
        <x:v>40</x:v>
      </x:c>
      <x:c r="J23" s="37" t="n">
        <x:v>5200</x:v>
      </x:c>
      <x:c r="K23" s="37" t="n">
        <x:v>1040</x:v>
      </x:c>
      <x:c r="L23" s="37" t="n">
        <x:v>1206.49</x:v>
      </x:c>
      <x:c r="M23" s="37" t="n">
        <x:v>130</x:v>
      </x:c>
      <x:c r="N23" s="37" t="n">
        <x:v>26</x:v>
      </x:c>
      <x:c r="O23" s="37" t="n">
        <x:v>30.16</x:v>
      </x:c>
      <x:c r="P23" s="40" t="n">
        <x:v>0.23201733333333327</x:v>
      </x:c>
      <x:c r="Q23" s="32" t="str"/>
      <x:c r="R23" s="32" t="str">
        <x:v>穩定貢獻</x:v>
      </x:c>
    </x:row>
    <x:row r="24">
      <x:c r="A24" s="32" t="n">
        <x:v>23</x:v>
      </x:c>
      <x:c r="B24" s="32" t="n">
        <x:v>25</x:v>
      </x:c>
      <x:c r="C24" s="32" t="n">
        <x:v>22</x:v>
      </x:c>
      <x:c r="D24" s="32" t="str">
        <x:v>百香果黑糖</x:v>
      </x:c>
      <x:c r="E24" s="32" t="str">
        <x:v>蜜類</x:v>
      </x:c>
      <x:c r="F24" s="32" t="str">
        <x:v>蜜類</x:v>
      </x:c>
      <x:c r="G24" s="32" t="str">
        <x:v>蜜類瓶裝</x:v>
      </x:c>
      <x:c r="H24" s="32" t="str">
        <x:v>150ml</x:v>
      </x:c>
      <x:c r="I24" s="41" t="n">
        <x:v>40</x:v>
      </x:c>
      <x:c r="J24" s="37" t="n">
        <x:v>4680</x:v>
      </x:c>
      <x:c r="K24" s="37" t="n">
        <x:v>1920</x:v>
      </x:c>
      <x:c r="L24" s="37" t="n">
        <x:v>101.84</x:v>
      </x:c>
      <x:c r="M24" s="37" t="n">
        <x:v>117</x:v>
      </x:c>
      <x:c r="N24" s="37" t="n">
        <x:v>48</x:v>
      </x:c>
      <x:c r="O24" s="37" t="n">
        <x:v>2.55</x:v>
      </x:c>
      <x:c r="P24" s="40" t="n">
        <x:v>0.021760923076923015</x:v>
      </x:c>
      <x:c r="Q24" s="32" t="str"/>
      <x:c r="R24" s="32" t="str">
        <x:v>穩定貢獻</x:v>
      </x:c>
    </x:row>
    <x:row r="25">
      <x:c r="A25" s="32" t="n">
        <x:v>24</x:v>
      </x:c>
      <x:c r="B25" s="32" t="n">
        <x:v>22</x:v>
      </x:c>
      <x:c r="C25" s="32" t="n">
        <x:v>23</x:v>
      </x:c>
      <x:c r="D25" s="32" t="str">
        <x:v>黑糖蜜</x:v>
      </x:c>
      <x:c r="E25" s="32" t="str">
        <x:v>蜜類</x:v>
      </x:c>
      <x:c r="F25" s="32" t="str">
        <x:v>蜜類</x:v>
      </x:c>
      <x:c r="G25" s="32" t="str">
        <x:v>蜜類瓶裝</x:v>
      </x:c>
      <x:c r="H25" s="32" t="str">
        <x:v>1890ml</x:v>
      </x:c>
      <x:c r="I25" s="41" t="n">
        <x:v>50</x:v>
      </x:c>
      <x:c r="J25" s="37" t="n">
        <x:v>0</x:v>
      </x:c>
      <x:c r="K25" s="37" t="n">
        <x:v>0</x:v>
      </x:c>
      <x:c r="L25" s="37" t="n">
        <x:v>0</x:v>
      </x:c>
      <x:c r="M25" s="37" t="n">
        <x:v>0</x:v>
      </x:c>
      <x:c r="N25" s="37"/>
      <x:c r="O25" s="37" t="n">
        <x:v>0</x:v>
      </x:c>
      <x:c r="P25" s="40"/>
      <x:c r="Q25" s="32" t="str">
        <x:v>missing_price;missing_cost;zero_reported_revenue</x:v>
      </x:c>
      <x:c r="R25" s="32" t="str">
        <x:v>成本待補</x:v>
      </x:c>
    </x:row>
    <x:row r="26">
      <x:c r="A26" s="32" t="n">
        <x:v>25</x:v>
      </x:c>
      <x:c r="B26" s="32" t="n">
        <x:v>23</x:v>
      </x:c>
      <x:c r="C26" s="32" t="n">
        <x:v>24</x:v>
      </x:c>
      <x:c r="D26" s="32" t="str">
        <x:v>梅精黑糖</x:v>
      </x:c>
      <x:c r="E26" s="32" t="str">
        <x:v>蜜類</x:v>
      </x:c>
      <x:c r="F26" s="32" t="str">
        <x:v>蜜類</x:v>
      </x:c>
      <x:c r="G26" s="32" t="str">
        <x:v>蜜類瓶裝</x:v>
      </x:c>
      <x:c r="H26" s="32" t="str">
        <x:v>1890ml</x:v>
      </x:c>
      <x:c r="I26" s="41" t="n">
        <x:v>45</x:v>
      </x:c>
      <x:c r="J26" s="37" t="n">
        <x:v>0</x:v>
      </x:c>
      <x:c r="K26" s="37" t="n">
        <x:v>0</x:v>
      </x:c>
      <x:c r="L26" s="37" t="n">
        <x:v>0</x:v>
      </x:c>
      <x:c r="M26" s="37" t="n">
        <x:v>0</x:v>
      </x:c>
      <x:c r="N26" s="37"/>
      <x:c r="O26" s="37" t="n">
        <x:v>0</x:v>
      </x:c>
      <x:c r="P26" s="40"/>
      <x:c r="Q26" s="32" t="str">
        <x:v>missing_price;missing_cost;zero_reported_revenue</x:v>
      </x:c>
      <x:c r="R26" s="32" t="str">
        <x:v>成本待補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800000190734863" hidden="0" customWidth="1"/>
    <x:col min="2" max="2" width="18.170000076293945" hidden="0" customWidth="1"/>
    <x:col min="3" max="3" width="11.4399995803833" hidden="0" customWidth="1"/>
    <x:col min="4" max="4" width="16.149999618530273" hidden="0" customWidth="1"/>
    <x:col min="5" max="5" width="16.149999618530273" hidden="0" customWidth="1"/>
    <x:col min="6" max="6" width="16.149999618530273" hidden="0" customWidth="1"/>
    <x:col min="7" max="7" width="17.5" hidden="0" customWidth="1"/>
    <x:col min="8" max="8" width="17.5" hidden="0" customWidth="1"/>
    <x:col min="9" max="9" width="13.460000038146973" hidden="0" customWidth="1"/>
    <x:col min="10" max="10" width="11.4399995803833" hidden="0" customWidth="1"/>
    <x:col min="11" max="11" width="13.460000038146973" hidden="0" customWidth="1"/>
    <x:col min="12" max="12" width="12.109999656677246" hidden="0" customWidth="1"/>
    <x:col min="13" max="13" width="16.81999969482422" hidden="0" customWidth="1"/>
  </x:cols>
  <x:sheetData>
    <x:row r="1">
      <x:c r="A1" s="45" t="str">
        <x:v>channel_type</x:v>
      </x:c>
      <x:c r="B1" s="45" t="str">
        <x:v>channel_name</x:v>
      </x:c>
      <x:c r="C1" s="45" t="str">
        <x:v>units</x:v>
      </x:c>
      <x:c r="D1" s="45" t="str">
        <x:v>revenue</x:v>
      </x:c>
      <x:c r="E1" s="45" t="str">
        <x:v>product_cogs_total</x:v>
      </x:c>
      <x:c r="F1" s="45" t="str">
        <x:v>gross_profit_total</x:v>
      </x:c>
      <x:c r="G1" s="45" t="str">
        <x:v>expense_subtotal_total</x:v>
      </x:c>
      <x:c r="H1" s="45" t="str">
        <x:v>contribution_profit</x:v>
      </x:c>
      <x:c r="I1" s="45" t="str">
        <x:v>average_price</x:v>
      </x:c>
      <x:c r="J1" s="45" t="str">
        <x:v>net_margin</x:v>
      </x:c>
      <x:c r="K1" s="45" t="str">
        <x:v>missing_cost_rows</x:v>
      </x:c>
      <x:c r="L1" s="45" t="str">
        <x:v>negative_rows</x:v>
      </x:c>
      <x:c r="M1" s="45" t="str">
        <x:v>diagnosis</x:v>
      </x:c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</x:row>
    <x:row r="2">
      <x:c r="A2" s="32" t="str">
        <x:v>貼牌</x:v>
      </x:c>
      <x:c r="B2" s="32" t="str">
        <x:v>埔里農會</x:v>
      </x:c>
      <x:c r="C2" s="41" t="n">
        <x:v>3564</x:v>
      </x:c>
      <x:c r="D2" s="37" t="n">
        <x:v>367092</x:v>
      </x:c>
      <x:c r="E2" s="37" t="n">
        <x:v>91908</x:v>
      </x:c>
      <x:c r="F2" s="37" t="n">
        <x:v>275184</x:v>
      </x:c>
      <x:c r="G2" s="37" t="n">
        <x:v>208501.89</x:v>
      </x:c>
      <x:c r="H2" s="37" t="n">
        <x:v>66682.11</x:v>
      </x:c>
      <x:c r="I2" s="37" t="n">
        <x:v>103</x:v>
      </x:c>
      <x:c r="J2" s="40" t="n">
        <x:v>0.18164957811120916</x:v>
      </x:c>
      <x:c r="K2" s="41" t="n">
        <x:v>0</x:v>
      </x:c>
      <x:c r="L2" s="41" t="n">
        <x:v>0</x:v>
      </x:c>
      <x:c r="M2" s="32" t="str">
        <x:v>淨利主力</x:v>
      </x:c>
    </x:row>
    <x:row r="3">
      <x:c r="A3" s="32" t="str">
        <x:v>蜜類</x:v>
      </x:c>
      <x:c r="B3" s="32" t="str">
        <x:v>蜜類</x:v>
      </x:c>
      <x:c r="C3" s="41" t="n">
        <x:v>2669</x:v>
      </x:c>
      <x:c r="D3" s="37" t="n">
        <x:v>334698</x:v>
      </x:c>
      <x:c r="E3" s="37" t="n">
        <x:v>101448.1</x:v>
      </x:c>
      <x:c r="F3" s="37" t="n">
        <x:v>233249.9</x:v>
      </x:c>
      <x:c r="G3" s="37" t="n">
        <x:v>190102.66</x:v>
      </x:c>
      <x:c r="H3" s="37" t="n">
        <x:v>43147.24</x:v>
      </x:c>
      <x:c r="I3" s="37" t="n">
        <x:v>125.4</x:v>
      </x:c>
      <x:c r="J3" s="40" t="n">
        <x:v>0.12891393863124365</x:v>
      </x:c>
      <x:c r="K3" s="41" t="n">
        <x:v>2</x:v>
      </x:c>
      <x:c r="L3" s="41" t="n">
        <x:v>1</x:v>
      </x:c>
      <x:c r="M3" s="32" t="str">
        <x:v>成本待補</x:v>
      </x:c>
    </x:row>
    <x:row r="4">
      <x:c r="A4" s="32" t="str">
        <x:v>OEM</x:v>
      </x:c>
      <x:c r="B4" s="32" t="str">
        <x:v>科技中藥廠</x:v>
      </x:c>
      <x:c r="C4" s="41" t="n">
        <x:v>2360</x:v>
      </x:c>
      <x:c r="D4" s="37" t="n">
        <x:v>264320</x:v>
      </x:c>
      <x:c r="E4" s="37" t="n">
        <x:v>108560</x:v>
      </x:c>
      <x:c r="F4" s="37" t="n">
        <x:v>155760</x:v>
      </x:c>
      <x:c r="G4" s="37" t="n">
        <x:v>150129.18</x:v>
      </x:c>
      <x:c r="H4" s="37" t="n">
        <x:v>5630.82</x:v>
      </x:c>
      <x:c r="I4" s="37" t="n">
        <x:v>112</x:v>
      </x:c>
      <x:c r="J4" s="40" t="n">
        <x:v>0.021303047619047572</x:v>
      </x:c>
      <x:c r="K4" s="41" t="n">
        <x:v>0</x:v>
      </x:c>
      <x:c r="L4" s="41" t="n">
        <x:v>0</x:v>
      </x:c>
      <x:c r="M4" s="32" t="str">
        <x:v>高營收低淨利</x:v>
      </x:c>
    </x:row>
    <x:row r="5">
      <x:c r="A5" s="32" t="str">
        <x:v>批發</x:v>
      </x:c>
      <x:c r="B5" s="32" t="str">
        <x:v>農會</x:v>
      </x:c>
      <x:c r="C5" s="41" t="n">
        <x:v>1872</x:v>
      </x:c>
      <x:c r="D5" s="37" t="n">
        <x:v>214992</x:v>
      </x:c>
      <x:c r="E5" s="37" t="n">
        <x:v>47340</x:v>
      </x:c>
      <x:c r="F5" s="37" t="n">
        <x:v>167652</x:v>
      </x:c>
      <x:c r="G5" s="37" t="n">
        <x:v>122111.73</x:v>
      </x:c>
      <x:c r="H5" s="37" t="n">
        <x:v>45540.27</x:v>
      </x:c>
      <x:c r="I5" s="37" t="n">
        <x:v>114.85</x:v>
      </x:c>
      <x:c r="J5" s="40" t="n">
        <x:v>0.2118230935476669</x:v>
      </x:c>
      <x:c r="K5" s="41" t="n">
        <x:v>0</x:v>
      </x:c>
      <x:c r="L5" s="41" t="n">
        <x:v>0</x:v>
      </x:c>
      <x:c r="M5" s="32" t="str">
        <x:v>高毛利主力</x:v>
      </x:c>
    </x:row>
    <x:row r="6">
      <x:c r="A6" s="32" t="str">
        <x:v>批發</x:v>
      </x:c>
      <x:c r="B6" s="32" t="str">
        <x:v>台糖</x:v>
      </x:c>
      <x:c r="C6" s="41" t="n">
        <x:v>1454</x:v>
      </x:c>
      <x:c r="D6" s="37" t="n">
        <x:v>183945</x:v>
      </x:c>
      <x:c r="E6" s="37" t="n">
        <x:v>37945</x:v>
      </x:c>
      <x:c r="F6" s="37" t="n">
        <x:v>146000</x:v>
      </x:c>
      <x:c r="G6" s="37" t="n">
        <x:v>104477.57</x:v>
      </x:c>
      <x:c r="H6" s="37" t="n">
        <x:v>41522.43</x:v>
      </x:c>
      <x:c r="I6" s="37" t="n">
        <x:v>126.51</x:v>
      </x:c>
      <x:c r="J6" s="40" t="n">
        <x:v>0.2257328461224822</x:v>
      </x:c>
      <x:c r="K6" s="41" t="n">
        <x:v>0</x:v>
      </x:c>
      <x:c r="L6" s="41" t="n">
        <x:v>0</x:v>
      </x:c>
      <x:c r="M6" s="32" t="str">
        <x:v>高毛利主力</x:v>
      </x:c>
    </x:row>
    <x:row r="7">
      <x:c r="A7" s="32" t="str">
        <x:v>直售</x:v>
      </x:c>
      <x:c r="B7" s="32" t="str">
        <x:v>手切</x:v>
      </x:c>
      <x:c r="C7" s="41" t="n">
        <x:v>1420</x:v>
      </x:c>
      <x:c r="D7" s="37" t="n">
        <x:v>158200</x:v>
      </x:c>
      <x:c r="E7" s="37" t="n">
        <x:v>37580</x:v>
      </x:c>
      <x:c r="F7" s="37" t="n">
        <x:v>120620</x:v>
      </x:c>
      <x:c r="G7" s="37" t="n">
        <x:v>89854.86</x:v>
      </x:c>
      <x:c r="H7" s="37" t="n">
        <x:v>30765.14</x:v>
      </x:c>
      <x:c r="I7" s="37" t="n">
        <x:v>111.41</x:v>
      </x:c>
      <x:c r="J7" s="40" t="n">
        <x:v>0.19446992498946478</x:v>
      </x:c>
      <x:c r="K7" s="41" t="n">
        <x:v>0</x:v>
      </x:c>
      <x:c r="L7" s="41" t="n">
        <x:v>0</x:v>
      </x:c>
      <x:c r="M7" s="32" t="str">
        <x:v>淨利主力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8.84000015258789" hidden="0" customWidth="1"/>
    <x:col min="3" max="3" width="16.149999618530273" hidden="0" customWidth="1"/>
    <x:col min="4" max="4" width="14.800000190734863" hidden="0" customWidth="1"/>
    <x:col min="5" max="5" width="12.109999656677246" hidden="0" customWidth="1"/>
    <x:col min="6" max="6" width="34.31999969482422" hidden="0" customWidth="1"/>
    <x:col min="7" max="7" width="47.779998779296875" hidden="0" customWidth="1"/>
  </x:cols>
  <x:sheetData>
    <x:row r="1">
      <x:c r="A1" s="45" t="str">
        <x:v>source_row</x:v>
      </x:c>
      <x:c r="B1" s="45" t="str">
        <x:v>item</x:v>
      </x:c>
      <x:c r="C1" s="45" t="str">
        <x:v>annual_cost</x:v>
      </x:c>
      <x:c r="D1" s="45" t="str">
        <x:v>raw_amount</x:v>
      </x:c>
      <x:c r="E1" s="45" t="str">
        <x:v>status</x:v>
      </x:c>
      <x:c r="F1" s="45" t="str">
        <x:v>content</x:v>
      </x:c>
      <x:c r="G1" s="45" t="str">
        <x:v>note</x:v>
      </x:c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</x:row>
    <x:row r="2">
      <x:c r="A2" s="32" t="n">
        <x:v>2</x:v>
      </x:c>
      <x:c r="B2" s="32" t="str">
        <x:v>保險費</x:v>
      </x:c>
      <x:c r="C2" s="37" t="n">
        <x:v>4000</x:v>
      </x:c>
      <x:c r="D2" s="32" t="str">
        <x:v>4000</x:v>
      </x:c>
      <x:c r="E2" s="32" t="str">
        <x:v>confirmed</x:v>
      </x:c>
      <x:c r="F2" s="32" t="str">
        <x:v>產品投保責任險</x:v>
      </x:c>
      <x:c r="G2" s="32" t="str"/>
    </x:row>
    <x:row r="3">
      <x:c r="A3" s="32" t="n">
        <x:v>3</x:v>
      </x:c>
      <x:c r="B3" s="32" t="str">
        <x:v>產品條碼</x:v>
      </x:c>
      <x:c r="C3" s="37" t="n">
        <x:v>5667</x:v>
      </x:c>
      <x:c r="D3" s="32" t="str">
        <x:v>5667</x:v>
      </x:c>
      <x:c r="E3" s="32" t="str">
        <x:v>confirmed</x:v>
      </x:c>
      <x:c r="F3" s="32" t="str"/>
      <x:c r="G3" s="32" t="str">
        <x:v>條碼使用期限3年，3年後需繳交17000元</x:v>
      </x:c>
    </x:row>
    <x:row r="4">
      <x:c r="A4" s="32" t="n">
        <x:v>4</x:v>
      </x:c>
      <x:c r="B4" s="32" t="str">
        <x:v>記帳士費用</x:v>
      </x:c>
      <x:c r="C4" s="37" t="n">
        <x:v>20400</x:v>
      </x:c>
      <x:c r="D4" s="32" t="str">
        <x:v>20400</x:v>
      </x:c>
      <x:c r="E4" s="32" t="str">
        <x:v>confirmed</x:v>
      </x:c>
      <x:c r="F4" s="32" t="str">
        <x:v>外請記帳士協助每月報帳事宜</x:v>
      </x:c>
      <x:c r="G4" s="32" t="str">
        <x:v>鐵比倫花園1200/月、鐵比倫有限公司6000/年</x:v>
      </x:c>
    </x:row>
    <x:row r="5">
      <x:c r="A5" s="32" t="n">
        <x:v>5</x:v>
      </x:c>
      <x:c r="B5" s="32" t="str">
        <x:v>油資</x:v>
      </x:c>
      <x:c r="C5" s="37" t="n">
        <x:v>3600</x:v>
      </x:c>
      <x:c r="D5" s="32" t="str">
        <x:v>3600</x:v>
      </x:c>
      <x:c r="E5" s="32" t="str">
        <x:v>confirmed</x:v>
      </x:c>
      <x:c r="F5" s="32" t="str">
        <x:v>概括平均300/月</x:v>
      </x:c>
      <x:c r="G5" s="32" t="str">
        <x:v>埔里地區目前親送的廠商，包含酒廠、農會、九族、日月町</x:v>
      </x:c>
    </x:row>
    <x:row r="6">
      <x:c r="A6" s="32" t="n">
        <x:v>6</x:v>
      </x:c>
      <x:c r="B6" s="32" t="str">
        <x:v>人事費</x:v>
      </x:c>
      <x:c r="C6" s="37" t="n">
        <x:v>1400000</x:v>
      </x:c>
      <x:c r="D6" s="32" t="str">
        <x:v>1400000</x:v>
      </x:c>
      <x:c r="E6" s="32" t="str">
        <x:v>confirmed</x:v>
      </x:c>
      <x:c r="F6" s="32" t="str">
        <x:v>正職*2+PT</x:v>
      </x:c>
      <x:c r="G6" s="32" t="str">
        <x:v>-正職*2(我都先算5萬)
50000*2*12 = 1,200,000 
-PT/年=200000
1200000+200000 = 1,400,000</x:v>
      </x:c>
    </x:row>
    <x:row r="7">
      <x:c r="A7" s="32" t="n">
        <x:v>7</x:v>
      </x:c>
      <x:c r="B7" s="32" t="str">
        <x:v>房租 (倉庫)</x:v>
      </x:c>
      <x:c r="C7" s="37" t="n">
        <x:v>60000</x:v>
      </x:c>
      <x:c r="D7" s="32" t="str">
        <x:v>60000</x:v>
      </x:c>
      <x:c r="E7" s="32" t="str">
        <x:v>confirmed</x:v>
      </x:c>
      <x:c r="F7" s="32" t="str">
        <x:v>5000/月</x:v>
      </x:c>
      <x:c r="G7" s="32" t="str">
        <x:v>工廠是自己的，旁邊倉庫是租借的</x:v>
      </x:c>
    </x:row>
    <x:row r="8">
      <x:c r="A8" s="32" t="n">
        <x:v>8</x:v>
      </x:c>
      <x:c r="B8" s="32" t="str">
        <x:v>運費</x:v>
      </x:c>
      <x:c r="C8" s="37" t="n">
        <x:v>34574</x:v>
      </x:c>
      <x:c r="D8" s="32" t="str">
        <x:v>34574</x:v>
      </x:c>
      <x:c r="E8" s="32" t="str">
        <x:v>confirmed</x:v>
      </x:c>
      <x:c r="F8" s="32" t="str">
        <x:v>新竹物流運費</x:v>
      </x:c>
      <x:c r="G8" s="32" t="str">
        <x:v>此為114年總運費金額</x:v>
      </x:c>
    </x:row>
    <x:row r="9">
      <x:c r="A9" s="32" t="n">
        <x:v>9</x:v>
      </x:c>
      <x:c r="B9" s="32" t="str">
        <x:v>官網</x:v>
      </x:c>
      <x:c r="C9" s="37" t="n">
        <x:v>4200</x:v>
      </x:c>
      <x:c r="D9" s="32" t="str">
        <x:v>4200</x:v>
      </x:c>
      <x:c r="E9" s="32" t="str">
        <x:v>confirmed</x:v>
      </x:c>
      <x:c r="F9" s="32" t="str">
        <x:v>QDM 年費</x:v>
      </x:c>
      <x:c r="G9" s="32" t="str"/>
    </x:row>
    <x:row r="10">
      <x:c r="A10" s="32" t="n">
        <x:v>10</x:v>
      </x:c>
      <x:c r="B10" s="32" t="str">
        <x:v>雜支</x:v>
      </x:c>
      <x:c r="C10" s="37"/>
      <x:c r="D10" s="32" t="str"/>
      <x:c r="E10" s="32" t="str">
        <x:v>blank</x:v>
      </x:c>
      <x:c r="F10" s="32" t="str"/>
      <x:c r="G10" s="32" t="str">
        <x:v>車輛保養維修、辦公用具採買、生產用消耗品...等</x:v>
      </x:c>
    </x:row>
    <x:row r="11">
      <x:c r="A11" s="32" t="n">
        <x:v>11</x:v>
      </x:c>
      <x:c r="B11" s="32" t="str">
        <x:v>設備攤提</x:v>
      </x:c>
      <x:c r="C11" s="37"/>
      <x:c r="D11" s="32" t="str"/>
      <x:c r="E11" s="32" t="str">
        <x:v>blank</x:v>
      </x:c>
      <x:c r="F11" s="32" t="str"/>
      <x:c r="G11" s="32" t="str"/>
    </x:row>
    <x:row r="12">
      <x:c r="A12" s="32" t="n">
        <x:v>12</x:v>
      </x:c>
      <x:c r="B12" s="32" t="str">
        <x:v>水電費</x:v>
      </x:c>
      <x:c r="C12" s="37" t="n">
        <x:v>21507</x:v>
      </x:c>
      <x:c r="D12" s="32" t="str">
        <x:v>21507</x:v>
      </x:c>
      <x:c r="E12" s="32" t="str">
        <x:v>confirmed</x:v>
      </x:c>
      <x:c r="F12" s="32" t="str"/>
      <x:c r="G12" s="32" t="str">
        <x:v>此為114年總水電費金額</x:v>
      </x:c>
    </x:row>
    <x:row r="14">
      <x:c r="A14" s="42" t="str"/>
      <x:c r="B14" s="42" t="str">
        <x:v>已確認年度營業成本</x:v>
      </x:c>
      <x:c r="C14" s="43" t="n">
        <x:v>1553948</x:v>
      </x:c>
      <x:c r="D14" s="42" t="str"/>
      <x:c r="E14" s="42" t="str">
        <x:v>confirmed_total</x:v>
      </x:c>
      <x:c r="F14" s="42" t="str"/>
      <x:c r="G14" s="4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9.420000076293945" hidden="0" customWidth="1"/>
    <x:col min="3" max="3" width="27.59000015258789" hidden="0" customWidth="1"/>
    <x:col min="4" max="4" width="27.59000015258789" hidden="0" customWidth="1"/>
    <x:col min="5" max="5" width="12.109999656677246" hidden="0" customWidth="1"/>
    <x:col min="6" max="6" width="16.149999618530273" hidden="0" customWidth="1"/>
    <x:col min="7" max="7" width="18.84000015258789" hidden="0" customWidth="1"/>
    <x:col min="8" max="8" width="18.84000015258789" hidden="0" customWidth="1"/>
    <x:col min="9" max="9" width="17.5" hidden="0" customWidth="1"/>
    <x:col min="10" max="10" width="11.4399995803833" hidden="0" customWidth="1"/>
    <x:col min="11" max="11" width="8.079999923706055" hidden="0" customWidth="1"/>
    <x:col min="12" max="12" width="9.420000076293945" hidden="0" customWidth="1"/>
    <x:col min="13" max="13" width="11.4399995803833" hidden="0" customWidth="1"/>
    <x:col min="14" max="14" width="11.4399995803833" hidden="0" customWidth="1"/>
    <x:col min="15" max="15" width="13.460000038146973" hidden="0" customWidth="1"/>
    <x:col min="16" max="16" width="13.460000038146973" hidden="0" customWidth="1"/>
    <x:col min="17" max="17" width="15.479999542236328" hidden="0" customWidth="1"/>
    <x:col min="18" max="18" width="14.800000190734863" hidden="0" customWidth="1"/>
    <x:col min="19" max="19" width="15.479999542236328" hidden="0" customWidth="1"/>
    <x:col min="20" max="20" width="11.4399995803833" hidden="0" customWidth="1"/>
    <x:col min="21" max="21" width="16.81999969482422" hidden="0" customWidth="1"/>
    <x:col min="22" max="22" width="16.81999969482422" hidden="0" customWidth="1"/>
    <x:col min="23" max="23" width="13.460000038146973" hidden="0" customWidth="1"/>
    <x:col min="24" max="24" width="13.460000038146973" hidden="0" customWidth="1"/>
    <x:col min="25" max="25" width="16.81999969482422" hidden="0" customWidth="1"/>
    <x:col min="26" max="26" width="17.5" hidden="0" customWidth="1"/>
    <x:col min="27" max="27" width="16.81999969482422" hidden="0" customWidth="1"/>
    <x:col min="28" max="28" width="16.81999969482422" hidden="0" customWidth="1"/>
    <x:col min="29" max="29" width="16.149999618530273" hidden="0" customWidth="1"/>
    <x:col min="30" max="30" width="16.81999969482422" hidden="0" customWidth="1"/>
    <x:col min="31" max="31" width="18.170000076293945" hidden="0" customWidth="1"/>
    <x:col min="32" max="32" width="16.149999618530273" hidden="0" customWidth="1"/>
    <x:col min="33" max="33" width="15.479999542236328" hidden="0" customWidth="1"/>
    <x:col min="34" max="34" width="15.479999542236328" hidden="0" customWidth="1"/>
    <x:col min="35" max="35" width="15.479999542236328" hidden="0" customWidth="1"/>
    <x:col min="36" max="36" width="12.109999656677246" hidden="0" customWidth="1"/>
    <x:col min="37" max="37" width="12.109999656677246" hidden="0" customWidth="1"/>
    <x:col min="38" max="38" width="13.460000038146973" hidden="0" customWidth="1"/>
    <x:col min="39" max="39" width="15.479999542236328" hidden="0" customWidth="1"/>
    <x:col min="40" max="40" width="34.31999969482422" hidden="0" customWidth="1"/>
    <x:col min="41" max="41" width="27.59000015258789" hidden="0" customWidth="1"/>
  </x:cols>
  <x:sheetData>
    <x:row r="1">
      <x:c r="A1" s="45" t="str">
        <x:v>source_file</x:v>
      </x:c>
      <x:c r="B1" s="45" t="str">
        <x:v>source_row</x:v>
      </x:c>
      <x:c r="C1" s="45" t="str">
        <x:v>raw_route</x:v>
      </x:c>
      <x:c r="D1" s="45" t="str">
        <x:v>raw_moq</x:v>
      </x:c>
      <x:c r="E1" s="45" t="str">
        <x:v>channel_type</x:v>
      </x:c>
      <x:c r="F1" s="45" t="str">
        <x:v>channel_name</x:v>
      </x:c>
      <x:c r="G1" s="45" t="str">
        <x:v>product_name_raw</x:v>
      </x:c>
      <x:c r="H1" s="45" t="str">
        <x:v>product_name_std</x:v>
      </x:c>
      <x:c r="I1" s="45" t="str">
        <x:v>package_type</x:v>
      </x:c>
      <x:c r="J1" s="45" t="str">
        <x:v>unit_quantity</x:v>
      </x:c>
      <x:c r="K1" s="45" t="str">
        <x:v>unit</x:v>
      </x:c>
      <x:c r="L1" s="45" t="str">
        <x:v>sales_unit</x:v>
      </x:c>
      <x:c r="M1" s="45" t="str">
        <x:v>unit_basis</x:v>
      </x:c>
      <x:c r="N1" s="45" t="str">
        <x:v>quantity_2025</x:v>
      </x:c>
      <x:c r="O1" s="45" t="str">
        <x:v>wholesale_price</x:v>
      </x:c>
      <x:c r="P1" s="45" t="str">
        <x:v>product_cogs</x:v>
      </x:c>
      <x:c r="Q1" s="45" t="str">
        <x:v>product_cogs_total</x:v>
      </x:c>
      <x:c r="R1" s="45" t="str">
        <x:v>gross_profit_per_unit</x:v>
      </x:c>
      <x:c r="S1" s="45" t="str">
        <x:v>gross_profit_total</x:v>
      </x:c>
      <x:c r="T1" s="45" t="str">
        <x:v>gross_margin</x:v>
      </x:c>
      <x:c r="U1" s="45" t="str">
        <x:v>operating_expense_per_unit</x:v>
      </x:c>
      <x:c r="V1" s="45" t="str">
        <x:v>operating_expense_total</x:v>
      </x:c>
      <x:c r="W1" s="45" t="str">
        <x:v>invoice_tax_per_unit</x:v>
      </x:c>
      <x:c r="X1" s="45" t="str">
        <x:v>invoice_tax_total</x:v>
      </x:c>
      <x:c r="Y1" s="45" t="str">
        <x:v>expense_subtotal_per_unit</x:v>
      </x:c>
      <x:c r="Z1" s="45" t="str">
        <x:v>expense_subtotal_total</x:v>
      </x:c>
      <x:c r="AA1" s="45" t="str">
        <x:v>reported_net_profit_per_unit</x:v>
      </x:c>
      <x:c r="AB1" s="45" t="str">
        <x:v>calculated_net_profit_per_unit</x:v>
      </x:c>
      <x:c r="AC1" s="45" t="str">
        <x:v>net_profit_per_unit</x:v>
      </x:c>
      <x:c r="AD1" s="45" t="str">
        <x:v>reported_contribution_profit</x:v>
      </x:c>
      <x:c r="AE1" s="45" t="str">
        <x:v>calculated_contribution_profit</x:v>
      </x:c>
      <x:c r="AF1" s="45" t="str">
        <x:v>contribution_profit</x:v>
      </x:c>
      <x:c r="AG1" s="45" t="str">
        <x:v>reported_revenue</x:v>
      </x:c>
      <x:c r="AH1" s="45" t="str">
        <x:v>calculated_revenue</x:v>
      </x:c>
      <x:c r="AI1" s="45" t="str">
        <x:v>revenue</x:v>
      </x:c>
      <x:c r="AJ1" s="45" t="str">
        <x:v>revenue_source</x:v>
      </x:c>
      <x:c r="AK1" s="45" t="str">
        <x:v>profit_source</x:v>
      </x:c>
      <x:c r="AL1" s="45" t="str">
        <x:v>revenue_diff</x:v>
      </x:c>
      <x:c r="AM1" s="45" t="str">
        <x:v>contribution_diff</x:v>
      </x:c>
      <x:c r="AN1" s="45" t="str">
        <x:v>analysis_sku</x:v>
      </x:c>
      <x:c r="AO1" s="45" t="str">
        <x:v>quality_flags</x:v>
      </x:c>
    </x:row>
    <x:row r="2">
      <x:c r="A2" s="32" t="str">
        <x:v>鐵比倫-產品成本結構試算 (1).xlsx - 2025 營收銷量(客戶填寫).csv</x:v>
      </x:c>
      <x:c r="B2" s="32" t="n">
        <x:v>8</x:v>
      </x:c>
      <x:c r="C2" s="32" t="str">
        <x:v>批發-台糖
(單顆包裝夾鏈袋260g)</x:v>
      </x:c>
      <x:c r="D2" s="32" t="str">
        <x:v>長期合作，看他們貨量，有叫就送沒有固定</x:v>
      </x:c>
      <x:c r="E2" s="32" t="str">
        <x:v>批發</x:v>
      </x:c>
      <x:c r="F2" s="32" t="str">
        <x:v>台糖</x:v>
      </x:c>
      <x:c r="G2" s="32" t="str">
        <x:v>桂圓紅棗薑黑糖</x:v>
      </x:c>
      <x:c r="H2" s="32" t="str">
        <x:v>桂圓紅棗薑黑糖</x:v>
      </x:c>
      <x:c r="I2" s="32" t="str">
        <x:v>單顆包裝夾鏈袋</x:v>
      </x:c>
      <x:c r="J2" s="32" t="n">
        <x:v>260</x:v>
      </x:c>
      <x:c r="K2" s="32" t="str">
        <x:v>g</x:v>
      </x:c>
      <x:c r="L2" s="32" t="str"/>
      <x:c r="M2" s="32" t="str">
        <x:v>260g</x:v>
      </x:c>
      <x:c r="N2" s="41" t="n">
        <x:v>272</x:v>
      </x:c>
      <x:c r="O2" s="37" t="n">
        <x:v>140</x:v>
      </x:c>
      <x:c r="P2" s="37" t="n">
        <x:v>31</x:v>
      </x:c>
      <x:c r="Q2" s="37" t="n">
        <x:v>8432</x:v>
      </x:c>
      <x:c r="R2" s="37" t="n">
        <x:v>109</x:v>
      </x:c>
      <x:c r="S2" s="37" t="n">
        <x:v>29648</x:v>
      </x:c>
      <x:c r="T2" s="40" t="n">
        <x:v>0.7785714285714286</x:v>
      </x:c>
      <x:c r="U2" s="37" t="n">
        <x:v>72.51757333333333</x:v>
      </x:c>
      <x:c r="V2" s="37" t="n">
        <x:v>19724.78</x:v>
      </x:c>
      <x:c r="W2" s="37" t="n">
        <x:v>7</x:v>
      </x:c>
      <x:c r="X2" s="37" t="n">
        <x:v>1904</x:v>
      </x:c>
      <x:c r="Y2" s="37" t="n">
        <x:v>79.51757333333333</x:v>
      </x:c>
      <x:c r="Z2" s="37" t="n">
        <x:v>21628.78</x:v>
      </x:c>
      <x:c r="AA2" s="37" t="n">
        <x:v>29.48242666666667</x:v>
      </x:c>
      <x:c r="AB2" s="37" t="n">
        <x:v>29.482427</x:v>
      </x:c>
      <x:c r="AC2" s="37" t="n">
        <x:v>29.482427</x:v>
      </x:c>
      <x:c r="AD2" s="37" t="n">
        <x:v>8019.220053333333</x:v>
      </x:c>
      <x:c r="AE2" s="37" t="n">
        <x:v>8019.22</x:v>
      </x:c>
      <x:c r="AF2" s="37" t="n">
        <x:v>8019.22</x:v>
      </x:c>
      <x:c r="AG2" s="37" t="n">
        <x:v>38080</x:v>
      </x:c>
      <x:c r="AH2" s="37" t="n">
        <x:v>38080</x:v>
      </x:c>
      <x:c r="AI2" s="37" t="n">
        <x:v>38080</x:v>
      </x:c>
      <x:c r="AJ2" s="32" t="str">
        <x:v>reported</x:v>
      </x:c>
      <x:c r="AK2" s="32" t="str">
        <x:v>reported</x:v>
      </x:c>
      <x:c r="AL2" s="37" t="n">
        <x:v>0</x:v>
      </x:c>
      <x:c r="AM2" s="37" t="n">
        <x:v>0</x:v>
      </x:c>
      <x:c r="AN2" s="32" t="str">
        <x:v>桂圓紅棗薑黑糖_批發_台糖_單顆包裝夾鏈袋_260g_140</x:v>
      </x:c>
      <x:c r="AO2" s="32" t="str"/>
    </x:row>
    <x:row r="3">
      <x:c r="A3" s="32" t="str">
        <x:v>鐵比倫-產品成本結構試算 (1).xlsx - 2025 營收銷量(客戶填寫).csv</x:v>
      </x:c>
      <x:c r="B3" s="32" t="n">
        <x:v>9</x:v>
      </x:c>
      <x:c r="C3" s="32" t="str">
        <x:v>批發-台糖
(單顆包裝夾鏈袋260g)</x:v>
      </x:c>
      <x:c r="D3" s="32" t="str">
        <x:v>長期合作，看他們貨量，有叫就送沒有固定</x:v>
      </x:c>
      <x:c r="E3" s="32" t="str">
        <x:v>批發</x:v>
      </x:c>
      <x:c r="F3" s="32" t="str">
        <x:v>台糖</x:v>
      </x:c>
      <x:c r="G3" s="32" t="str">
        <x:v>冬瓜</x:v>
      </x:c>
      <x:c r="H3" s="32" t="str">
        <x:v>冬瓜</x:v>
      </x:c>
      <x:c r="I3" s="32" t="str">
        <x:v>單顆包裝夾鏈袋</x:v>
      </x:c>
      <x:c r="J3" s="32" t="n">
        <x:v>260</x:v>
      </x:c>
      <x:c r="K3" s="32" t="str">
        <x:v>g</x:v>
      </x:c>
      <x:c r="L3" s="32" t="str"/>
      <x:c r="M3" s="32" t="str">
        <x:v>260g</x:v>
      </x:c>
      <x:c r="N3" s="41" t="n">
        <x:v>98</x:v>
      </x:c>
      <x:c r="O3" s="37" t="n">
        <x:v>140</x:v>
      </x:c>
      <x:c r="P3" s="37" t="n">
        <x:v>28</x:v>
      </x:c>
      <x:c r="Q3" s="37" t="n">
        <x:v>2744</x:v>
      </x:c>
      <x:c r="R3" s="37" t="n">
        <x:v>112</x:v>
      </x:c>
      <x:c r="S3" s="37" t="n">
        <x:v>10976</x:v>
      </x:c>
      <x:c r="T3" s="40" t="n">
        <x:v>0.8</x:v>
      </x:c>
      <x:c r="U3" s="37" t="n">
        <x:v>72.51757333333333</x:v>
      </x:c>
      <x:c r="V3" s="37" t="n">
        <x:v>7106.72</x:v>
      </x:c>
      <x:c r="W3" s="37" t="n">
        <x:v>7</x:v>
      </x:c>
      <x:c r="X3" s="37" t="n">
        <x:v>686</x:v>
      </x:c>
      <x:c r="Y3" s="37" t="n">
        <x:v>79.51757333333333</x:v>
      </x:c>
      <x:c r="Z3" s="37" t="n">
        <x:v>7792.72</x:v>
      </x:c>
      <x:c r="AA3" s="37" t="n">
        <x:v>32.48242666666667</x:v>
      </x:c>
      <x:c r="AB3" s="37" t="n">
        <x:v>32.482427</x:v>
      </x:c>
      <x:c r="AC3" s="37" t="n">
        <x:v>32.482427</x:v>
      </x:c>
      <x:c r="AD3" s="37" t="n">
        <x:v>3183.2778133333336</x:v>
      </x:c>
      <x:c r="AE3" s="37" t="n">
        <x:v>3183.28</x:v>
      </x:c>
      <x:c r="AF3" s="37" t="n">
        <x:v>3183.28</x:v>
      </x:c>
      <x:c r="AG3" s="37" t="n">
        <x:v>13720</x:v>
      </x:c>
      <x:c r="AH3" s="37" t="n">
        <x:v>13720</x:v>
      </x:c>
      <x:c r="AI3" s="37" t="n">
        <x:v>13720</x:v>
      </x:c>
      <x:c r="AJ3" s="32" t="str">
        <x:v>reported</x:v>
      </x:c>
      <x:c r="AK3" s="32" t="str">
        <x:v>reported</x:v>
      </x:c>
      <x:c r="AL3" s="37" t="n">
        <x:v>0</x:v>
      </x:c>
      <x:c r="AM3" s="37" t="n">
        <x:v>0</x:v>
      </x:c>
      <x:c r="AN3" s="32" t="str">
        <x:v>冬瓜_批發_台糖_單顆包裝夾鏈袋_260g_140</x:v>
      </x:c>
      <x:c r="AO3" s="32" t="str"/>
    </x:row>
    <x:row r="4">
      <x:c r="A4" s="32" t="str">
        <x:v>鐵比倫-產品成本結構試算 (1).xlsx - 2025 營收銷量(客戶填寫).csv</x:v>
      </x:c>
      <x:c r="B4" s="32" t="n">
        <x:v>10</x:v>
      </x:c>
      <x:c r="C4" s="32" t="str">
        <x:v>批發-台糖
(手切夾鏈袋380g)</x:v>
      </x:c>
      <x:c r="D4" s="32" t="str">
        <x:v>長期合作，看他們貨量，有叫就送沒有固定</x:v>
      </x:c>
      <x:c r="E4" s="32" t="str">
        <x:v>批發</x:v>
      </x:c>
      <x:c r="F4" s="32" t="str">
        <x:v>台糖</x:v>
      </x:c>
      <x:c r="G4" s="32" t="str">
        <x:v>原味黑糖</x:v>
      </x:c>
      <x:c r="H4" s="32" t="str">
        <x:v>原味黑糖</x:v>
      </x:c>
      <x:c r="I4" s="32" t="str">
        <x:v>手切夾鏈袋</x:v>
      </x:c>
      <x:c r="J4" s="32" t="n">
        <x:v>380</x:v>
      </x:c>
      <x:c r="K4" s="32" t="str">
        <x:v>g</x:v>
      </x:c>
      <x:c r="L4" s="32" t="str"/>
      <x:c r="M4" s="32" t="str">
        <x:v>380g</x:v>
      </x:c>
      <x:c r="N4" s="41" t="n">
        <x:v>300</x:v>
      </x:c>
      <x:c r="O4" s="37" t="n">
        <x:v>117</x:v>
      </x:c>
      <x:c r="P4" s="37" t="n">
        <x:v>22</x:v>
      </x:c>
      <x:c r="Q4" s="37" t="n">
        <x:v>6600</x:v>
      </x:c>
      <x:c r="R4" s="37" t="n">
        <x:v>95</x:v>
      </x:c>
      <x:c r="S4" s="37" t="n">
        <x:v>28500</x:v>
      </x:c>
      <x:c r="T4" s="40" t="n">
        <x:v>0.811965811965812</x:v>
      </x:c>
      <x:c r="U4" s="37" t="n">
        <x:v>60.603972000000006</x:v>
      </x:c>
      <x:c r="V4" s="37" t="n">
        <x:v>18181.19</x:v>
      </x:c>
      <x:c r="W4" s="37" t="n">
        <x:v>5.8500000000000005</x:v>
      </x:c>
      <x:c r="X4" s="37" t="n">
        <x:v>1755</x:v>
      </x:c>
      <x:c r="Y4" s="37" t="n">
        <x:v>66.45397200000001</x:v>
      </x:c>
      <x:c r="Z4" s="37" t="n">
        <x:v>19936.19</x:v>
      </x:c>
      <x:c r="AA4" s="37" t="n">
        <x:v>28.546027999999993</x:v>
      </x:c>
      <x:c r="AB4" s="37" t="n">
        <x:v>28.546028</x:v>
      </x:c>
      <x:c r="AC4" s="37" t="n">
        <x:v>28.546028</x:v>
      </x:c>
      <x:c r="AD4" s="37" t="n">
        <x:v>8563.808399999998</x:v>
      </x:c>
      <x:c r="AE4" s="37" t="n">
        <x:v>8563.81</x:v>
      </x:c>
      <x:c r="AF4" s="37" t="n">
        <x:v>8563.81</x:v>
      </x:c>
      <x:c r="AG4" s="37" t="n">
        <x:v>35100</x:v>
      </x:c>
      <x:c r="AH4" s="37" t="n">
        <x:v>35100</x:v>
      </x:c>
      <x:c r="AI4" s="37" t="n">
        <x:v>35100</x:v>
      </x:c>
      <x:c r="AJ4" s="32" t="str">
        <x:v>reported</x:v>
      </x:c>
      <x:c r="AK4" s="32" t="str">
        <x:v>reported</x:v>
      </x:c>
      <x:c r="AL4" s="37" t="n">
        <x:v>0</x:v>
      </x:c>
      <x:c r="AM4" s="37" t="n">
        <x:v>0</x:v>
      </x:c>
      <x:c r="AN4" s="32" t="str">
        <x:v>原味黑糖_批發_台糖_手切夾鏈袋_380g_117</x:v>
      </x:c>
      <x:c r="AO4" s="32" t="str"/>
    </x:row>
    <x:row r="5">
      <x:c r="A5" s="32" t="str">
        <x:v>鐵比倫-產品成本結構試算 (1).xlsx - 2025 營收銷量(客戶填寫).csv</x:v>
      </x:c>
      <x:c r="B5" s="32" t="n">
        <x:v>11</x:v>
      </x:c>
      <x:c r="C5" s="32" t="str">
        <x:v>批發-台糖
(手切夾鏈袋380g)</x:v>
      </x:c>
      <x:c r="D5" s="32" t="str">
        <x:v>長期合作，看他們貨量，有叫就送沒有固定</x:v>
      </x:c>
      <x:c r="E5" s="32" t="str">
        <x:v>批發</x:v>
      </x:c>
      <x:c r="F5" s="32" t="str">
        <x:v>台糖</x:v>
      </x:c>
      <x:c r="G5" s="32" t="str">
        <x:v>薑汁黑糖</x:v>
      </x:c>
      <x:c r="H5" s="32" t="str">
        <x:v>薑汁黑糖</x:v>
      </x:c>
      <x:c r="I5" s="32" t="str">
        <x:v>手切夾鏈袋</x:v>
      </x:c>
      <x:c r="J5" s="32" t="n">
        <x:v>380</x:v>
      </x:c>
      <x:c r="K5" s="32" t="str">
        <x:v>g</x:v>
      </x:c>
      <x:c r="L5" s="32" t="str"/>
      <x:c r="M5" s="32" t="str">
        <x:v>380g</x:v>
      </x:c>
      <x:c r="N5" s="41" t="n">
        <x:v>375</x:v>
      </x:c>
      <x:c r="O5" s="37" t="n">
        <x:v>117</x:v>
      </x:c>
      <x:c r="P5" s="37" t="n">
        <x:v>25</x:v>
      </x:c>
      <x:c r="Q5" s="37" t="n">
        <x:v>9375</x:v>
      </x:c>
      <x:c r="R5" s="37" t="n">
        <x:v>92</x:v>
      </x:c>
      <x:c r="S5" s="37" t="n">
        <x:v>34500</x:v>
      </x:c>
      <x:c r="T5" s="40" t="n">
        <x:v>0.7863247863247863</x:v>
      </x:c>
      <x:c r="U5" s="37" t="n">
        <x:v>60.603972000000006</x:v>
      </x:c>
      <x:c r="V5" s="37" t="n">
        <x:v>22726.49</x:v>
      </x:c>
      <x:c r="W5" s="37" t="n">
        <x:v>5.8500000000000005</x:v>
      </x:c>
      <x:c r="X5" s="37" t="n">
        <x:v>2193.75</x:v>
      </x:c>
      <x:c r="Y5" s="37" t="n">
        <x:v>66.45397200000001</x:v>
      </x:c>
      <x:c r="Z5" s="37" t="n">
        <x:v>24920.24</x:v>
      </x:c>
      <x:c r="AA5" s="37" t="n">
        <x:v>25.546027999999993</x:v>
      </x:c>
      <x:c r="AB5" s="37" t="n">
        <x:v>25.546028</x:v>
      </x:c>
      <x:c r="AC5" s="37" t="n">
        <x:v>25.546028</x:v>
      </x:c>
      <x:c r="AD5" s="37" t="n">
        <x:v>9579.760499999997</x:v>
      </x:c>
      <x:c r="AE5" s="37" t="n">
        <x:v>9579.76</x:v>
      </x:c>
      <x:c r="AF5" s="37" t="n">
        <x:v>9579.76</x:v>
      </x:c>
      <x:c r="AG5" s="37" t="n">
        <x:v>43875</x:v>
      </x:c>
      <x:c r="AH5" s="37" t="n">
        <x:v>43875</x:v>
      </x:c>
      <x:c r="AI5" s="37" t="n">
        <x:v>43875</x:v>
      </x:c>
      <x:c r="AJ5" s="32" t="str">
        <x:v>reported</x:v>
      </x:c>
      <x:c r="AK5" s="32" t="str">
        <x:v>reported</x:v>
      </x:c>
      <x:c r="AL5" s="37" t="n">
        <x:v>0</x:v>
      </x:c>
      <x:c r="AM5" s="37" t="n">
        <x:v>0</x:v>
      </x:c>
      <x:c r="AN5" s="32" t="str">
        <x:v>薑汁黑糖_批發_台糖_手切夾鏈袋_380g_117</x:v>
      </x:c>
      <x:c r="AO5" s="32" t="str"/>
    </x:row>
    <x:row r="6">
      <x:c r="A6" s="32" t="str">
        <x:v>鐵比倫-產品成本結構試算 (1).xlsx - 2025 營收銷量(客戶填寫).csv</x:v>
      </x:c>
      <x:c r="B6" s="32" t="n">
        <x:v>12</x:v>
      </x:c>
      <x:c r="C6" s="32" t="str">
        <x:v>批發-台糖
(手切夾鏈袋380g)</x:v>
      </x:c>
      <x:c r="D6" s="32" t="str">
        <x:v>長期合作，看他們貨量，有叫就送沒有固定</x:v>
      </x:c>
      <x:c r="E6" s="32" t="str">
        <x:v>批發</x:v>
      </x:c>
      <x:c r="F6" s="32" t="str">
        <x:v>台糖</x:v>
      </x:c>
      <x:c r="G6" s="32" t="str">
        <x:v>桂圓黑糖</x:v>
      </x:c>
      <x:c r="H6" s="32" t="str">
        <x:v>桂圓黑糖</x:v>
      </x:c>
      <x:c r="I6" s="32" t="str">
        <x:v>手切夾鏈袋</x:v>
      </x:c>
      <x:c r="J6" s="32" t="n">
        <x:v>380</x:v>
      </x:c>
      <x:c r="K6" s="32" t="str">
        <x:v>g</x:v>
      </x:c>
      <x:c r="L6" s="32" t="str"/>
      <x:c r="M6" s="32" t="str">
        <x:v>380g</x:v>
      </x:c>
      <x:c r="N6" s="41" t="n">
        <x:v>163</x:v>
      </x:c>
      <x:c r="O6" s="37" t="n">
        <x:v>130</x:v>
      </x:c>
      <x:c r="P6" s="37" t="n">
        <x:v>30</x:v>
      </x:c>
      <x:c r="Q6" s="37" t="n">
        <x:v>4890</x:v>
      </x:c>
      <x:c r="R6" s="37" t="n">
        <x:v>100</x:v>
      </x:c>
      <x:c r="S6" s="37" t="n">
        <x:v>16300</x:v>
      </x:c>
      <x:c r="T6" s="40" t="n">
        <x:v>0.7692307692307693</x:v>
      </x:c>
      <x:c r="U6" s="37" t="n">
        <x:v>67.33774666666667</x:v>
      </x:c>
      <x:c r="V6" s="37" t="n">
        <x:v>10976.05</x:v>
      </x:c>
      <x:c r="W6" s="37" t="n">
        <x:v>6.5</x:v>
      </x:c>
      <x:c r="X6" s="37" t="n">
        <x:v>1059.5</x:v>
      </x:c>
      <x:c r="Y6" s="37" t="n">
        <x:v>73.83774666666667</x:v>
      </x:c>
      <x:c r="Z6" s="37" t="n">
        <x:v>12035.55</x:v>
      </x:c>
      <x:c r="AA6" s="37" t="n">
        <x:v>26.162253333333325</x:v>
      </x:c>
      <x:c r="AB6" s="37" t="n">
        <x:v>26.162253</x:v>
      </x:c>
      <x:c r="AC6" s="37" t="n">
        <x:v>26.162253</x:v>
      </x:c>
      <x:c r="AD6" s="37" t="n">
        <x:v>4264.447293333332</x:v>
      </x:c>
      <x:c r="AE6" s="37" t="n">
        <x:v>4264.45</x:v>
      </x:c>
      <x:c r="AF6" s="37" t="n">
        <x:v>4264.45</x:v>
      </x:c>
      <x:c r="AG6" s="37" t="n">
        <x:v>21190</x:v>
      </x:c>
      <x:c r="AH6" s="37" t="n">
        <x:v>21190</x:v>
      </x:c>
      <x:c r="AI6" s="37" t="n">
        <x:v>21190</x:v>
      </x:c>
      <x:c r="AJ6" s="32" t="str">
        <x:v>reported</x:v>
      </x:c>
      <x:c r="AK6" s="32" t="str">
        <x:v>reported</x:v>
      </x:c>
      <x:c r="AL6" s="37" t="n">
        <x:v>0</x:v>
      </x:c>
      <x:c r="AM6" s="37" t="n">
        <x:v>0</x:v>
      </x:c>
      <x:c r="AN6" s="32" t="str">
        <x:v>桂圓黑糖_批發_台糖_手切夾鏈袋_380g_130</x:v>
      </x:c>
      <x:c r="AO6" s="32" t="str"/>
    </x:row>
    <x:row r="7">
      <x:c r="A7" s="32" t="str">
        <x:v>鐵比倫-產品成本結構試算 (1).xlsx - 2025 營收銷量(客戶填寫).csv</x:v>
      </x:c>
      <x:c r="B7" s="32" t="n">
        <x:v>13</x:v>
      </x:c>
      <x:c r="C7" s="32" t="str">
        <x:v>批發-台糖
(手切夾鏈袋380g)</x:v>
      </x:c>
      <x:c r="D7" s="32" t="str">
        <x:v>長期合作，看他們貨量，有叫就送沒有固定</x:v>
      </x:c>
      <x:c r="E7" s="32" t="str">
        <x:v>批發</x:v>
      </x:c>
      <x:c r="F7" s="32" t="str">
        <x:v>台糖</x:v>
      </x:c>
      <x:c r="G7" s="32" t="str">
        <x:v>玫瑰四物黑糖</x:v>
      </x:c>
      <x:c r="H7" s="32" t="str">
        <x:v>玫瑰四物黑糖</x:v>
      </x:c>
      <x:c r="I7" s="32" t="str">
        <x:v>手切夾鏈袋</x:v>
      </x:c>
      <x:c r="J7" s="32" t="n">
        <x:v>380</x:v>
      </x:c>
      <x:c r="K7" s="32" t="str">
        <x:v>g</x:v>
      </x:c>
      <x:c r="L7" s="32" t="str"/>
      <x:c r="M7" s="32" t="str">
        <x:v>380g</x:v>
      </x:c>
      <x:c r="N7" s="41" t="n">
        <x:v>246</x:v>
      </x:c>
      <x:c r="O7" s="37" t="n">
        <x:v>130</x:v>
      </x:c>
      <x:c r="P7" s="37" t="n">
        <x:v>24</x:v>
      </x:c>
      <x:c r="Q7" s="37" t="n">
        <x:v>5904</x:v>
      </x:c>
      <x:c r="R7" s="37" t="n">
        <x:v>106</x:v>
      </x:c>
      <x:c r="S7" s="37" t="n">
        <x:v>26076</x:v>
      </x:c>
      <x:c r="T7" s="40" t="n">
        <x:v>0.8153846153846154</x:v>
      </x:c>
      <x:c r="U7" s="37" t="n">
        <x:v>67.33774666666667</x:v>
      </x:c>
      <x:c r="V7" s="37" t="n">
        <x:v>16565.09</x:v>
      </x:c>
      <x:c r="W7" s="37" t="n">
        <x:v>6.5</x:v>
      </x:c>
      <x:c r="X7" s="37" t="n">
        <x:v>1599</x:v>
      </x:c>
      <x:c r="Y7" s="37" t="n">
        <x:v>73.83774666666667</x:v>
      </x:c>
      <x:c r="Z7" s="37" t="n">
        <x:v>18164.09</x:v>
      </x:c>
      <x:c r="AA7" s="37" t="n">
        <x:v>32.162253333333325</x:v>
      </x:c>
      <x:c r="AB7" s="37" t="n">
        <x:v>32.162253</x:v>
      </x:c>
      <x:c r="AC7" s="37" t="n">
        <x:v>32.162253</x:v>
      </x:c>
      <x:c r="AD7" s="37" t="n">
        <x:v>7911.914319999998</x:v>
      </x:c>
      <x:c r="AE7" s="37" t="n">
        <x:v>7911.91</x:v>
      </x:c>
      <x:c r="AF7" s="37" t="n">
        <x:v>7911.91</x:v>
      </x:c>
      <x:c r="AG7" s="37" t="n">
        <x:v>31980</x:v>
      </x:c>
      <x:c r="AH7" s="37" t="n">
        <x:v>31980</x:v>
      </x:c>
      <x:c r="AI7" s="37" t="n">
        <x:v>31980</x:v>
      </x:c>
      <x:c r="AJ7" s="32" t="str">
        <x:v>reported</x:v>
      </x:c>
      <x:c r="AK7" s="32" t="str">
        <x:v>reported</x:v>
      </x:c>
      <x:c r="AL7" s="37" t="n">
        <x:v>0</x:v>
      </x:c>
      <x:c r="AM7" s="37" t="n">
        <x:v>0</x:v>
      </x:c>
      <x:c r="AN7" s="32" t="str">
        <x:v>玫瑰四物黑糖_批發_台糖_手切夾鏈袋_380g_130</x:v>
      </x:c>
      <x:c r="AO7" s="32" t="str"/>
    </x:row>
    <x:row r="8">
      <x:c r="A8" s="32" t="str">
        <x:v>鐵比倫-產品成本結構試算 (1).xlsx - 2025 營收銷量(客戶填寫).csv</x:v>
      </x:c>
      <x:c r="B8" s="32" t="n">
        <x:v>14</x:v>
      </x:c>
      <x:c r="C8" s="32" t="str">
        <x:v>批發-農會
(手切夾鏈袋380g)</x:v>
      </x:c>
      <x:c r="D8" s="32" t="str">
        <x:v>36包(一箱)</x:v>
      </x:c>
      <x:c r="E8" s="32" t="str">
        <x:v>批發</x:v>
      </x:c>
      <x:c r="F8" s="32" t="str">
        <x:v>農會</x:v>
      </x:c>
      <x:c r="G8" s="32" t="str">
        <x:v>原味黑糖</x:v>
      </x:c>
      <x:c r="H8" s="32" t="str">
        <x:v>原味黑糖</x:v>
      </x:c>
      <x:c r="I8" s="32" t="str">
        <x:v>手切夾鏈袋</x:v>
      </x:c>
      <x:c r="J8" s="32" t="n">
        <x:v>380</x:v>
      </x:c>
      <x:c r="K8" s="32" t="str">
        <x:v>g</x:v>
      </x:c>
      <x:c r="L8" s="32" t="str"/>
      <x:c r="M8" s="32" t="str">
        <x:v>380g</x:v>
      </x:c>
      <x:c r="N8" s="41" t="n">
        <x:v>360</x:v>
      </x:c>
      <x:c r="O8" s="37" t="n">
        <x:v>110</x:v>
      </x:c>
      <x:c r="P8" s="37" t="n">
        <x:v>22</x:v>
      </x:c>
      <x:c r="Q8" s="37" t="n">
        <x:v>7920</x:v>
      </x:c>
      <x:c r="R8" s="37" t="n">
        <x:v>88</x:v>
      </x:c>
      <x:c r="S8" s="37" t="n">
        <x:v>31680</x:v>
      </x:c>
      <x:c r="T8" s="40" t="n">
        <x:v>0.8</x:v>
      </x:c>
      <x:c r="U8" s="37" t="n">
        <x:v>56.978093333333334</x:v>
      </x:c>
      <x:c r="V8" s="37" t="n">
        <x:v>20512.11</x:v>
      </x:c>
      <x:c r="W8" s="37" t="n">
        <x:v>5.5</x:v>
      </x:c>
      <x:c r="X8" s="37" t="n">
        <x:v>1980</x:v>
      </x:c>
      <x:c r="Y8" s="37" t="n">
        <x:v>62.478093333333334</x:v>
      </x:c>
      <x:c r="Z8" s="37" t="n">
        <x:v>22492.11</x:v>
      </x:c>
      <x:c r="AA8" s="37" t="n">
        <x:v>25.521906666666666</x:v>
      </x:c>
      <x:c r="AB8" s="37" t="n">
        <x:v>25.521907</x:v>
      </x:c>
      <x:c r="AC8" s="37" t="n">
        <x:v>25.521907</x:v>
      </x:c>
      <x:c r="AD8" s="37" t="n">
        <x:v>9187.8864</x:v>
      </x:c>
      <x:c r="AE8" s="37" t="n">
        <x:v>9187.89</x:v>
      </x:c>
      <x:c r="AF8" s="37" t="n">
        <x:v>9187.89</x:v>
      </x:c>
      <x:c r="AG8" s="37" t="n">
        <x:v>39600</x:v>
      </x:c>
      <x:c r="AH8" s="37" t="n">
        <x:v>39600</x:v>
      </x:c>
      <x:c r="AI8" s="37" t="n">
        <x:v>39600</x:v>
      </x:c>
      <x:c r="AJ8" s="32" t="str">
        <x:v>reported</x:v>
      </x:c>
      <x:c r="AK8" s="32" t="str">
        <x:v>reported</x:v>
      </x:c>
      <x:c r="AL8" s="37" t="n">
        <x:v>0</x:v>
      </x:c>
      <x:c r="AM8" s="37" t="n">
        <x:v>0</x:v>
      </x:c>
      <x:c r="AN8" s="32" t="str">
        <x:v>原味黑糖_批發_農會_手切夾鏈袋_380g_110</x:v>
      </x:c>
      <x:c r="AO8" s="32" t="str"/>
    </x:row>
    <x:row r="9">
      <x:c r="A9" s="32" t="str">
        <x:v>鐵比倫-產品成本結構試算 (1).xlsx - 2025 營收銷量(客戶填寫).csv</x:v>
      </x:c>
      <x:c r="B9" s="32" t="n">
        <x:v>15</x:v>
      </x:c>
      <x:c r="C9" s="32" t="str">
        <x:v>批發-農會
(手切夾鏈袋380g)</x:v>
      </x:c>
      <x:c r="D9" s="32" t="str">
        <x:v>36包(一箱)</x:v>
      </x:c>
      <x:c r="E9" s="32" t="str">
        <x:v>批發</x:v>
      </x:c>
      <x:c r="F9" s="32" t="str">
        <x:v>農會</x:v>
      </x:c>
      <x:c r="G9" s="32" t="str">
        <x:v>薑汁黑糖</x:v>
      </x:c>
      <x:c r="H9" s="32" t="str">
        <x:v>薑汁黑糖</x:v>
      </x:c>
      <x:c r="I9" s="32" t="str">
        <x:v>手切夾鏈袋</x:v>
      </x:c>
      <x:c r="J9" s="32" t="n">
        <x:v>380</x:v>
      </x:c>
      <x:c r="K9" s="32" t="str">
        <x:v>g</x:v>
      </x:c>
      <x:c r="L9" s="32" t="str"/>
      <x:c r="M9" s="32" t="str">
        <x:v>380g</x:v>
      </x:c>
      <x:c r="N9" s="41" t="n">
        <x:v>756</x:v>
      </x:c>
      <x:c r="O9" s="37" t="n">
        <x:v>110</x:v>
      </x:c>
      <x:c r="P9" s="37" t="n">
        <x:v>25</x:v>
      </x:c>
      <x:c r="Q9" s="37" t="n">
        <x:v>18900</x:v>
      </x:c>
      <x:c r="R9" s="37" t="n">
        <x:v>85</x:v>
      </x:c>
      <x:c r="S9" s="37" t="n">
        <x:v>64260</x:v>
      </x:c>
      <x:c r="T9" s="40" t="n">
        <x:v>0.7727272727272727</x:v>
      </x:c>
      <x:c r="U9" s="37" t="n">
        <x:v>56.978093333333334</x:v>
      </x:c>
      <x:c r="V9" s="37" t="n">
        <x:v>43075.44</x:v>
      </x:c>
      <x:c r="W9" s="37" t="n">
        <x:v>5.5</x:v>
      </x:c>
      <x:c r="X9" s="37" t="n">
        <x:v>4158</x:v>
      </x:c>
      <x:c r="Y9" s="37" t="n">
        <x:v>62.478093333333334</x:v>
      </x:c>
      <x:c r="Z9" s="37" t="n">
        <x:v>47233.44</x:v>
      </x:c>
      <x:c r="AA9" s="37" t="n">
        <x:v>22.521906666666666</x:v>
      </x:c>
      <x:c r="AB9" s="37" t="n">
        <x:v>22.521907</x:v>
      </x:c>
      <x:c r="AC9" s="37" t="n">
        <x:v>22.521907</x:v>
      </x:c>
      <x:c r="AD9" s="37" t="n">
        <x:v>17026.561439999998</x:v>
      </x:c>
      <x:c r="AE9" s="37" t="n">
        <x:v>17026.56</x:v>
      </x:c>
      <x:c r="AF9" s="37" t="n">
        <x:v>17026.56</x:v>
      </x:c>
      <x:c r="AG9" s="37" t="n">
        <x:v>83160</x:v>
      </x:c>
      <x:c r="AH9" s="37" t="n">
        <x:v>83160</x:v>
      </x:c>
      <x:c r="AI9" s="37" t="n">
        <x:v>83160</x:v>
      </x:c>
      <x:c r="AJ9" s="32" t="str">
        <x:v>reported</x:v>
      </x:c>
      <x:c r="AK9" s="32" t="str">
        <x:v>reported</x:v>
      </x:c>
      <x:c r="AL9" s="37" t="n">
        <x:v>0</x:v>
      </x:c>
      <x:c r="AM9" s="37" t="n">
        <x:v>0</x:v>
      </x:c>
      <x:c r="AN9" s="32" t="str">
        <x:v>薑汁黑糖_批發_農會_手切夾鏈袋_380g_110</x:v>
      </x:c>
      <x:c r="AO9" s="32" t="str"/>
    </x:row>
    <x:row r="10">
      <x:c r="A10" s="32" t="str">
        <x:v>鐵比倫-產品成本結構試算 (1).xlsx - 2025 營收銷量(客戶填寫).csv</x:v>
      </x:c>
      <x:c r="B10" s="32" t="n">
        <x:v>16</x:v>
      </x:c>
      <x:c r="C10" s="32" t="str">
        <x:v>批發-農會
(手切夾鏈袋380g)</x:v>
      </x:c>
      <x:c r="D10" s="32" t="str">
        <x:v>36包(一箱)</x:v>
      </x:c>
      <x:c r="E10" s="32" t="str">
        <x:v>批發</x:v>
      </x:c>
      <x:c r="F10" s="32" t="str">
        <x:v>農會</x:v>
      </x:c>
      <x:c r="G10" s="32" t="str">
        <x:v>桂圓黑糖</x:v>
      </x:c>
      <x:c r="H10" s="32" t="str">
        <x:v>桂圓黑糖</x:v>
      </x:c>
      <x:c r="I10" s="32" t="str">
        <x:v>手切夾鏈袋</x:v>
      </x:c>
      <x:c r="J10" s="32" t="n">
        <x:v>380</x:v>
      </x:c>
      <x:c r="K10" s="32" t="str">
        <x:v>g</x:v>
      </x:c>
      <x:c r="L10" s="32" t="str"/>
      <x:c r="M10" s="32" t="str">
        <x:v>380g</x:v>
      </x:c>
      <x:c r="N10" s="41" t="n">
        <x:v>396</x:v>
      </x:c>
      <x:c r="O10" s="37" t="n">
        <x:v>122</x:v>
      </x:c>
      <x:c r="P10" s="37" t="n">
        <x:v>30</x:v>
      </x:c>
      <x:c r="Q10" s="37" t="n">
        <x:v>11880</x:v>
      </x:c>
      <x:c r="R10" s="37" t="n">
        <x:v>92</x:v>
      </x:c>
      <x:c r="S10" s="37" t="n">
        <x:v>36432</x:v>
      </x:c>
      <x:c r="T10" s="40" t="n">
        <x:v>0.7540983606557377</x:v>
      </x:c>
      <x:c r="U10" s="37" t="n">
        <x:v>63.19388533333334</x:v>
      </x:c>
      <x:c r="V10" s="37" t="n">
        <x:v>25024.78</x:v>
      </x:c>
      <x:c r="W10" s="37" t="n">
        <x:v>6.1000000000000005</x:v>
      </x:c>
      <x:c r="X10" s="37" t="n">
        <x:v>2415.6</x:v>
      </x:c>
      <x:c r="Y10" s="37" t="n">
        <x:v>69.29388533333334</x:v>
      </x:c>
      <x:c r="Z10" s="37" t="n">
        <x:v>27440.38</x:v>
      </x:c>
      <x:c r="AA10" s="37" t="n">
        <x:v>22.706114666666664</x:v>
      </x:c>
      <x:c r="AB10" s="37" t="n">
        <x:v>22.706115</x:v>
      </x:c>
      <x:c r="AC10" s="37" t="n">
        <x:v>22.706115</x:v>
      </x:c>
      <x:c r="AD10" s="37" t="n">
        <x:v>8991.621407999999</x:v>
      </x:c>
      <x:c r="AE10" s="37" t="n">
        <x:v>8991.62</x:v>
      </x:c>
      <x:c r="AF10" s="37" t="n">
        <x:v>8991.62</x:v>
      </x:c>
      <x:c r="AG10" s="37" t="n">
        <x:v>48312</x:v>
      </x:c>
      <x:c r="AH10" s="37" t="n">
        <x:v>48312</x:v>
      </x:c>
      <x:c r="AI10" s="37" t="n">
        <x:v>48312</x:v>
      </x:c>
      <x:c r="AJ10" s="32" t="str">
        <x:v>reported</x:v>
      </x:c>
      <x:c r="AK10" s="32" t="str">
        <x:v>reported</x:v>
      </x:c>
      <x:c r="AL10" s="37" t="n">
        <x:v>0</x:v>
      </x:c>
      <x:c r="AM10" s="37" t="n">
        <x:v>0</x:v>
      </x:c>
      <x:c r="AN10" s="32" t="str">
        <x:v>桂圓黑糖_批發_農會_手切夾鏈袋_380g_122</x:v>
      </x:c>
      <x:c r="AO10" s="32" t="str"/>
    </x:row>
    <x:row r="11">
      <x:c r="A11" s="32" t="str">
        <x:v>鐵比倫-產品成本結構試算 (1).xlsx - 2025 營收銷量(客戶填寫).csv</x:v>
      </x:c>
      <x:c r="B11" s="32" t="n">
        <x:v>17</x:v>
      </x:c>
      <x:c r="C11" s="32" t="str">
        <x:v>批發-農會
(手切夾鏈袋380g)</x:v>
      </x:c>
      <x:c r="D11" s="32" t="str">
        <x:v>36包(一箱)</x:v>
      </x:c>
      <x:c r="E11" s="32" t="str">
        <x:v>批發</x:v>
      </x:c>
      <x:c r="F11" s="32" t="str">
        <x:v>農會</x:v>
      </x:c>
      <x:c r="G11" s="32" t="str">
        <x:v>玫瑰四物黑糖</x:v>
      </x:c>
      <x:c r="H11" s="32" t="str">
        <x:v>玫瑰四物黑糖</x:v>
      </x:c>
      <x:c r="I11" s="32" t="str">
        <x:v>手切夾鏈袋</x:v>
      </x:c>
      <x:c r="J11" s="32" t="n">
        <x:v>380</x:v>
      </x:c>
      <x:c r="K11" s="32" t="str">
        <x:v>g</x:v>
      </x:c>
      <x:c r="L11" s="32" t="str"/>
      <x:c r="M11" s="32" t="str">
        <x:v>380g</x:v>
      </x:c>
      <x:c r="N11" s="41" t="n">
        <x:v>360</x:v>
      </x:c>
      <x:c r="O11" s="37" t="n">
        <x:v>122</x:v>
      </x:c>
      <x:c r="P11" s="37" t="n">
        <x:v>24</x:v>
      </x:c>
      <x:c r="Q11" s="37" t="n">
        <x:v>8640</x:v>
      </x:c>
      <x:c r="R11" s="37" t="n">
        <x:v>98</x:v>
      </x:c>
      <x:c r="S11" s="37" t="n">
        <x:v>35280</x:v>
      </x:c>
      <x:c r="T11" s="40" t="n">
        <x:v>0.8032786885245902</x:v>
      </x:c>
      <x:c r="U11" s="37" t="n">
        <x:v>63.19388533333334</x:v>
      </x:c>
      <x:c r="V11" s="37" t="n">
        <x:v>22749.8</x:v>
      </x:c>
      <x:c r="W11" s="37" t="n">
        <x:v>6.1000000000000005</x:v>
      </x:c>
      <x:c r="X11" s="37" t="n">
        <x:v>2196</x:v>
      </x:c>
      <x:c r="Y11" s="37" t="n">
        <x:v>69.29388533333334</x:v>
      </x:c>
      <x:c r="Z11" s="37" t="n">
        <x:v>24945.8</x:v>
      </x:c>
      <x:c r="AA11" s="37" t="n">
        <x:v>28.706114666666664</x:v>
      </x:c>
      <x:c r="AB11" s="37" t="n">
        <x:v>28.706115</x:v>
      </x:c>
      <x:c r="AC11" s="37" t="n">
        <x:v>28.706115</x:v>
      </x:c>
      <x:c r="AD11" s="37" t="n">
        <x:v>10334.20128</x:v>
      </x:c>
      <x:c r="AE11" s="37" t="n">
        <x:v>10334.2</x:v>
      </x:c>
      <x:c r="AF11" s="37" t="n">
        <x:v>10334.2</x:v>
      </x:c>
      <x:c r="AG11" s="37" t="n">
        <x:v>43920</x:v>
      </x:c>
      <x:c r="AH11" s="37" t="n">
        <x:v>43920</x:v>
      </x:c>
      <x:c r="AI11" s="37" t="n">
        <x:v>43920</x:v>
      </x:c>
      <x:c r="AJ11" s="32" t="str">
        <x:v>reported</x:v>
      </x:c>
      <x:c r="AK11" s="32" t="str">
        <x:v>reported</x:v>
      </x:c>
      <x:c r="AL11" s="37" t="n">
        <x:v>0</x:v>
      </x:c>
      <x:c r="AM11" s="37" t="n">
        <x:v>0</x:v>
      </x:c>
      <x:c r="AN11" s="32" t="str">
        <x:v>玫瑰四物黑糖_批發_農會_手切夾鏈袋_380g_122</x:v>
      </x:c>
      <x:c r="AO11" s="32" t="str"/>
    </x:row>
    <x:row r="12">
      <x:c r="A12" s="32" t="str">
        <x:v>鐵比倫-產品成本結構試算 (1).xlsx - 2025 營收銷量(客戶填寫).csv</x:v>
      </x:c>
      <x:c r="B12" s="32" t="n">
        <x:v>18</x:v>
      </x:c>
      <x:c r="C12" s="32" t="str">
        <x:v>貼牌客戶-埔里農會
(手切夾鏈袋380g)</x:v>
      </x:c>
      <x:c r="D12" s="32" t="str">
        <x:v>36包(一箱)</x:v>
      </x:c>
      <x:c r="E12" s="32" t="str">
        <x:v>貼牌</x:v>
      </x:c>
      <x:c r="F12" s="32" t="str">
        <x:v>埔里農會</x:v>
      </x:c>
      <x:c r="G12" s="32" t="str">
        <x:v>原味黑糖</x:v>
      </x:c>
      <x:c r="H12" s="32" t="str">
        <x:v>原味黑糖</x:v>
      </x:c>
      <x:c r="I12" s="32" t="str">
        <x:v>手切夾鏈袋</x:v>
      </x:c>
      <x:c r="J12" s="32" t="n">
        <x:v>380</x:v>
      </x:c>
      <x:c r="K12" s="32" t="str">
        <x:v>g</x:v>
      </x:c>
      <x:c r="L12" s="32" t="str"/>
      <x:c r="M12" s="32" t="str">
        <x:v>380g</x:v>
      </x:c>
      <x:c r="N12" s="41" t="n">
        <x:v>288</x:v>
      </x:c>
      <x:c r="O12" s="37" t="n">
        <x:v>99</x:v>
      </x:c>
      <x:c r="P12" s="37" t="n">
        <x:v>22</x:v>
      </x:c>
      <x:c r="Q12" s="37" t="n">
        <x:v>6336</x:v>
      </x:c>
      <x:c r="R12" s="37" t="n">
        <x:v>77</x:v>
      </x:c>
      <x:c r="S12" s="37" t="n">
        <x:v>22176</x:v>
      </x:c>
      <x:c r="T12" s="40" t="n">
        <x:v>0.7777777777777778</x:v>
      </x:c>
      <x:c r="U12" s="37" t="n">
        <x:v>51.280284</x:v>
      </x:c>
      <x:c r="V12" s="37" t="n">
        <x:v>14768.72</x:v>
      </x:c>
      <x:c r="W12" s="37" t="n">
        <x:v>4.95</x:v>
      </x:c>
      <x:c r="X12" s="37" t="n">
        <x:v>1425.6</x:v>
      </x:c>
      <x:c r="Y12" s="37" t="n">
        <x:v>56.230284000000005</x:v>
      </x:c>
      <x:c r="Z12" s="37" t="n">
        <x:v>16194.32</x:v>
      </x:c>
      <x:c r="AA12" s="37" t="n">
        <x:v>20.769715999999995</x:v>
      </x:c>
      <x:c r="AB12" s="37" t="n">
        <x:v>20.769716</x:v>
      </x:c>
      <x:c r="AC12" s="37" t="n">
        <x:v>20.769716</x:v>
      </x:c>
      <x:c r="AD12" s="37" t="n">
        <x:v>5981.678207999998</x:v>
      </x:c>
      <x:c r="AE12" s="37" t="n">
        <x:v>5981.68</x:v>
      </x:c>
      <x:c r="AF12" s="37" t="n">
        <x:v>5981.68</x:v>
      </x:c>
      <x:c r="AG12" s="37" t="n">
        <x:v>28512</x:v>
      </x:c>
      <x:c r="AH12" s="37" t="n">
        <x:v>28512</x:v>
      </x:c>
      <x:c r="AI12" s="37" t="n">
        <x:v>28512</x:v>
      </x:c>
      <x:c r="AJ12" s="32" t="str">
        <x:v>reported</x:v>
      </x:c>
      <x:c r="AK12" s="32" t="str">
        <x:v>reported</x:v>
      </x:c>
      <x:c r="AL12" s="37" t="n">
        <x:v>0</x:v>
      </x:c>
      <x:c r="AM12" s="37" t="n">
        <x:v>0</x:v>
      </x:c>
      <x:c r="AN12" s="32" t="str">
        <x:v>原味黑糖_貼牌_埔里農會_手切夾鏈袋_380g_99</x:v>
      </x:c>
      <x:c r="AO12" s="32" t="str"/>
    </x:row>
    <x:row r="13">
      <x:c r="A13" s="32" t="str">
        <x:v>鐵比倫-產品成本結構試算 (1).xlsx - 2025 營收銷量(客戶填寫).csv</x:v>
      </x:c>
      <x:c r="B13" s="32" t="n">
        <x:v>19</x:v>
      </x:c>
      <x:c r="C13" s="32" t="str">
        <x:v>貼牌客戶-埔里農會
(手切夾鏈袋380g)</x:v>
      </x:c>
      <x:c r="D13" s="32" t="str">
        <x:v>36包(一箱)</x:v>
      </x:c>
      <x:c r="E13" s="32" t="str">
        <x:v>貼牌</x:v>
      </x:c>
      <x:c r="F13" s="32" t="str">
        <x:v>埔里農會</x:v>
      </x:c>
      <x:c r="G13" s="32" t="str">
        <x:v>薑汁黑糖</x:v>
      </x:c>
      <x:c r="H13" s="32" t="str">
        <x:v>薑汁黑糖</x:v>
      </x:c>
      <x:c r="I13" s="32" t="str">
        <x:v>手切夾鏈袋</x:v>
      </x:c>
      <x:c r="J13" s="32" t="n">
        <x:v>380</x:v>
      </x:c>
      <x:c r="K13" s="32" t="str">
        <x:v>g</x:v>
      </x:c>
      <x:c r="L13" s="32" t="str"/>
      <x:c r="M13" s="32" t="str">
        <x:v>380g</x:v>
      </x:c>
      <x:c r="N13" s="41" t="n">
        <x:v>1980</x:v>
      </x:c>
      <x:c r="O13" s="37" t="n">
        <x:v>99</x:v>
      </x:c>
      <x:c r="P13" s="37" t="n">
        <x:v>25</x:v>
      </x:c>
      <x:c r="Q13" s="37" t="n">
        <x:v>49500</x:v>
      </x:c>
      <x:c r="R13" s="37" t="n">
        <x:v>74</x:v>
      </x:c>
      <x:c r="S13" s="37" t="n">
        <x:v>146520</x:v>
      </x:c>
      <x:c r="T13" s="40" t="n">
        <x:v>0.7474747474747475</x:v>
      </x:c>
      <x:c r="U13" s="37" t="n">
        <x:v>51.280284</x:v>
      </x:c>
      <x:c r="V13" s="37" t="n">
        <x:v>101534.96</x:v>
      </x:c>
      <x:c r="W13" s="37" t="n">
        <x:v>4.95</x:v>
      </x:c>
      <x:c r="X13" s="37" t="n">
        <x:v>9801</x:v>
      </x:c>
      <x:c r="Y13" s="37" t="n">
        <x:v>56.230284000000005</x:v>
      </x:c>
      <x:c r="Z13" s="37" t="n">
        <x:v>111335.96</x:v>
      </x:c>
      <x:c r="AA13" s="37" t="n">
        <x:v>17.769715999999995</x:v>
      </x:c>
      <x:c r="AB13" s="37" t="n">
        <x:v>17.769716</x:v>
      </x:c>
      <x:c r="AC13" s="37" t="n">
        <x:v>17.769716</x:v>
      </x:c>
      <x:c r="AD13" s="37" t="n">
        <x:v>35184.037679999994</x:v>
      </x:c>
      <x:c r="AE13" s="37" t="n">
        <x:v>35184.04</x:v>
      </x:c>
      <x:c r="AF13" s="37" t="n">
        <x:v>35184.04</x:v>
      </x:c>
      <x:c r="AG13" s="37" t="n">
        <x:v>196020</x:v>
      </x:c>
      <x:c r="AH13" s="37" t="n">
        <x:v>196020</x:v>
      </x:c>
      <x:c r="AI13" s="37" t="n">
        <x:v>196020</x:v>
      </x:c>
      <x:c r="AJ13" s="32" t="str">
        <x:v>reported</x:v>
      </x:c>
      <x:c r="AK13" s="32" t="str">
        <x:v>reported</x:v>
      </x:c>
      <x:c r="AL13" s="37" t="n">
        <x:v>0</x:v>
      </x:c>
      <x:c r="AM13" s="37" t="n">
        <x:v>0</x:v>
      </x:c>
      <x:c r="AN13" s="32" t="str">
        <x:v>薑汁黑糖_貼牌_埔里農會_手切夾鏈袋_380g_99</x:v>
      </x:c>
      <x:c r="AO13" s="32" t="str"/>
    </x:row>
    <x:row r="14">
      <x:c r="A14" s="32" t="str">
        <x:v>鐵比倫-產品成本結構試算 (1).xlsx - 2025 營收銷量(客戶填寫).csv</x:v>
      </x:c>
      <x:c r="B14" s="32" t="n">
        <x:v>20</x:v>
      </x:c>
      <x:c r="C14" s="32" t="str">
        <x:v>貼牌客戶-埔里農會
(手切夾鏈袋380g)</x:v>
      </x:c>
      <x:c r="D14" s="32" t="str">
        <x:v>36包(一箱)</x:v>
      </x:c>
      <x:c r="E14" s="32" t="str">
        <x:v>貼牌</x:v>
      </x:c>
      <x:c r="F14" s="32" t="str">
        <x:v>埔里農會</x:v>
      </x:c>
      <x:c r="G14" s="32" t="str">
        <x:v>桂圓黑糖</x:v>
      </x:c>
      <x:c r="H14" s="32" t="str">
        <x:v>桂圓黑糖</x:v>
      </x:c>
      <x:c r="I14" s="32" t="str">
        <x:v>手切夾鏈袋</x:v>
      </x:c>
      <x:c r="J14" s="32" t="n">
        <x:v>380</x:v>
      </x:c>
      <x:c r="K14" s="32" t="str">
        <x:v>g</x:v>
      </x:c>
      <x:c r="L14" s="32" t="str"/>
      <x:c r="M14" s="32" t="str">
        <x:v>380g</x:v>
      </x:c>
      <x:c r="N14" s="41" t="n">
        <x:v>828</x:v>
      </x:c>
      <x:c r="O14" s="37" t="n">
        <x:v>110</x:v>
      </x:c>
      <x:c r="P14" s="37" t="n">
        <x:v>30</x:v>
      </x:c>
      <x:c r="Q14" s="37" t="n">
        <x:v>24840</x:v>
      </x:c>
      <x:c r="R14" s="37" t="n">
        <x:v>80</x:v>
      </x:c>
      <x:c r="S14" s="37" t="n">
        <x:v>66240</x:v>
      </x:c>
      <x:c r="T14" s="40" t="n">
        <x:v>0.7272727272727273</x:v>
      </x:c>
      <x:c r="U14" s="37" t="n">
        <x:v>56.978093333333334</x:v>
      </x:c>
      <x:c r="V14" s="37" t="n">
        <x:v>47177.86</x:v>
      </x:c>
      <x:c r="W14" s="37" t="n">
        <x:v>5.5</x:v>
      </x:c>
      <x:c r="X14" s="37" t="n">
        <x:v>4554</x:v>
      </x:c>
      <x:c r="Y14" s="37" t="n">
        <x:v>62.478093333333334</x:v>
      </x:c>
      <x:c r="Z14" s="37" t="n">
        <x:v>51731.86</x:v>
      </x:c>
      <x:c r="AA14" s="37" t="n">
        <x:v>17.521906666666666</x:v>
      </x:c>
      <x:c r="AB14" s="37" t="n">
        <x:v>17.521907</x:v>
      </x:c>
      <x:c r="AC14" s="37" t="n">
        <x:v>17.521907</x:v>
      </x:c>
      <x:c r="AD14" s="37" t="n">
        <x:v>14508.138719999999</x:v>
      </x:c>
      <x:c r="AE14" s="37" t="n">
        <x:v>14508.14</x:v>
      </x:c>
      <x:c r="AF14" s="37" t="n">
        <x:v>14508.14</x:v>
      </x:c>
      <x:c r="AG14" s="37" t="n">
        <x:v>91080</x:v>
      </x:c>
      <x:c r="AH14" s="37" t="n">
        <x:v>91080</x:v>
      </x:c>
      <x:c r="AI14" s="37" t="n">
        <x:v>91080</x:v>
      </x:c>
      <x:c r="AJ14" s="32" t="str">
        <x:v>reported</x:v>
      </x:c>
      <x:c r="AK14" s="32" t="str">
        <x:v>reported</x:v>
      </x:c>
      <x:c r="AL14" s="37" t="n">
        <x:v>0</x:v>
      </x:c>
      <x:c r="AM14" s="37" t="n">
        <x:v>0</x:v>
      </x:c>
      <x:c r="AN14" s="32" t="str">
        <x:v>桂圓黑糖_貼牌_埔里農會_手切夾鏈袋_380g_110</x:v>
      </x:c>
      <x:c r="AO14" s="32" t="str"/>
    </x:row>
    <x:row r="15">
      <x:c r="A15" s="32" t="str">
        <x:v>鐵比倫-產品成本結構試算 (1).xlsx - 2025 營收銷量(客戶填寫).csv</x:v>
      </x:c>
      <x:c r="B15" s="32" t="n">
        <x:v>21</x:v>
      </x:c>
      <x:c r="C15" s="32" t="str">
        <x:v>貼牌客戶-埔里農會
(手切夾鏈袋380g)</x:v>
      </x:c>
      <x:c r="D15" s="32" t="str">
        <x:v>36包(一箱)</x:v>
      </x:c>
      <x:c r="E15" s="32" t="str">
        <x:v>貼牌</x:v>
      </x:c>
      <x:c r="F15" s="32" t="str">
        <x:v>埔里農會</x:v>
      </x:c>
      <x:c r="G15" s="32" t="str">
        <x:v>玫瑰四物黑糖</x:v>
      </x:c>
      <x:c r="H15" s="32" t="str">
        <x:v>玫瑰四物黑糖</x:v>
      </x:c>
      <x:c r="I15" s="32" t="str">
        <x:v>手切夾鏈袋</x:v>
      </x:c>
      <x:c r="J15" s="32" t="n">
        <x:v>380</x:v>
      </x:c>
      <x:c r="K15" s="32" t="str">
        <x:v>g</x:v>
      </x:c>
      <x:c r="L15" s="32" t="str"/>
      <x:c r="M15" s="32" t="str">
        <x:v>380g</x:v>
      </x:c>
      <x:c r="N15" s="41" t="n">
        <x:v>468</x:v>
      </x:c>
      <x:c r="O15" s="37" t="n">
        <x:v>110</x:v>
      </x:c>
      <x:c r="P15" s="37" t="n">
        <x:v>24</x:v>
      </x:c>
      <x:c r="Q15" s="37" t="n">
        <x:v>11232</x:v>
      </x:c>
      <x:c r="R15" s="37" t="n">
        <x:v>86</x:v>
      </x:c>
      <x:c r="S15" s="37" t="n">
        <x:v>40248</x:v>
      </x:c>
      <x:c r="T15" s="40" t="n">
        <x:v>0.7818181818181819</x:v>
      </x:c>
      <x:c r="U15" s="37" t="n">
        <x:v>56.978093333333334</x:v>
      </x:c>
      <x:c r="V15" s="37" t="n">
        <x:v>26665.75</x:v>
      </x:c>
      <x:c r="W15" s="37" t="n">
        <x:v>5.5</x:v>
      </x:c>
      <x:c r="X15" s="37" t="n">
        <x:v>2574</x:v>
      </x:c>
      <x:c r="Y15" s="37" t="n">
        <x:v>62.478093333333334</x:v>
      </x:c>
      <x:c r="Z15" s="37" t="n">
        <x:v>29239.75</x:v>
      </x:c>
      <x:c r="AA15" s="37" t="n">
        <x:v>23.521906666666666</x:v>
      </x:c>
      <x:c r="AB15" s="37" t="n">
        <x:v>23.521907</x:v>
      </x:c>
      <x:c r="AC15" s="37" t="n">
        <x:v>23.521907</x:v>
      </x:c>
      <x:c r="AD15" s="37" t="n">
        <x:v>11008.25232</x:v>
      </x:c>
      <x:c r="AE15" s="37" t="n">
        <x:v>11008.25</x:v>
      </x:c>
      <x:c r="AF15" s="37" t="n">
        <x:v>11008.25</x:v>
      </x:c>
      <x:c r="AG15" s="37" t="n">
        <x:v>51480</x:v>
      </x:c>
      <x:c r="AH15" s="37" t="n">
        <x:v>51480</x:v>
      </x:c>
      <x:c r="AI15" s="37" t="n">
        <x:v>51480</x:v>
      </x:c>
      <x:c r="AJ15" s="32" t="str">
        <x:v>reported</x:v>
      </x:c>
      <x:c r="AK15" s="32" t="str">
        <x:v>reported</x:v>
      </x:c>
      <x:c r="AL15" s="37" t="n">
        <x:v>0</x:v>
      </x:c>
      <x:c r="AM15" s="37" t="n">
        <x:v>0</x:v>
      </x:c>
      <x:c r="AN15" s="32" t="str">
        <x:v>玫瑰四物黑糖_貼牌_埔里農會_手切夾鏈袋_380g_110</x:v>
      </x:c>
      <x:c r="AO15" s="32" t="str"/>
    </x:row>
    <x:row r="16">
      <x:c r="A16" s="32" t="str">
        <x:v>鐵比倫-產品成本結構試算 (1).xlsx - 2025 營收銷量(客戶填寫).csv</x:v>
      </x:c>
      <x:c r="B16" s="32" t="n">
        <x:v>26</x:v>
      </x:c>
      <x:c r="C16" s="32" t="str">
        <x:v>手切(每台斤)</x:v>
      </x:c>
      <x:c r="D16" s="32" t="str">
        <x:v>40台斤(一箱)</x:v>
      </x:c>
      <x:c r="E16" s="32" t="str">
        <x:v>直售</x:v>
      </x:c>
      <x:c r="F16" s="32" t="str">
        <x:v>手切</x:v>
      </x:c>
      <x:c r="G16" s="32" t="str">
        <x:v>原味黑糖</x:v>
      </x:c>
      <x:c r="H16" s="32" t="str">
        <x:v>原味黑糖</x:v>
      </x:c>
      <x:c r="I16" s="32" t="str">
        <x:v>手切台斤</x:v>
      </x:c>
      <x:c r="J16" s="32" t="n">
        <x:v>600</x:v>
      </x:c>
      <x:c r="K16" s="32" t="str">
        <x:v>g</x:v>
      </x:c>
      <x:c r="L16" s="32" t="str">
        <x:v>台斤</x:v>
      </x:c>
      <x:c r="M16" s="32" t="str">
        <x:v>600g</x:v>
      </x:c>
      <x:c r="N16" s="41" t="n">
        <x:v>240</x:v>
      </x:c>
      <x:c r="O16" s="37" t="n">
        <x:v>100</x:v>
      </x:c>
      <x:c r="P16" s="37" t="n">
        <x:v>21</x:v>
      </x:c>
      <x:c r="Q16" s="37" t="n">
        <x:v>5040</x:v>
      </x:c>
      <x:c r="R16" s="37" t="n">
        <x:v>79</x:v>
      </x:c>
      <x:c r="S16" s="37" t="n">
        <x:v>18960</x:v>
      </x:c>
      <x:c r="T16" s="40" t="n">
        <x:v>0.79</x:v>
      </x:c>
      <x:c r="U16" s="37" t="n">
        <x:v>51.79826666666667</x:v>
      </x:c>
      <x:c r="V16" s="37" t="n">
        <x:v>12431.58</x:v>
      </x:c>
      <x:c r="W16" s="37" t="n">
        <x:v>5</x:v>
      </x:c>
      <x:c r="X16" s="37" t="n">
        <x:v>1200</x:v>
      </x:c>
      <x:c r="Y16" s="37" t="n">
        <x:v>56.79826666666667</x:v>
      </x:c>
      <x:c r="Z16" s="37" t="n">
        <x:v>13631.58</x:v>
      </x:c>
      <x:c r="AA16" s="37" t="n">
        <x:v>22.20173333333333</x:v>
      </x:c>
      <x:c r="AB16" s="37" t="n">
        <x:v>22.201733</x:v>
      </x:c>
      <x:c r="AC16" s="37" t="n">
        <x:v>22.201733</x:v>
      </x:c>
      <x:c r="AD16" s="37" t="n">
        <x:v>5328.415999999999</x:v>
      </x:c>
      <x:c r="AE16" s="37" t="n">
        <x:v>5328.42</x:v>
      </x:c>
      <x:c r="AF16" s="37" t="n">
        <x:v>5328.42</x:v>
      </x:c>
      <x:c r="AG16" s="37" t="n">
        <x:v>24000</x:v>
      </x:c>
      <x:c r="AH16" s="37" t="n">
        <x:v>24000</x:v>
      </x:c>
      <x:c r="AI16" s="37" t="n">
        <x:v>24000</x:v>
      </x:c>
      <x:c r="AJ16" s="32" t="str">
        <x:v>reported</x:v>
      </x:c>
      <x:c r="AK16" s="32" t="str">
        <x:v>reported</x:v>
      </x:c>
      <x:c r="AL16" s="37" t="n">
        <x:v>0</x:v>
      </x:c>
      <x:c r="AM16" s="37" t="n">
        <x:v>0</x:v>
      </x:c>
      <x:c r="AN16" s="32" t="str">
        <x:v>原味黑糖_直售_手切_手切台斤_600g_100</x:v>
      </x:c>
      <x:c r="AO16" s="32" t="str"/>
    </x:row>
    <x:row r="17">
      <x:c r="A17" s="32" t="str">
        <x:v>鐵比倫-產品成本結構試算 (1).xlsx - 2025 營收銷量(客戶填寫).csv</x:v>
      </x:c>
      <x:c r="B17" s="32" t="n">
        <x:v>27</x:v>
      </x:c>
      <x:c r="C17" s="32" t="str">
        <x:v>手切(每台斤)</x:v>
      </x:c>
      <x:c r="D17" s="32" t="str">
        <x:v>40台斤(一箱)</x:v>
      </x:c>
      <x:c r="E17" s="32" t="str">
        <x:v>直售</x:v>
      </x:c>
      <x:c r="F17" s="32" t="str">
        <x:v>手切</x:v>
      </x:c>
      <x:c r="G17" s="32" t="str">
        <x:v>薑汁黑糖</x:v>
      </x:c>
      <x:c r="H17" s="32" t="str">
        <x:v>薑汁黑糖</x:v>
      </x:c>
      <x:c r="I17" s="32" t="str">
        <x:v>手切台斤</x:v>
      </x:c>
      <x:c r="J17" s="32" t="n">
        <x:v>600</x:v>
      </x:c>
      <x:c r="K17" s="32" t="str">
        <x:v>g</x:v>
      </x:c>
      <x:c r="L17" s="32" t="str">
        <x:v>台斤</x:v>
      </x:c>
      <x:c r="M17" s="32" t="str">
        <x:v>600g</x:v>
      </x:c>
      <x:c r="N17" s="41" t="n">
        <x:v>1020</x:v>
      </x:c>
      <x:c r="O17" s="37" t="n">
        <x:v>110</x:v>
      </x:c>
      <x:c r="P17" s="37" t="n">
        <x:v>27</x:v>
      </x:c>
      <x:c r="Q17" s="37" t="n">
        <x:v>27540</x:v>
      </x:c>
      <x:c r="R17" s="37" t="n">
        <x:v>83</x:v>
      </x:c>
      <x:c r="S17" s="37" t="n">
        <x:v>84660</x:v>
      </x:c>
      <x:c r="T17" s="40" t="n">
        <x:v>0.7545454545454545</x:v>
      </x:c>
      <x:c r="U17" s="37" t="n">
        <x:v>56.978093333333334</x:v>
      </x:c>
      <x:c r="V17" s="37" t="n">
        <x:v>58117.66</x:v>
      </x:c>
      <x:c r="W17" s="37" t="n">
        <x:v>5.5</x:v>
      </x:c>
      <x:c r="X17" s="37" t="n">
        <x:v>5610</x:v>
      </x:c>
      <x:c r="Y17" s="37" t="n">
        <x:v>62.478093333333334</x:v>
      </x:c>
      <x:c r="Z17" s="37" t="n">
        <x:v>63727.66</x:v>
      </x:c>
      <x:c r="AA17" s="37" t="n">
        <x:v>20.521906666666666</x:v>
      </x:c>
      <x:c r="AB17" s="37" t="n">
        <x:v>20.521907</x:v>
      </x:c>
      <x:c r="AC17" s="37" t="n">
        <x:v>20.521907</x:v>
      </x:c>
      <x:c r="AD17" s="37" t="n">
        <x:v>20932.3448</x:v>
      </x:c>
      <x:c r="AE17" s="37" t="n">
        <x:v>20932.34</x:v>
      </x:c>
      <x:c r="AF17" s="37" t="n">
        <x:v>20932.34</x:v>
      </x:c>
      <x:c r="AG17" s="37" t="n">
        <x:v>112200</x:v>
      </x:c>
      <x:c r="AH17" s="37" t="n">
        <x:v>112200</x:v>
      </x:c>
      <x:c r="AI17" s="37" t="n">
        <x:v>112200</x:v>
      </x:c>
      <x:c r="AJ17" s="32" t="str">
        <x:v>reported</x:v>
      </x:c>
      <x:c r="AK17" s="32" t="str">
        <x:v>reported</x:v>
      </x:c>
      <x:c r="AL17" s="37" t="n">
        <x:v>0</x:v>
      </x:c>
      <x:c r="AM17" s="37" t="n">
        <x:v>0</x:v>
      </x:c>
      <x:c r="AN17" s="32" t="str">
        <x:v>薑汁黑糖_直售_手切_手切台斤_600g_110</x:v>
      </x:c>
      <x:c r="AO17" s="32" t="str"/>
    </x:row>
    <x:row r="18">
      <x:c r="A18" s="32" t="str">
        <x:v>鐵比倫-產品成本結構試算 (1).xlsx - 2025 營收銷量(客戶填寫).csv</x:v>
      </x:c>
      <x:c r="B18" s="32" t="n">
        <x:v>28</x:v>
      </x:c>
      <x:c r="C18" s="32" t="str">
        <x:v>手切(每台斤)</x:v>
      </x:c>
      <x:c r="D18" s="32" t="str">
        <x:v>40台斤(一箱)</x:v>
      </x:c>
      <x:c r="E18" s="32" t="str">
        <x:v>直售</x:v>
      </x:c>
      <x:c r="F18" s="32" t="str">
        <x:v>手切</x:v>
      </x:c>
      <x:c r="G18" s="32" t="str">
        <x:v>桂圓黑糖</x:v>
      </x:c>
      <x:c r="H18" s="32" t="str">
        <x:v>桂圓黑糖</x:v>
      </x:c>
      <x:c r="I18" s="32" t="str">
        <x:v>手切台斤</x:v>
      </x:c>
      <x:c r="J18" s="32" t="n">
        <x:v>600</x:v>
      </x:c>
      <x:c r="K18" s="32" t="str">
        <x:v>g</x:v>
      </x:c>
      <x:c r="L18" s="32" t="str">
        <x:v>台斤</x:v>
      </x:c>
      <x:c r="M18" s="32" t="str">
        <x:v>600g</x:v>
      </x:c>
      <x:c r="N18" s="41" t="n">
        <x:v>120</x:v>
      </x:c>
      <x:c r="O18" s="37" t="n">
        <x:v>140</x:v>
      </x:c>
      <x:c r="P18" s="37" t="n">
        <x:v>33</x:v>
      </x:c>
      <x:c r="Q18" s="37" t="n">
        <x:v>3960</x:v>
      </x:c>
      <x:c r="R18" s="37" t="n">
        <x:v>107</x:v>
      </x:c>
      <x:c r="S18" s="37" t="n">
        <x:v>12840</x:v>
      </x:c>
      <x:c r="T18" s="40" t="n">
        <x:v>0.7642857142857142</x:v>
      </x:c>
      <x:c r="U18" s="37" t="n">
        <x:v>72.51757333333333</x:v>
      </x:c>
      <x:c r="V18" s="37" t="n">
        <x:v>8702.11</x:v>
      </x:c>
      <x:c r="W18" s="37" t="n">
        <x:v>7</x:v>
      </x:c>
      <x:c r="X18" s="37" t="n">
        <x:v>840</x:v>
      </x:c>
      <x:c r="Y18" s="37" t="n">
        <x:v>79.51757333333333</x:v>
      </x:c>
      <x:c r="Z18" s="37" t="n">
        <x:v>9542.11</x:v>
      </x:c>
      <x:c r="AA18" s="37" t="n">
        <x:v>27.48242666666667</x:v>
      </x:c>
      <x:c r="AB18" s="37" t="n">
        <x:v>27.482427</x:v>
      </x:c>
      <x:c r="AC18" s="37" t="n">
        <x:v>27.482427</x:v>
      </x:c>
      <x:c r="AD18" s="37" t="n">
        <x:v>3297.8912</x:v>
      </x:c>
      <x:c r="AE18" s="37" t="n">
        <x:v>3297.89</x:v>
      </x:c>
      <x:c r="AF18" s="37" t="n">
        <x:v>3297.89</x:v>
      </x:c>
      <x:c r="AG18" s="37" t="n">
        <x:v>16800</x:v>
      </x:c>
      <x:c r="AH18" s="37" t="n">
        <x:v>16800</x:v>
      </x:c>
      <x:c r="AI18" s="37" t="n">
        <x:v>16800</x:v>
      </x:c>
      <x:c r="AJ18" s="32" t="str">
        <x:v>reported</x:v>
      </x:c>
      <x:c r="AK18" s="32" t="str">
        <x:v>reported</x:v>
      </x:c>
      <x:c r="AL18" s="37" t="n">
        <x:v>0</x:v>
      </x:c>
      <x:c r="AM18" s="37" t="n">
        <x:v>0</x:v>
      </x:c>
      <x:c r="AN18" s="32" t="str">
        <x:v>桂圓黑糖_直售_手切_手切台斤_600g_140</x:v>
      </x:c>
      <x:c r="AO18" s="32" t="str"/>
    </x:row>
    <x:row r="19">
      <x:c r="A19" s="32" t="str">
        <x:v>鐵比倫-產品成本結構試算 (1).xlsx - 2025 營收銷量(客戶填寫).csv</x:v>
      </x:c>
      <x:c r="B19" s="32" t="n">
        <x:v>29</x:v>
      </x:c>
      <x:c r="C19" s="32" t="str">
        <x:v>手切(每台斤)</x:v>
      </x:c>
      <x:c r="D19" s="32" t="str">
        <x:v>40台斤(一箱)</x:v>
      </x:c>
      <x:c r="E19" s="32" t="str">
        <x:v>直售</x:v>
      </x:c>
      <x:c r="F19" s="32" t="str">
        <x:v>手切</x:v>
      </x:c>
      <x:c r="G19" s="32" t="str">
        <x:v>玫瑰四物黑糖</x:v>
      </x:c>
      <x:c r="H19" s="32" t="str">
        <x:v>玫瑰四物黑糖</x:v>
      </x:c>
      <x:c r="I19" s="32" t="str">
        <x:v>手切台斤</x:v>
      </x:c>
      <x:c r="J19" s="32" t="n">
        <x:v>600</x:v>
      </x:c>
      <x:c r="K19" s="32" t="str">
        <x:v>g</x:v>
      </x:c>
      <x:c r="L19" s="32" t="str">
        <x:v>台斤</x:v>
      </x:c>
      <x:c r="M19" s="32" t="str">
        <x:v>600g</x:v>
      </x:c>
      <x:c r="N19" s="41" t="n">
        <x:v>40</x:v>
      </x:c>
      <x:c r="O19" s="37" t="n">
        <x:v>130</x:v>
      </x:c>
      <x:c r="P19" s="37" t="n">
        <x:v>26</x:v>
      </x:c>
      <x:c r="Q19" s="37" t="n">
        <x:v>1040</x:v>
      </x:c>
      <x:c r="R19" s="37" t="n">
        <x:v>104</x:v>
      </x:c>
      <x:c r="S19" s="37" t="n">
        <x:v>4160</x:v>
      </x:c>
      <x:c r="T19" s="40" t="n">
        <x:v>0.8</x:v>
      </x:c>
      <x:c r="U19" s="37" t="n">
        <x:v>67.33774666666667</x:v>
      </x:c>
      <x:c r="V19" s="37" t="n">
        <x:v>2693.51</x:v>
      </x:c>
      <x:c r="W19" s="37" t="n">
        <x:v>6.5</x:v>
      </x:c>
      <x:c r="X19" s="37" t="n">
        <x:v>260</x:v>
      </x:c>
      <x:c r="Y19" s="37" t="n">
        <x:v>73.83774666666667</x:v>
      </x:c>
      <x:c r="Z19" s="37" t="n">
        <x:v>2953.51</x:v>
      </x:c>
      <x:c r="AA19" s="37" t="n">
        <x:v>30.162253333333325</x:v>
      </x:c>
      <x:c r="AB19" s="37" t="n">
        <x:v>30.162253</x:v>
      </x:c>
      <x:c r="AC19" s="37" t="n">
        <x:v>30.162253</x:v>
      </x:c>
      <x:c r="AD19" s="37" t="n">
        <x:v>1206.490133333333</x:v>
      </x:c>
      <x:c r="AE19" s="37" t="n">
        <x:v>1206.49</x:v>
      </x:c>
      <x:c r="AF19" s="37" t="n">
        <x:v>1206.49</x:v>
      </x:c>
      <x:c r="AG19" s="37" t="n">
        <x:v>5200</x:v>
      </x:c>
      <x:c r="AH19" s="37" t="n">
        <x:v>5200</x:v>
      </x:c>
      <x:c r="AI19" s="37" t="n">
        <x:v>5200</x:v>
      </x:c>
      <x:c r="AJ19" s="32" t="str">
        <x:v>reported</x:v>
      </x:c>
      <x:c r="AK19" s="32" t="str">
        <x:v>reported</x:v>
      </x:c>
      <x:c r="AL19" s="37" t="n">
        <x:v>0</x:v>
      </x:c>
      <x:c r="AM19" s="37" t="n">
        <x:v>0</x:v>
      </x:c>
      <x:c r="AN19" s="32" t="str">
        <x:v>玫瑰四物黑糖_直售_手切_手切台斤_600g_130</x:v>
      </x:c>
      <x:c r="AO19" s="32" t="str"/>
    </x:row>
    <x:row r="20">
      <x:c r="A20" s="32" t="str">
        <x:v>鐵比倫-產品成本結構試算 (1).xlsx - 2025 營收銷量(客戶填寫).csv</x:v>
      </x:c>
      <x:c r="B20" s="32" t="n">
        <x:v>36</x:v>
      </x:c>
      <x:c r="C20" s="32" t="str">
        <x:v>蜜類-350ml</x:v>
      </x:c>
      <x:c r="D20" s="32" t="str"/>
      <x:c r="E20" s="32" t="str">
        <x:v>蜜類</x:v>
      </x:c>
      <x:c r="F20" s="32" t="str">
        <x:v>蜜類</x:v>
      </x:c>
      <x:c r="G20" s="32" t="str">
        <x:v>黑糖蜜</x:v>
      </x:c>
      <x:c r="H20" s="32" t="str">
        <x:v>黑糖蜜</x:v>
      </x:c>
      <x:c r="I20" s="32" t="str">
        <x:v>蜜類瓶裝</x:v>
      </x:c>
      <x:c r="J20" s="32" t="n">
        <x:v>350</x:v>
      </x:c>
      <x:c r="K20" s="32" t="str">
        <x:v>ml</x:v>
      </x:c>
      <x:c r="L20" s="32" t="str"/>
      <x:c r="M20" s="32" t="str">
        <x:v>350ml</x:v>
      </x:c>
      <x:c r="N20" s="41" t="n">
        <x:v>2362</x:v>
      </x:c>
      <x:c r="O20" s="37" t="n">
        <x:v>130</x:v>
      </x:c>
      <x:c r="P20" s="37" t="n">
        <x:v>38.6</x:v>
      </x:c>
      <x:c r="Q20" s="37" t="n">
        <x:v>91173.2</x:v>
      </x:c>
      <x:c r="R20" s="37" t="n">
        <x:v>91.4</x:v>
      </x:c>
      <x:c r="S20" s="37" t="n">
        <x:v>215886.8</x:v>
      </x:c>
      <x:c r="T20" s="40" t="n">
        <x:v>0.7030769230769232</x:v>
      </x:c>
      <x:c r="U20" s="37" t="n">
        <x:v>67.33774666666667</x:v>
      </x:c>
      <x:c r="V20" s="37" t="n">
        <x:v>159051.76</x:v>
      </x:c>
      <x:c r="W20" s="37" t="n">
        <x:v>6.5</x:v>
      </x:c>
      <x:c r="X20" s="37" t="n">
        <x:v>15353</x:v>
      </x:c>
      <x:c r="Y20" s="37" t="n">
        <x:v>73.83774666666667</x:v>
      </x:c>
      <x:c r="Z20" s="37" t="n">
        <x:v>174404.76</x:v>
      </x:c>
      <x:c r="AA20" s="37" t="n">
        <x:v>17.56225333333333</x:v>
      </x:c>
      <x:c r="AB20" s="37" t="n">
        <x:v>17.562253</x:v>
      </x:c>
      <x:c r="AC20" s="37" t="n">
        <x:v>17.562253</x:v>
      </x:c>
      <x:c r="AD20" s="37" t="n">
        <x:v>41482.04237333332</x:v>
      </x:c>
      <x:c r="AE20" s="37" t="n">
        <x:v>41482.04</x:v>
      </x:c>
      <x:c r="AF20" s="37" t="n">
        <x:v>41482.04</x:v>
      </x:c>
      <x:c r="AG20" s="37" t="n">
        <x:v>307060</x:v>
      </x:c>
      <x:c r="AH20" s="37" t="n">
        <x:v>307060</x:v>
      </x:c>
      <x:c r="AI20" s="37" t="n">
        <x:v>307060</x:v>
      </x:c>
      <x:c r="AJ20" s="32" t="str">
        <x:v>reported</x:v>
      </x:c>
      <x:c r="AK20" s="32" t="str">
        <x:v>reported</x:v>
      </x:c>
      <x:c r="AL20" s="37" t="n">
        <x:v>0</x:v>
      </x:c>
      <x:c r="AM20" s="37" t="n">
        <x:v>0</x:v>
      </x:c>
      <x:c r="AN20" s="32" t="str">
        <x:v>黑糖蜜_蜜類_蜜類_蜜類瓶裝_350ml_130</x:v>
      </x:c>
      <x:c r="AO20" s="32" t="str"/>
    </x:row>
    <x:row r="21">
      <x:c r="A21" s="32" t="str">
        <x:v>鐵比倫-產品成本結構試算 (1).xlsx - 2025 營收銷量(客戶填寫).csv</x:v>
      </x:c>
      <x:c r="B21" s="32" t="n">
        <x:v>37</x:v>
      </x:c>
      <x:c r="C21" s="32" t="str">
        <x:v>蜜類-150ml</x:v>
      </x:c>
      <x:c r="D21" s="32" t="str"/>
      <x:c r="E21" s="32" t="str">
        <x:v>蜜類</x:v>
      </x:c>
      <x:c r="F21" s="32" t="str">
        <x:v>蜜類</x:v>
      </x:c>
      <x:c r="G21" s="32" t="str">
        <x:v>黑糖檸檬</x:v>
      </x:c>
      <x:c r="H21" s="32" t="str">
        <x:v>黑糖檸檬</x:v>
      </x:c>
      <x:c r="I21" s="32" t="str">
        <x:v>蜜類瓶裝</x:v>
      </x:c>
      <x:c r="J21" s="32" t="n">
        <x:v>150</x:v>
      </x:c>
      <x:c r="K21" s="32" t="str">
        <x:v>ml</x:v>
      </x:c>
      <x:c r="L21" s="32" t="str"/>
      <x:c r="M21" s="32" t="str">
        <x:v>150ml</x:v>
      </x:c>
      <x:c r="N21" s="41" t="n">
        <x:v>63</x:v>
      </x:c>
      <x:c r="O21" s="37" t="n">
        <x:v>117</x:v>
      </x:c>
      <x:c r="P21" s="37" t="n">
        <x:v>51.3</x:v>
      </x:c>
      <x:c r="Q21" s="37" t="n">
        <x:v>3231.9</x:v>
      </x:c>
      <x:c r="R21" s="37" t="n">
        <x:v>65.7</x:v>
      </x:c>
      <x:c r="S21" s="37" t="n">
        <x:v>4139.1</x:v>
      </x:c>
      <x:c r="T21" s="40" t="n">
        <x:v>0.5615384615384615</x:v>
      </x:c>
      <x:c r="U21" s="37" t="n">
        <x:v>60.603972000000006</x:v>
      </x:c>
      <x:c r="V21" s="37" t="n">
        <x:v>3818.05</x:v>
      </x:c>
      <x:c r="W21" s="37" t="n">
        <x:v>5.8500000000000005</x:v>
      </x:c>
      <x:c r="X21" s="37" t="n">
        <x:v>368.55</x:v>
      </x:c>
      <x:c r="Y21" s="37" t="n">
        <x:v>66.45397200000001</x:v>
      </x:c>
      <x:c r="Z21" s="37" t="n">
        <x:v>4186.6</x:v>
      </x:c>
      <x:c r="AA21" s="37" t="n">
        <x:v>-0.7539720000000045</x:v>
      </x:c>
      <x:c r="AB21" s="37" t="n">
        <x:v>-0.753972</x:v>
      </x:c>
      <x:c r="AC21" s="37" t="n">
        <x:v>-0.753972</x:v>
      </x:c>
      <x:c r="AD21" s="37" t="n">
        <x:v>-47.500236000000285</x:v>
      </x:c>
      <x:c r="AE21" s="37" t="n">
        <x:v>-47.5</x:v>
      </x:c>
      <x:c r="AF21" s="37" t="n">
        <x:v>-47.5</x:v>
      </x:c>
      <x:c r="AG21" s="37" t="n">
        <x:v>7371</x:v>
      </x:c>
      <x:c r="AH21" s="37" t="n">
        <x:v>7371</x:v>
      </x:c>
      <x:c r="AI21" s="37" t="n">
        <x:v>7371</x:v>
      </x:c>
      <x:c r="AJ21" s="32" t="str">
        <x:v>reported</x:v>
      </x:c>
      <x:c r="AK21" s="32" t="str">
        <x:v>reported</x:v>
      </x:c>
      <x:c r="AL21" s="37" t="n">
        <x:v>0</x:v>
      </x:c>
      <x:c r="AM21" s="37" t="n">
        <x:v>0</x:v>
      </x:c>
      <x:c r="AN21" s="32" t="str">
        <x:v>黑糖檸檬_蜜類_蜜類_蜜類瓶裝_150ml_117</x:v>
      </x:c>
      <x:c r="AO21" s="32" t="str">
        <x:v>negative_profit</x:v>
      </x:c>
    </x:row>
    <x:row r="22">
      <x:c r="A22" s="32" t="str">
        <x:v>鐵比倫-產品成本結構試算 (1).xlsx - 2025 營收銷量(客戶填寫).csv</x:v>
      </x:c>
      <x:c r="B22" s="32" t="n">
        <x:v>38</x:v>
      </x:c>
      <x:c r="C22" s="32" t="str">
        <x:v>蜜類-150ml</x:v>
      </x:c>
      <x:c r="D22" s="32" t="str"/>
      <x:c r="E22" s="32" t="str">
        <x:v>蜜類</x:v>
      </x:c>
      <x:c r="F22" s="32" t="str">
        <x:v>蜜類</x:v>
      </x:c>
      <x:c r="G22" s="32" t="str">
        <x:v>百香果黑糖</x:v>
      </x:c>
      <x:c r="H22" s="32" t="str">
        <x:v>百香果黑糖</x:v>
      </x:c>
      <x:c r="I22" s="32" t="str">
        <x:v>蜜類瓶裝</x:v>
      </x:c>
      <x:c r="J22" s="32" t="n">
        <x:v>150</x:v>
      </x:c>
      <x:c r="K22" s="32" t="str">
        <x:v>ml</x:v>
      </x:c>
      <x:c r="L22" s="32" t="str"/>
      <x:c r="M22" s="32" t="str">
        <x:v>150ml</x:v>
      </x:c>
      <x:c r="N22" s="41" t="n">
        <x:v>40</x:v>
      </x:c>
      <x:c r="O22" s="37" t="n">
        <x:v>117</x:v>
      </x:c>
      <x:c r="P22" s="37" t="n">
        <x:v>48</x:v>
      </x:c>
      <x:c r="Q22" s="37" t="n">
        <x:v>1920</x:v>
      </x:c>
      <x:c r="R22" s="37" t="n">
        <x:v>69</x:v>
      </x:c>
      <x:c r="S22" s="37" t="n">
        <x:v>2760</x:v>
      </x:c>
      <x:c r="T22" s="40" t="n">
        <x:v>0.5897435897435898</x:v>
      </x:c>
      <x:c r="U22" s="37" t="n">
        <x:v>60.603972000000006</x:v>
      </x:c>
      <x:c r="V22" s="37" t="n">
        <x:v>2424.16</x:v>
      </x:c>
      <x:c r="W22" s="37" t="n">
        <x:v>5.8500000000000005</x:v>
      </x:c>
      <x:c r="X22" s="37" t="n">
        <x:v>234</x:v>
      </x:c>
      <x:c r="Y22" s="37" t="n">
        <x:v>66.45397200000001</x:v>
      </x:c>
      <x:c r="Z22" s="37" t="n">
        <x:v>2658.16</x:v>
      </x:c>
      <x:c r="AA22" s="37" t="n">
        <x:v>2.5460279999999926</x:v>
      </x:c>
      <x:c r="AB22" s="37" t="n">
        <x:v>2.546028</x:v>
      </x:c>
      <x:c r="AC22" s="37" t="n">
        <x:v>2.546028</x:v>
      </x:c>
      <x:c r="AD22" s="37" t="n">
        <x:v>101.8411199999997</x:v>
      </x:c>
      <x:c r="AE22" s="37" t="n">
        <x:v>101.84</x:v>
      </x:c>
      <x:c r="AF22" s="37" t="n">
        <x:v>101.84</x:v>
      </x:c>
      <x:c r="AG22" s="37" t="n">
        <x:v>4680</x:v>
      </x:c>
      <x:c r="AH22" s="37" t="n">
        <x:v>4680</x:v>
      </x:c>
      <x:c r="AI22" s="37" t="n">
        <x:v>4680</x:v>
      </x:c>
      <x:c r="AJ22" s="32" t="str">
        <x:v>reported</x:v>
      </x:c>
      <x:c r="AK22" s="32" t="str">
        <x:v>reported</x:v>
      </x:c>
      <x:c r="AL22" s="37" t="n">
        <x:v>0</x:v>
      </x:c>
      <x:c r="AM22" s="37" t="n">
        <x:v>0</x:v>
      </x:c>
      <x:c r="AN22" s="32" t="str">
        <x:v>百香果黑糖_蜜類_蜜類_蜜類瓶裝_150ml_117</x:v>
      </x:c>
      <x:c r="AO22" s="32" t="str"/>
    </x:row>
    <x:row r="23">
      <x:c r="A23" s="32" t="str">
        <x:v>鐵比倫-產品成本結構試算 (1).xlsx - 2025 營收銷量(客戶填寫).csv</x:v>
      </x:c>
      <x:c r="B23" s="32" t="n">
        <x:v>39</x:v>
      </x:c>
      <x:c r="C23" s="32" t="str">
        <x:v>蜜類-150ml</x:v>
      </x:c>
      <x:c r="D23" s="32" t="str"/>
      <x:c r="E23" s="32" t="str">
        <x:v>蜜類</x:v>
      </x:c>
      <x:c r="F23" s="32" t="str">
        <x:v>蜜類</x:v>
      </x:c>
      <x:c r="G23" s="32" t="str">
        <x:v>梅精黑糖</x:v>
      </x:c>
      <x:c r="H23" s="32" t="str">
        <x:v>梅精黑糖</x:v>
      </x:c>
      <x:c r="I23" s="32" t="str">
        <x:v>蜜類瓶裝</x:v>
      </x:c>
      <x:c r="J23" s="32" t="n">
        <x:v>150</x:v>
      </x:c>
      <x:c r="K23" s="32" t="str">
        <x:v>ml</x:v>
      </x:c>
      <x:c r="L23" s="32" t="str"/>
      <x:c r="M23" s="32" t="str">
        <x:v>150ml</x:v>
      </x:c>
      <x:c r="N23" s="41" t="n">
        <x:v>109</x:v>
      </x:c>
      <x:c r="O23" s="37" t="n">
        <x:v>143</x:v>
      </x:c>
      <x:c r="P23" s="37" t="n">
        <x:v>47</x:v>
      </x:c>
      <x:c r="Q23" s="37" t="n">
        <x:v>5123</x:v>
      </x:c>
      <x:c r="R23" s="37" t="n">
        <x:v>96</x:v>
      </x:c>
      <x:c r="S23" s="37" t="n">
        <x:v>10464</x:v>
      </x:c>
      <x:c r="T23" s="40" t="n">
        <x:v>0.6713286713286714</x:v>
      </x:c>
      <x:c r="U23" s="37" t="n">
        <x:v>74.07152133333334</x:v>
      </x:c>
      <x:c r="V23" s="37" t="n">
        <x:v>8073.8</x:v>
      </x:c>
      <x:c r="W23" s="37" t="n">
        <x:v>7.15</x:v>
      </x:c>
      <x:c r="X23" s="37" t="n">
        <x:v>779.35</x:v>
      </x:c>
      <x:c r="Y23" s="37" t="n">
        <x:v>81.22152133333334</x:v>
      </x:c>
      <x:c r="Z23" s="37" t="n">
        <x:v>8853.15</x:v>
      </x:c>
      <x:c r="AA23" s="37" t="n">
        <x:v>14.778478666666658</x:v>
      </x:c>
      <x:c r="AB23" s="37" t="n">
        <x:v>14.778479</x:v>
      </x:c>
      <x:c r="AC23" s="37" t="n">
        <x:v>14.778479</x:v>
      </x:c>
      <x:c r="AD23" s="37" t="n">
        <x:v>1610.8541746666656</x:v>
      </x:c>
      <x:c r="AE23" s="37" t="n">
        <x:v>1610.85</x:v>
      </x:c>
      <x:c r="AF23" s="37" t="n">
        <x:v>1610.85</x:v>
      </x:c>
      <x:c r="AG23" s="37" t="n">
        <x:v>15587</x:v>
      </x:c>
      <x:c r="AH23" s="37" t="n">
        <x:v>15587</x:v>
      </x:c>
      <x:c r="AI23" s="37" t="n">
        <x:v>15587</x:v>
      </x:c>
      <x:c r="AJ23" s="32" t="str">
        <x:v>reported</x:v>
      </x:c>
      <x:c r="AK23" s="32" t="str">
        <x:v>reported</x:v>
      </x:c>
      <x:c r="AL23" s="37" t="n">
        <x:v>0</x:v>
      </x:c>
      <x:c r="AM23" s="37" t="n">
        <x:v>0</x:v>
      </x:c>
      <x:c r="AN23" s="32" t="str">
        <x:v>梅精黑糖_蜜類_蜜類_蜜類瓶裝_150ml_143</x:v>
      </x:c>
      <x:c r="AO23" s="32" t="str"/>
    </x:row>
    <x:row r="24">
      <x:c r="A24" s="32" t="str">
        <x:v>鐵比倫-產品成本結構試算 (1).xlsx - 2025 營收銷量(客戶填寫).csv</x:v>
      </x:c>
      <x:c r="B24" s="32" t="n">
        <x:v>40</x:v>
      </x:c>
      <x:c r="C24" s="32" t="str">
        <x:v>蜜類-1890ml</x:v>
      </x:c>
      <x:c r="D24" s="32" t="str"/>
      <x:c r="E24" s="32" t="str">
        <x:v>蜜類</x:v>
      </x:c>
      <x:c r="F24" s="32" t="str">
        <x:v>蜜類</x:v>
      </x:c>
      <x:c r="G24" s="32" t="str">
        <x:v>黑糖蜜</x:v>
      </x:c>
      <x:c r="H24" s="32" t="str">
        <x:v>黑糖蜜</x:v>
      </x:c>
      <x:c r="I24" s="32" t="str">
        <x:v>蜜類瓶裝</x:v>
      </x:c>
      <x:c r="J24" s="32" t="n">
        <x:v>1890</x:v>
      </x:c>
      <x:c r="K24" s="32" t="str">
        <x:v>ml</x:v>
      </x:c>
      <x:c r="L24" s="32" t="str"/>
      <x:c r="M24" s="32" t="str">
        <x:v>1890ml</x:v>
      </x:c>
      <x:c r="N24" s="41" t="n">
        <x:v>50</x:v>
      </x:c>
      <x:c r="O24" s="37"/>
      <x:c r="P24" s="37"/>
      <x:c r="Q24" s="37"/>
      <x:c r="R24" s="37"/>
      <x:c r="S24" s="37"/>
      <x:c r="T24" s="40"/>
      <x:c r="U24" s="37"/>
      <x:c r="V24" s="37"/>
      <x:c r="W24" s="37"/>
      <x:c r="X24" s="37"/>
      <x:c r="Y24" s="37"/>
      <x:c r="Z24" s="37"/>
      <x:c r="AA24" s="37"/>
      <x:c r="AB24" s="37"/>
      <x:c r="AC24" s="37"/>
      <x:c r="AD24" s="37" t="n">
        <x:v>0</x:v>
      </x:c>
      <x:c r="AE24" s="37"/>
      <x:c r="AF24" s="37" t="n">
        <x:v>0</x:v>
      </x:c>
      <x:c r="AG24" s="37" t="n">
        <x:v>0</x:v>
      </x:c>
      <x:c r="AH24" s="37"/>
      <x:c r="AI24" s="37" t="n">
        <x:v>0</x:v>
      </x:c>
      <x:c r="AJ24" s="32" t="str">
        <x:v>missing</x:v>
      </x:c>
      <x:c r="AK24" s="32" t="str">
        <x:v>missing</x:v>
      </x:c>
      <x:c r="AL24" s="37"/>
      <x:c r="AM24" s="37"/>
      <x:c r="AN24" s="32" t="str">
        <x:v>黑糖蜜_蜜類_蜜類_蜜類瓶裝_1890ml_</x:v>
      </x:c>
      <x:c r="AO24" s="32" t="str">
        <x:v>missing_price;missing_cost;zero_reported_revenue</x:v>
      </x:c>
    </x:row>
    <x:row r="25">
      <x:c r="A25" s="32" t="str">
        <x:v>鐵比倫-產品成本結構試算 (1).xlsx - 2025 營收銷量(客戶填寫).csv</x:v>
      </x:c>
      <x:c r="B25" s="32" t="n">
        <x:v>41</x:v>
      </x:c>
      <x:c r="C25" s="32" t="str">
        <x:v>蜜類-1890ml</x:v>
      </x:c>
      <x:c r="D25" s="32" t="str"/>
      <x:c r="E25" s="32" t="str">
        <x:v>蜜類</x:v>
      </x:c>
      <x:c r="F25" s="32" t="str">
        <x:v>蜜類</x:v>
      </x:c>
      <x:c r="G25" s="32" t="str">
        <x:v>梅精黑糖</x:v>
      </x:c>
      <x:c r="H25" s="32" t="str">
        <x:v>梅精黑糖</x:v>
      </x:c>
      <x:c r="I25" s="32" t="str">
        <x:v>蜜類瓶裝</x:v>
      </x:c>
      <x:c r="J25" s="32" t="n">
        <x:v>1890</x:v>
      </x:c>
      <x:c r="K25" s="32" t="str">
        <x:v>ml</x:v>
      </x:c>
      <x:c r="L25" s="32" t="str"/>
      <x:c r="M25" s="32" t="str">
        <x:v>1890ml</x:v>
      </x:c>
      <x:c r="N25" s="41" t="n">
        <x:v>45</x:v>
      </x:c>
      <x:c r="O25" s="37"/>
      <x:c r="P25" s="37"/>
      <x:c r="Q25" s="37"/>
      <x:c r="R25" s="37"/>
      <x:c r="S25" s="37"/>
      <x:c r="T25" s="40"/>
      <x:c r="U25" s="37"/>
      <x:c r="V25" s="37"/>
      <x:c r="W25" s="37"/>
      <x:c r="X25" s="37"/>
      <x:c r="Y25" s="37"/>
      <x:c r="Z25" s="37"/>
      <x:c r="AA25" s="37"/>
      <x:c r="AB25" s="37"/>
      <x:c r="AC25" s="37"/>
      <x:c r="AD25" s="37" t="n">
        <x:v>0</x:v>
      </x:c>
      <x:c r="AE25" s="37"/>
      <x:c r="AF25" s="37" t="n">
        <x:v>0</x:v>
      </x:c>
      <x:c r="AG25" s="37" t="n">
        <x:v>0</x:v>
      </x:c>
      <x:c r="AH25" s="37"/>
      <x:c r="AI25" s="37" t="n">
        <x:v>0</x:v>
      </x:c>
      <x:c r="AJ25" s="32" t="str">
        <x:v>missing</x:v>
      </x:c>
      <x:c r="AK25" s="32" t="str">
        <x:v>missing</x:v>
      </x:c>
      <x:c r="AL25" s="37"/>
      <x:c r="AM25" s="37"/>
      <x:c r="AN25" s="32" t="str">
        <x:v>梅精黑糖_蜜類_蜜類_蜜類瓶裝_1890ml_</x:v>
      </x:c>
      <x:c r="AO25" s="32" t="str">
        <x:v>missing_price;missing_cost;zero_reported_revenue</x:v>
      </x:c>
    </x:row>
    <x:row r="26">
      <x:c r="A26" s="32" t="str">
        <x:v>鐵比倫-產品成本結構試算 (1).xlsx - 2025 營收銷量(客戶填寫).csv</x:v>
      </x:c>
      <x:c r="B26" s="32" t="n">
        <x:v>51</x:v>
      </x:c>
      <x:c r="C26" s="32" t="str">
        <x:v>科技中藥廠</x:v>
      </x:c>
      <x:c r="D26" s="32" t="str">
        <x:v>40台斤(一箱)</x:v>
      </x:c>
      <x:c r="E26" s="32" t="str">
        <x:v>OEM</x:v>
      </x:c>
      <x:c r="F26" s="32" t="str">
        <x:v>科技中藥廠</x:v>
      </x:c>
      <x:c r="G26" s="32" t="str">
        <x:v>黑糖薑母茶</x:v>
      </x:c>
      <x:c r="H26" s="32" t="str">
        <x:v>黑糖薑母茶</x:v>
      </x:c>
      <x:c r="I26" s="32" t="str">
        <x:v>薑母茶</x:v>
      </x:c>
      <x:c r="J26" s="32"/>
      <x:c r="K26" s="32" t="str"/>
      <x:c r="L26" s="32" t="str">
        <x:v>箱</x:v>
      </x:c>
      <x:c r="M26" s="32" t="str">
        <x:v>40台斤(一箱)</x:v>
      </x:c>
      <x:c r="N26" s="41" t="n">
        <x:v>2360</x:v>
      </x:c>
      <x:c r="O26" s="37" t="n">
        <x:v>112</x:v>
      </x:c>
      <x:c r="P26" s="37" t="n">
        <x:v>46</x:v>
      </x:c>
      <x:c r="Q26" s="37" t="n">
        <x:v>108560</x:v>
      </x:c>
      <x:c r="R26" s="37" t="n">
        <x:v>66</x:v>
      </x:c>
      <x:c r="S26" s="37" t="n">
        <x:v>155760</x:v>
      </x:c>
      <x:c r="T26" s="40" t="n">
        <x:v>0.5892857142857143</x:v>
      </x:c>
      <x:c r="U26" s="37" t="n">
        <x:v>58.01405866666667</x:v>
      </x:c>
      <x:c r="V26" s="37" t="n">
        <x:v>136913.18</x:v>
      </x:c>
      <x:c r="W26" s="37" t="n">
        <x:v>5.6000000000000005</x:v>
      </x:c>
      <x:c r="X26" s="37" t="n">
        <x:v>13216</x:v>
      </x:c>
      <x:c r="Y26" s="37" t="n">
        <x:v>63.61405866666667</x:v>
      </x:c>
      <x:c r="Z26" s="37" t="n">
        <x:v>150129.18</x:v>
      </x:c>
      <x:c r="AA26" s="37" t="n">
        <x:v>2.385941333333328</x:v>
      </x:c>
      <x:c r="AB26" s="37" t="n">
        <x:v>2.385941</x:v>
      </x:c>
      <x:c r="AC26" s="37" t="n">
        <x:v>2.385941</x:v>
      </x:c>
      <x:c r="AD26" s="37" t="n">
        <x:v>5630.821546666654</x:v>
      </x:c>
      <x:c r="AE26" s="37" t="n">
        <x:v>5630.82</x:v>
      </x:c>
      <x:c r="AF26" s="37" t="n">
        <x:v>5630.82</x:v>
      </x:c>
      <x:c r="AG26" s="37" t="n">
        <x:v>264320</x:v>
      </x:c>
      <x:c r="AH26" s="37" t="n">
        <x:v>264320</x:v>
      </x:c>
      <x:c r="AI26" s="37" t="n">
        <x:v>264320</x:v>
      </x:c>
      <x:c r="AJ26" s="32" t="str">
        <x:v>reported</x:v>
      </x:c>
      <x:c r="AK26" s="32" t="str">
        <x:v>reported</x:v>
      </x:c>
      <x:c r="AL26" s="37" t="n">
        <x:v>0</x:v>
      </x:c>
      <x:c r="AM26" s="37" t="n">
        <x:v>0</x:v>
      </x:c>
      <x:c r="AN26" s="32" t="str">
        <x:v>黑糖薑母茶_OEM_科技中藥廠_薑母茶_40台斤(一箱)_112</x:v>
      </x:c>
      <x:c r="AO26" s="3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2.109999656677246" hidden="0" customWidth="1"/>
    <x:col min="3" max="3" width="16.81999969482422" hidden="0" customWidth="1"/>
    <x:col min="4" max="4" width="18.84000015258789" hidden="0" customWidth="1"/>
    <x:col min="5" max="5" width="12.109999656677246" hidden="0" customWidth="1"/>
    <x:col min="6" max="6" width="19.520000457763672" hidden="0" customWidth="1"/>
    <x:col min="7" max="7" width="12.109999656677246" hidden="0" customWidth="1"/>
    <x:col min="8" max="8" width="13.460000038146973" hidden="0" customWidth="1"/>
    <x:col min="9" max="9" width="10.770000457763672" hidden="0" customWidth="1"/>
    <x:col min="10" max="10" width="13.460000038146973" hidden="0" customWidth="1"/>
    <x:col min="11" max="11" width="15.479999542236328" hidden="0" customWidth="1"/>
    <x:col min="12" max="12" width="11.4399995803833" hidden="0" customWidth="1"/>
    <x:col min="13" max="13" width="10.770000457763672" hidden="0" customWidth="1"/>
    <x:col min="14" max="14" width="16.81999969482422" hidden="0" customWidth="1"/>
    <x:col min="15" max="15" width="13.460000038146973" hidden="0" customWidth="1"/>
    <x:col min="16" max="16" width="12.109999656677246" hidden="0" customWidth="1"/>
    <x:col min="17" max="17" width="13.460000038146973" hidden="0" customWidth="1"/>
    <x:col min="18" max="18" width="16.149999618530273" hidden="0" customWidth="1"/>
    <x:col min="19" max="19" width="14.800000190734863" hidden="0" customWidth="1"/>
    <x:col min="20" max="20" width="11.4399995803833" hidden="0" customWidth="1"/>
  </x:cols>
  <x:sheetData>
    <x:row r="1">
      <x:c r="A1" s="45" t="str">
        <x:v>source_row</x:v>
      </x:c>
      <x:c r="B1" s="45" t="str">
        <x:v>channel_type</x:v>
      </x:c>
      <x:c r="C1" s="45" t="str">
        <x:v>channel_name</x:v>
      </x:c>
      <x:c r="D1" s="45" t="str">
        <x:v>package_type</x:v>
      </x:c>
      <x:c r="E1" s="45" t="str">
        <x:v>unit_basis</x:v>
      </x:c>
      <x:c r="F1" s="45" t="str">
        <x:v>product</x:v>
      </x:c>
      <x:c r="G1" s="45" t="str">
        <x:v>retail_price</x:v>
      </x:c>
      <x:c r="H1" s="45" t="str">
        <x:v>wholesale_price</x:v>
      </x:c>
      <x:c r="I1" s="45" t="str">
        <x:v>discount</x:v>
      </x:c>
      <x:c r="J1" s="45" t="str">
        <x:v>product_cogs</x:v>
      </x:c>
      <x:c r="K1" s="45" t="str">
        <x:v>gross_profit_per_unit</x:v>
      </x:c>
      <x:c r="L1" s="45" t="str">
        <x:v>gross_margin</x:v>
      </x:c>
      <x:c r="M1" s="45" t="str">
        <x:v>shipping</x:v>
      </x:c>
      <x:c r="N1" s="45" t="str">
        <x:v>operating_expense_per_unit</x:v>
      </x:c>
      <x:c r="O1" s="45" t="str">
        <x:v>marketing_expense</x:v>
      </x:c>
      <x:c r="P1" s="45" t="str">
        <x:v>payment_fee</x:v>
      </x:c>
      <x:c r="Q1" s="45" t="str">
        <x:v>invoice_tax_per_unit</x:v>
      </x:c>
      <x:c r="R1" s="45" t="str">
        <x:v>expense_subtotal_per_unit</x:v>
      </x:c>
      <x:c r="S1" s="45" t="str">
        <x:v>net_profit_per_unit</x:v>
      </x:c>
      <x:c r="T1" s="45" t="str">
        <x:v>net_margin</x:v>
      </x:c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</x:row>
    <x:row r="2">
      <x:c r="A2" s="32" t="n">
        <x:v>4</x:v>
      </x:c>
      <x:c r="B2" s="32" t="str">
        <x:v>批發</x:v>
      </x:c>
      <x:c r="C2" s="32" t="str">
        <x:v>台糖</x:v>
      </x:c>
      <x:c r="D2" s="32" t="str">
        <x:v>單顆包裝夾鏈袋</x:v>
      </x:c>
      <x:c r="E2" s="32" t="str">
        <x:v>260g</x:v>
      </x:c>
      <x:c r="F2" s="32" t="str">
        <x:v>原味黑糖</x:v>
      </x:c>
      <x:c r="G2" s="37"/>
      <x:c r="H2" s="37" t="n">
        <x:v>140</x:v>
      </x:c>
      <x:c r="I2" s="40"/>
      <x:c r="J2" s="37" t="n">
        <x:v>25</x:v>
      </x:c>
      <x:c r="K2" s="37" t="n">
        <x:v>115</x:v>
      </x:c>
      <x:c r="L2" s="40" t="n">
        <x:v>0.8214285714285714</x:v>
      </x:c>
      <x:c r="M2" s="37" t="n">
        <x:v>0</x:v>
      </x:c>
      <x:c r="N2" s="37" t="n">
        <x:v>72.51757333333333</x:v>
      </x:c>
      <x:c r="O2" s="37" t="n">
        <x:v>0</x:v>
      </x:c>
      <x:c r="P2" s="37" t="n">
        <x:v>0</x:v>
      </x:c>
      <x:c r="Q2" s="37" t="n">
        <x:v>7</x:v>
      </x:c>
      <x:c r="R2" s="37" t="n">
        <x:v>79.51757333333333</x:v>
      </x:c>
      <x:c r="S2" s="37" t="n">
        <x:v>35.48242666666667</x:v>
      </x:c>
      <x:c r="T2" s="40" t="n">
        <x:v>0.25344590476190476</x:v>
      </x:c>
    </x:row>
    <x:row r="3">
      <x:c r="A3" s="32" t="n">
        <x:v>5</x:v>
      </x:c>
      <x:c r="B3" s="32" t="str">
        <x:v>批發</x:v>
      </x:c>
      <x:c r="C3" s="32" t="str">
        <x:v>台糖</x:v>
      </x:c>
      <x:c r="D3" s="32" t="str">
        <x:v>單顆包裝夾鏈袋</x:v>
      </x:c>
      <x:c r="E3" s="32" t="str">
        <x:v>260g</x:v>
      </x:c>
      <x:c r="F3" s="32" t="str">
        <x:v>薑汁黑糖</x:v>
      </x:c>
      <x:c r="G3" s="37"/>
      <x:c r="H3" s="37" t="n">
        <x:v>140</x:v>
      </x:c>
      <x:c r="I3" s="40"/>
      <x:c r="J3" s="37" t="n">
        <x:v>28</x:v>
      </x:c>
      <x:c r="K3" s="37" t="n">
        <x:v>112</x:v>
      </x:c>
      <x:c r="L3" s="40" t="n">
        <x:v>0.8</x:v>
      </x:c>
      <x:c r="M3" s="37" t="n">
        <x:v>0</x:v>
      </x:c>
      <x:c r="N3" s="37" t="n">
        <x:v>72.51757333333333</x:v>
      </x:c>
      <x:c r="O3" s="37" t="n">
        <x:v>0</x:v>
      </x:c>
      <x:c r="P3" s="37" t="n">
        <x:v>0</x:v>
      </x:c>
      <x:c r="Q3" s="37" t="n">
        <x:v>7</x:v>
      </x:c>
      <x:c r="R3" s="37" t="n">
        <x:v>79.51757333333333</x:v>
      </x:c>
      <x:c r="S3" s="37" t="n">
        <x:v>32.48242666666667</x:v>
      </x:c>
      <x:c r="T3" s="40" t="n">
        <x:v>0.23201733333333335</x:v>
      </x:c>
    </x:row>
    <x:row r="4">
      <x:c r="A4" s="32" t="n">
        <x:v>6</x:v>
      </x:c>
      <x:c r="B4" s="32" t="str">
        <x:v>批發</x:v>
      </x:c>
      <x:c r="C4" s="32" t="str">
        <x:v>台糖</x:v>
      </x:c>
      <x:c r="D4" s="32" t="str">
        <x:v>單顆包裝夾鏈袋</x:v>
      </x:c>
      <x:c r="E4" s="32" t="str">
        <x:v>260g</x:v>
      </x:c>
      <x:c r="F4" s="32" t="str">
        <x:v>桂圓黑糖</x:v>
      </x:c>
      <x:c r="G4" s="37"/>
      <x:c r="H4" s="37" t="n">
        <x:v>140</x:v>
      </x:c>
      <x:c r="I4" s="40"/>
      <x:c r="J4" s="37" t="n">
        <x:v>31</x:v>
      </x:c>
      <x:c r="K4" s="37" t="n">
        <x:v>109</x:v>
      </x:c>
      <x:c r="L4" s="40" t="n">
        <x:v>0.7785714285714286</x:v>
      </x:c>
      <x:c r="M4" s="37" t="n">
        <x:v>0</x:v>
      </x:c>
      <x:c r="N4" s="37" t="n">
        <x:v>72.51757333333333</x:v>
      </x:c>
      <x:c r="O4" s="37" t="n">
        <x:v>0</x:v>
      </x:c>
      <x:c r="P4" s="37" t="n">
        <x:v>0</x:v>
      </x:c>
      <x:c r="Q4" s="37" t="n">
        <x:v>7</x:v>
      </x:c>
      <x:c r="R4" s="37" t="n">
        <x:v>79.51757333333333</x:v>
      </x:c>
      <x:c r="S4" s="37" t="n">
        <x:v>29.48242666666667</x:v>
      </x:c>
      <x:c r="T4" s="40" t="n">
        <x:v>0.21058876190476192</x:v>
      </x:c>
    </x:row>
    <x:row r="5">
      <x:c r="A5" s="32" t="n">
        <x:v>7</x:v>
      </x:c>
      <x:c r="B5" s="32" t="str">
        <x:v>批發</x:v>
      </x:c>
      <x:c r="C5" s="32" t="str">
        <x:v>台糖</x:v>
      </x:c>
      <x:c r="D5" s="32" t="str">
        <x:v>單顆包裝夾鏈袋</x:v>
      </x:c>
      <x:c r="E5" s="32" t="str">
        <x:v>260g</x:v>
      </x:c>
      <x:c r="F5" s="32" t="str">
        <x:v>玫瑰四物黑糖</x:v>
      </x:c>
      <x:c r="G5" s="37"/>
      <x:c r="H5" s="37" t="n">
        <x:v>140</x:v>
      </x:c>
      <x:c r="I5" s="40"/>
      <x:c r="J5" s="37" t="n">
        <x:v>28</x:v>
      </x:c>
      <x:c r="K5" s="37" t="n">
        <x:v>112</x:v>
      </x:c>
      <x:c r="L5" s="40" t="n">
        <x:v>0.8</x:v>
      </x:c>
      <x:c r="M5" s="37" t="n">
        <x:v>0</x:v>
      </x:c>
      <x:c r="N5" s="37" t="n">
        <x:v>72.51757333333333</x:v>
      </x:c>
      <x:c r="O5" s="37" t="n">
        <x:v>0</x:v>
      </x:c>
      <x:c r="P5" s="37" t="n">
        <x:v>0</x:v>
      </x:c>
      <x:c r="Q5" s="37" t="n">
        <x:v>7</x:v>
      </x:c>
      <x:c r="R5" s="37" t="n">
        <x:v>79.51757333333333</x:v>
      </x:c>
      <x:c r="S5" s="37" t="n">
        <x:v>32.48242666666667</x:v>
      </x:c>
      <x:c r="T5" s="40" t="n">
        <x:v>0.23201733333333335</x:v>
      </x:c>
    </x:row>
    <x:row r="6">
      <x:c r="A6" s="32" t="n">
        <x:v>8</x:v>
      </x:c>
      <x:c r="B6" s="32" t="str">
        <x:v>批發</x:v>
      </x:c>
      <x:c r="C6" s="32" t="str">
        <x:v>台糖</x:v>
      </x:c>
      <x:c r="D6" s="32" t="str">
        <x:v>單顆包裝夾鏈袋</x:v>
      </x:c>
      <x:c r="E6" s="32" t="str">
        <x:v>260g</x:v>
      </x:c>
      <x:c r="F6" s="32" t="str">
        <x:v>桂圓紅棗薑黑糖</x:v>
      </x:c>
      <x:c r="G6" s="37"/>
      <x:c r="H6" s="37" t="n">
        <x:v>140</x:v>
      </x:c>
      <x:c r="I6" s="40"/>
      <x:c r="J6" s="37" t="n">
        <x:v>31</x:v>
      </x:c>
      <x:c r="K6" s="37" t="n">
        <x:v>109</x:v>
      </x:c>
      <x:c r="L6" s="40" t="n">
        <x:v>0.7785714285714286</x:v>
      </x:c>
      <x:c r="M6" s="37" t="n">
        <x:v>0</x:v>
      </x:c>
      <x:c r="N6" s="37" t="n">
        <x:v>72.51757333333333</x:v>
      </x:c>
      <x:c r="O6" s="37" t="n">
        <x:v>0</x:v>
      </x:c>
      <x:c r="P6" s="37" t="n">
        <x:v>0</x:v>
      </x:c>
      <x:c r="Q6" s="37" t="n">
        <x:v>7</x:v>
      </x:c>
      <x:c r="R6" s="37" t="n">
        <x:v>79.51757333333333</x:v>
      </x:c>
      <x:c r="S6" s="37" t="n">
        <x:v>29.48242666666667</x:v>
      </x:c>
      <x:c r="T6" s="40" t="n">
        <x:v>0.21058876190476192</x:v>
      </x:c>
    </x:row>
    <x:row r="7">
      <x:c r="A7" s="32" t="n">
        <x:v>9</x:v>
      </x:c>
      <x:c r="B7" s="32" t="str">
        <x:v>批發</x:v>
      </x:c>
      <x:c r="C7" s="32" t="str">
        <x:v>台糖</x:v>
      </x:c>
      <x:c r="D7" s="32" t="str">
        <x:v>單顆包裝夾鏈袋</x:v>
      </x:c>
      <x:c r="E7" s="32" t="str">
        <x:v>260g</x:v>
      </x:c>
      <x:c r="F7" s="32" t="str">
        <x:v>冬瓜</x:v>
      </x:c>
      <x:c r="G7" s="37"/>
      <x:c r="H7" s="37" t="n">
        <x:v>140</x:v>
      </x:c>
      <x:c r="I7" s="40"/>
      <x:c r="J7" s="37" t="n">
        <x:v>28</x:v>
      </x:c>
      <x:c r="K7" s="37" t="n">
        <x:v>112</x:v>
      </x:c>
      <x:c r="L7" s="40" t="n">
        <x:v>0.8</x:v>
      </x:c>
      <x:c r="M7" s="37" t="n">
        <x:v>0</x:v>
      </x:c>
      <x:c r="N7" s="37" t="n">
        <x:v>72.51757333333333</x:v>
      </x:c>
      <x:c r="O7" s="37" t="n">
        <x:v>0</x:v>
      </x:c>
      <x:c r="P7" s="37" t="n">
        <x:v>0</x:v>
      </x:c>
      <x:c r="Q7" s="37" t="n">
        <x:v>7</x:v>
      </x:c>
      <x:c r="R7" s="37" t="n">
        <x:v>79.51757333333333</x:v>
      </x:c>
      <x:c r="S7" s="37" t="n">
        <x:v>32.48242666666667</x:v>
      </x:c>
      <x:c r="T7" s="40" t="n">
        <x:v>0.23201733333333335</x:v>
      </x:c>
    </x:row>
    <x:row r="8">
      <x:c r="A8" s="32" t="n">
        <x:v>10</x:v>
      </x:c>
      <x:c r="B8" s="32" t="str">
        <x:v>批發</x:v>
      </x:c>
      <x:c r="C8" s="32" t="str">
        <x:v>台糖</x:v>
      </x:c>
      <x:c r="D8" s="32" t="str">
        <x:v>手切夾鏈袋</x:v>
      </x:c>
      <x:c r="E8" s="32" t="str">
        <x:v>380g</x:v>
      </x:c>
      <x:c r="F8" s="32" t="str">
        <x:v>原味黑糖</x:v>
      </x:c>
      <x:c r="G8" s="37"/>
      <x:c r="H8" s="37" t="n">
        <x:v>117</x:v>
      </x:c>
      <x:c r="I8" s="40"/>
      <x:c r="J8" s="37" t="n">
        <x:v>22</x:v>
      </x:c>
      <x:c r="K8" s="37" t="n">
        <x:v>95</x:v>
      </x:c>
      <x:c r="L8" s="40" t="n">
        <x:v>0.811965811965812</x:v>
      </x:c>
      <x:c r="M8" s="37" t="n">
        <x:v>0</x:v>
      </x:c>
      <x:c r="N8" s="37" t="n">
        <x:v>60.603972000000006</x:v>
      </x:c>
      <x:c r="O8" s="37" t="n">
        <x:v>0</x:v>
      </x:c>
      <x:c r="P8" s="37" t="n">
        <x:v>0</x:v>
      </x:c>
      <x:c r="Q8" s="37" t="n">
        <x:v>5.8500000000000005</x:v>
      </x:c>
      <x:c r="R8" s="37" t="n">
        <x:v>66.45397200000001</x:v>
      </x:c>
      <x:c r="S8" s="37" t="n">
        <x:v>28.546027999999993</x:v>
      </x:c>
      <x:c r="T8" s="40" t="n">
        <x:v>0.24398314529914525</x:v>
      </x:c>
    </x:row>
    <x:row r="9">
      <x:c r="A9" s="32" t="n">
        <x:v>11</x:v>
      </x:c>
      <x:c r="B9" s="32" t="str">
        <x:v>批發</x:v>
      </x:c>
      <x:c r="C9" s="32" t="str">
        <x:v>台糖</x:v>
      </x:c>
      <x:c r="D9" s="32" t="str">
        <x:v>手切夾鏈袋</x:v>
      </x:c>
      <x:c r="E9" s="32" t="str">
        <x:v>380g</x:v>
      </x:c>
      <x:c r="F9" s="32" t="str">
        <x:v>薑汁黑糖</x:v>
      </x:c>
      <x:c r="G9" s="37"/>
      <x:c r="H9" s="37" t="n">
        <x:v>117</x:v>
      </x:c>
      <x:c r="I9" s="40"/>
      <x:c r="J9" s="37" t="n">
        <x:v>25</x:v>
      </x:c>
      <x:c r="K9" s="37" t="n">
        <x:v>92</x:v>
      </x:c>
      <x:c r="L9" s="40" t="n">
        <x:v>0.7863247863247863</x:v>
      </x:c>
      <x:c r="M9" s="37" t="n">
        <x:v>0</x:v>
      </x:c>
      <x:c r="N9" s="37" t="n">
        <x:v>60.603972000000006</x:v>
      </x:c>
      <x:c r="O9" s="37" t="n">
        <x:v>0</x:v>
      </x:c>
      <x:c r="P9" s="37" t="n">
        <x:v>0</x:v>
      </x:c>
      <x:c r="Q9" s="37" t="n">
        <x:v>5.8500000000000005</x:v>
      </x:c>
      <x:c r="R9" s="37" t="n">
        <x:v>66.45397200000001</x:v>
      </x:c>
      <x:c r="S9" s="37" t="n">
        <x:v>25.546027999999993</x:v>
      </x:c>
      <x:c r="T9" s="40" t="n">
        <x:v>0.2183421196581196</x:v>
      </x:c>
    </x:row>
    <x:row r="10">
      <x:c r="A10" s="32" t="n">
        <x:v>12</x:v>
      </x:c>
      <x:c r="B10" s="32" t="str">
        <x:v>批發</x:v>
      </x:c>
      <x:c r="C10" s="32" t="str">
        <x:v>台糖</x:v>
      </x:c>
      <x:c r="D10" s="32" t="str">
        <x:v>手切夾鏈袋</x:v>
      </x:c>
      <x:c r="E10" s="32" t="str">
        <x:v>380g</x:v>
      </x:c>
      <x:c r="F10" s="32" t="str">
        <x:v>桂圓黑糖</x:v>
      </x:c>
      <x:c r="G10" s="37"/>
      <x:c r="H10" s="37" t="n">
        <x:v>130</x:v>
      </x:c>
      <x:c r="I10" s="40"/>
      <x:c r="J10" s="37" t="n">
        <x:v>30</x:v>
      </x:c>
      <x:c r="K10" s="37" t="n">
        <x:v>100</x:v>
      </x:c>
      <x:c r="L10" s="40" t="n">
        <x:v>0.7692307692307693</x:v>
      </x:c>
      <x:c r="M10" s="37" t="n">
        <x:v>0</x:v>
      </x:c>
      <x:c r="N10" s="37" t="n">
        <x:v>67.33774666666667</x:v>
      </x:c>
      <x:c r="O10" s="37" t="n">
        <x:v>0</x:v>
      </x:c>
      <x:c r="P10" s="37" t="n">
        <x:v>0</x:v>
      </x:c>
      <x:c r="Q10" s="37" t="n">
        <x:v>6.5</x:v>
      </x:c>
      <x:c r="R10" s="37" t="n">
        <x:v>73.83774666666667</x:v>
      </x:c>
      <x:c r="S10" s="37" t="n">
        <x:v>26.162253333333325</x:v>
      </x:c>
      <x:c r="T10" s="40" t="n">
        <x:v>0.2012481025641025</x:v>
      </x:c>
    </x:row>
    <x:row r="11">
      <x:c r="A11" s="32" t="n">
        <x:v>13</x:v>
      </x:c>
      <x:c r="B11" s="32" t="str">
        <x:v>批發</x:v>
      </x:c>
      <x:c r="C11" s="32" t="str">
        <x:v>台糖</x:v>
      </x:c>
      <x:c r="D11" s="32" t="str">
        <x:v>手切夾鏈袋</x:v>
      </x:c>
      <x:c r="E11" s="32" t="str">
        <x:v>380g</x:v>
      </x:c>
      <x:c r="F11" s="32" t="str">
        <x:v>玫瑰四物黑糖</x:v>
      </x:c>
      <x:c r="G11" s="37"/>
      <x:c r="H11" s="37" t="n">
        <x:v>130</x:v>
      </x:c>
      <x:c r="I11" s="40"/>
      <x:c r="J11" s="37" t="n">
        <x:v>24</x:v>
      </x:c>
      <x:c r="K11" s="37" t="n">
        <x:v>106</x:v>
      </x:c>
      <x:c r="L11" s="40" t="n">
        <x:v>0.8153846153846154</x:v>
      </x:c>
      <x:c r="M11" s="37" t="n">
        <x:v>0</x:v>
      </x:c>
      <x:c r="N11" s="37" t="n">
        <x:v>67.33774666666667</x:v>
      </x:c>
      <x:c r="O11" s="37" t="n">
        <x:v>0</x:v>
      </x:c>
      <x:c r="P11" s="37" t="n">
        <x:v>0</x:v>
      </x:c>
      <x:c r="Q11" s="37" t="n">
        <x:v>6.5</x:v>
      </x:c>
      <x:c r="R11" s="37" t="n">
        <x:v>73.83774666666667</x:v>
      </x:c>
      <x:c r="S11" s="37" t="n">
        <x:v>32.162253333333325</x:v>
      </x:c>
      <x:c r="T11" s="40" t="n">
        <x:v>0.24740194871794866</x:v>
      </x:c>
    </x:row>
    <x:row r="12">
      <x:c r="A12" s="32" t="n">
        <x:v>14</x:v>
      </x:c>
      <x:c r="B12" s="32" t="str">
        <x:v>批發</x:v>
      </x:c>
      <x:c r="C12" s="32" t="str">
        <x:v>農會</x:v>
      </x:c>
      <x:c r="D12" s="32" t="str">
        <x:v>手切夾鏈袋</x:v>
      </x:c>
      <x:c r="E12" s="32" t="str">
        <x:v>380g</x:v>
      </x:c>
      <x:c r="F12" s="32" t="str">
        <x:v>原味黑糖</x:v>
      </x:c>
      <x:c r="G12" s="37"/>
      <x:c r="H12" s="37" t="n">
        <x:v>110</x:v>
      </x:c>
      <x:c r="I12" s="40"/>
      <x:c r="J12" s="37" t="n">
        <x:v>22</x:v>
      </x:c>
      <x:c r="K12" s="37" t="n">
        <x:v>88</x:v>
      </x:c>
      <x:c r="L12" s="40" t="n">
        <x:v>0.8</x:v>
      </x:c>
      <x:c r="M12" s="37" t="n">
        <x:v>0</x:v>
      </x:c>
      <x:c r="N12" s="37" t="n">
        <x:v>56.978093333333334</x:v>
      </x:c>
      <x:c r="O12" s="37" t="n">
        <x:v>0</x:v>
      </x:c>
      <x:c r="P12" s="37" t="n">
        <x:v>0</x:v>
      </x:c>
      <x:c r="Q12" s="37" t="n">
        <x:v>5.5</x:v>
      </x:c>
      <x:c r="R12" s="37" t="n">
        <x:v>62.478093333333334</x:v>
      </x:c>
      <x:c r="S12" s="37" t="n">
        <x:v>25.521906666666666</x:v>
      </x:c>
      <x:c r="T12" s="40" t="n">
        <x:v>0.23201733333333333</x:v>
      </x:c>
    </x:row>
    <x:row r="13">
      <x:c r="A13" s="32" t="n">
        <x:v>15</x:v>
      </x:c>
      <x:c r="B13" s="32" t="str">
        <x:v>批發</x:v>
      </x:c>
      <x:c r="C13" s="32" t="str">
        <x:v>農會</x:v>
      </x:c>
      <x:c r="D13" s="32" t="str">
        <x:v>手切夾鏈袋</x:v>
      </x:c>
      <x:c r="E13" s="32" t="str">
        <x:v>380g</x:v>
      </x:c>
      <x:c r="F13" s="32" t="str">
        <x:v>薑汁黑糖</x:v>
      </x:c>
      <x:c r="G13" s="37"/>
      <x:c r="H13" s="37" t="n">
        <x:v>110</x:v>
      </x:c>
      <x:c r="I13" s="40"/>
      <x:c r="J13" s="37" t="n">
        <x:v>25</x:v>
      </x:c>
      <x:c r="K13" s="37" t="n">
        <x:v>85</x:v>
      </x:c>
      <x:c r="L13" s="40" t="n">
        <x:v>0.7727272727272727</x:v>
      </x:c>
      <x:c r="M13" s="37" t="n">
        <x:v>0</x:v>
      </x:c>
      <x:c r="N13" s="37" t="n">
        <x:v>56.978093333333334</x:v>
      </x:c>
      <x:c r="O13" s="37" t="n">
        <x:v>0</x:v>
      </x:c>
      <x:c r="P13" s="37" t="n">
        <x:v>0</x:v>
      </x:c>
      <x:c r="Q13" s="37" t="n">
        <x:v>5.5</x:v>
      </x:c>
      <x:c r="R13" s="37" t="n">
        <x:v>62.478093333333334</x:v>
      </x:c>
      <x:c r="S13" s="37" t="n">
        <x:v>22.521906666666666</x:v>
      </x:c>
      <x:c r="T13" s="40" t="n">
        <x:v>0.20474460606060604</x:v>
      </x:c>
    </x:row>
    <x:row r="14">
      <x:c r="A14" s="32" t="n">
        <x:v>16</x:v>
      </x:c>
      <x:c r="B14" s="32" t="str">
        <x:v>批發</x:v>
      </x:c>
      <x:c r="C14" s="32" t="str">
        <x:v>農會</x:v>
      </x:c>
      <x:c r="D14" s="32" t="str">
        <x:v>手切夾鏈袋</x:v>
      </x:c>
      <x:c r="E14" s="32" t="str">
        <x:v>380g</x:v>
      </x:c>
      <x:c r="F14" s="32" t="str">
        <x:v>桂圓黑糖</x:v>
      </x:c>
      <x:c r="G14" s="37"/>
      <x:c r="H14" s="37" t="n">
        <x:v>122</x:v>
      </x:c>
      <x:c r="I14" s="40"/>
      <x:c r="J14" s="37" t="n">
        <x:v>30</x:v>
      </x:c>
      <x:c r="K14" s="37" t="n">
        <x:v>92</x:v>
      </x:c>
      <x:c r="L14" s="40" t="n">
        <x:v>0.7540983606557377</x:v>
      </x:c>
      <x:c r="M14" s="37" t="n">
        <x:v>0</x:v>
      </x:c>
      <x:c r="N14" s="37" t="n">
        <x:v>63.19388533333334</x:v>
      </x:c>
      <x:c r="O14" s="37" t="n">
        <x:v>0</x:v>
      </x:c>
      <x:c r="P14" s="37" t="n">
        <x:v>0</x:v>
      </x:c>
      <x:c r="Q14" s="37" t="n">
        <x:v>6.1000000000000005</x:v>
      </x:c>
      <x:c r="R14" s="37" t="n">
        <x:v>69.29388533333334</x:v>
      </x:c>
      <x:c r="S14" s="37" t="n">
        <x:v>22.706114666666664</x:v>
      </x:c>
      <x:c r="T14" s="40" t="n">
        <x:v>0.18611569398907102</x:v>
      </x:c>
    </x:row>
    <x:row r="15">
      <x:c r="A15" s="32" t="n">
        <x:v>17</x:v>
      </x:c>
      <x:c r="B15" s="32" t="str">
        <x:v>批發</x:v>
      </x:c>
      <x:c r="C15" s="32" t="str">
        <x:v>農會</x:v>
      </x:c>
      <x:c r="D15" s="32" t="str">
        <x:v>手切夾鏈袋</x:v>
      </x:c>
      <x:c r="E15" s="32" t="str">
        <x:v>380g</x:v>
      </x:c>
      <x:c r="F15" s="32" t="str">
        <x:v>玫瑰四物黑糖</x:v>
      </x:c>
      <x:c r="G15" s="37"/>
      <x:c r="H15" s="37" t="n">
        <x:v>122</x:v>
      </x:c>
      <x:c r="I15" s="40"/>
      <x:c r="J15" s="37" t="n">
        <x:v>24</x:v>
      </x:c>
      <x:c r="K15" s="37" t="n">
        <x:v>98</x:v>
      </x:c>
      <x:c r="L15" s="40" t="n">
        <x:v>0.8032786885245902</x:v>
      </x:c>
      <x:c r="M15" s="37" t="n">
        <x:v>0</x:v>
      </x:c>
      <x:c r="N15" s="37" t="n">
        <x:v>63.19388533333334</x:v>
      </x:c>
      <x:c r="O15" s="37" t="n">
        <x:v>0</x:v>
      </x:c>
      <x:c r="P15" s="37" t="n">
        <x:v>0</x:v>
      </x:c>
      <x:c r="Q15" s="37" t="n">
        <x:v>6.1000000000000005</x:v>
      </x:c>
      <x:c r="R15" s="37" t="n">
        <x:v>69.29388533333334</x:v>
      </x:c>
      <x:c r="S15" s="37" t="n">
        <x:v>28.706114666666664</x:v>
      </x:c>
      <x:c r="T15" s="40" t="n">
        <x:v>0.23529602185792348</x:v>
      </x:c>
    </x:row>
    <x:row r="16">
      <x:c r="A16" s="32" t="n">
        <x:v>18</x:v>
      </x:c>
      <x:c r="B16" s="32" t="str">
        <x:v>貼牌</x:v>
      </x:c>
      <x:c r="C16" s="32" t="str">
        <x:v>埔里農會</x:v>
      </x:c>
      <x:c r="D16" s="32" t="str">
        <x:v>手切夾鏈袋</x:v>
      </x:c>
      <x:c r="E16" s="32" t="str">
        <x:v>380g</x:v>
      </x:c>
      <x:c r="F16" s="32" t="str">
        <x:v>原味黑糖</x:v>
      </x:c>
      <x:c r="G16" s="37"/>
      <x:c r="H16" s="37" t="n">
        <x:v>99</x:v>
      </x:c>
      <x:c r="I16" s="40"/>
      <x:c r="J16" s="37" t="n">
        <x:v>22</x:v>
      </x:c>
      <x:c r="K16" s="37" t="n">
        <x:v>77</x:v>
      </x:c>
      <x:c r="L16" s="40" t="n">
        <x:v>0.7777777777777778</x:v>
      </x:c>
      <x:c r="M16" s="37" t="n">
        <x:v>0</x:v>
      </x:c>
      <x:c r="N16" s="37" t="n">
        <x:v>51.280284</x:v>
      </x:c>
      <x:c r="O16" s="37" t="n">
        <x:v>0</x:v>
      </x:c>
      <x:c r="P16" s="37" t="n">
        <x:v>0</x:v>
      </x:c>
      <x:c r="Q16" s="37" t="n">
        <x:v>4.95</x:v>
      </x:c>
      <x:c r="R16" s="37" t="n">
        <x:v>56.230284000000005</x:v>
      </x:c>
      <x:c r="S16" s="37" t="n">
        <x:v>20.769715999999995</x:v>
      </x:c>
      <x:c r="T16" s="40" t="n">
        <x:v>0.20979511111111107</x:v>
      </x:c>
    </x:row>
    <x:row r="17">
      <x:c r="A17" s="32" t="n">
        <x:v>19</x:v>
      </x:c>
      <x:c r="B17" s="32" t="str">
        <x:v>貼牌</x:v>
      </x:c>
      <x:c r="C17" s="32" t="str">
        <x:v>埔里農會</x:v>
      </x:c>
      <x:c r="D17" s="32" t="str">
        <x:v>手切夾鏈袋</x:v>
      </x:c>
      <x:c r="E17" s="32" t="str">
        <x:v>380g</x:v>
      </x:c>
      <x:c r="F17" s="32" t="str">
        <x:v>薑汁黑糖</x:v>
      </x:c>
      <x:c r="G17" s="37"/>
      <x:c r="H17" s="37" t="n">
        <x:v>99</x:v>
      </x:c>
      <x:c r="I17" s="40"/>
      <x:c r="J17" s="37" t="n">
        <x:v>25</x:v>
      </x:c>
      <x:c r="K17" s="37" t="n">
        <x:v>74</x:v>
      </x:c>
      <x:c r="L17" s="40" t="n">
        <x:v>0.7474747474747475</x:v>
      </x:c>
      <x:c r="M17" s="37" t="n">
        <x:v>0</x:v>
      </x:c>
      <x:c r="N17" s="37" t="n">
        <x:v>51.280284</x:v>
      </x:c>
      <x:c r="O17" s="37" t="n">
        <x:v>0</x:v>
      </x:c>
      <x:c r="P17" s="37" t="n">
        <x:v>0</x:v>
      </x:c>
      <x:c r="Q17" s="37" t="n">
        <x:v>4.95</x:v>
      </x:c>
      <x:c r="R17" s="37" t="n">
        <x:v>56.230284000000005</x:v>
      </x:c>
      <x:c r="S17" s="37" t="n">
        <x:v>17.769715999999995</x:v>
      </x:c>
      <x:c r="T17" s="40" t="n">
        <x:v>0.17949208080808077</x:v>
      </x:c>
    </x:row>
    <x:row r="18">
      <x:c r="A18" s="32" t="n">
        <x:v>20</x:v>
      </x:c>
      <x:c r="B18" s="32" t="str">
        <x:v>貼牌</x:v>
      </x:c>
      <x:c r="C18" s="32" t="str">
        <x:v>埔里農會</x:v>
      </x:c>
      <x:c r="D18" s="32" t="str">
        <x:v>手切夾鏈袋</x:v>
      </x:c>
      <x:c r="E18" s="32" t="str">
        <x:v>380g</x:v>
      </x:c>
      <x:c r="F18" s="32" t="str">
        <x:v>桂圓黑糖</x:v>
      </x:c>
      <x:c r="G18" s="37"/>
      <x:c r="H18" s="37" t="n">
        <x:v>110</x:v>
      </x:c>
      <x:c r="I18" s="40"/>
      <x:c r="J18" s="37" t="n">
        <x:v>30</x:v>
      </x:c>
      <x:c r="K18" s="37" t="n">
        <x:v>80</x:v>
      </x:c>
      <x:c r="L18" s="40" t="n">
        <x:v>0.7272727272727273</x:v>
      </x:c>
      <x:c r="M18" s="37" t="n">
        <x:v>0</x:v>
      </x:c>
      <x:c r="N18" s="37" t="n">
        <x:v>56.978093333333334</x:v>
      </x:c>
      <x:c r="O18" s="37" t="n">
        <x:v>0</x:v>
      </x:c>
      <x:c r="P18" s="37" t="n">
        <x:v>0</x:v>
      </x:c>
      <x:c r="Q18" s="37" t="n">
        <x:v>5.5</x:v>
      </x:c>
      <x:c r="R18" s="37" t="n">
        <x:v>62.478093333333334</x:v>
      </x:c>
      <x:c r="S18" s="37" t="n">
        <x:v>17.521906666666666</x:v>
      </x:c>
      <x:c r="T18" s="40" t="n">
        <x:v>0.1592900606060606</x:v>
      </x:c>
    </x:row>
    <x:row r="19">
      <x:c r="A19" s="32" t="n">
        <x:v>21</x:v>
      </x:c>
      <x:c r="B19" s="32" t="str">
        <x:v>貼牌</x:v>
      </x:c>
      <x:c r="C19" s="32" t="str">
        <x:v>埔里農會</x:v>
      </x:c>
      <x:c r="D19" s="32" t="str">
        <x:v>手切夾鏈袋</x:v>
      </x:c>
      <x:c r="E19" s="32" t="str">
        <x:v>380g</x:v>
      </x:c>
      <x:c r="F19" s="32" t="str">
        <x:v>玫瑰四物黑糖</x:v>
      </x:c>
      <x:c r="G19" s="37"/>
      <x:c r="H19" s="37" t="n">
        <x:v>110</x:v>
      </x:c>
      <x:c r="I19" s="40"/>
      <x:c r="J19" s="37" t="n">
        <x:v>24</x:v>
      </x:c>
      <x:c r="K19" s="37" t="n">
        <x:v>86</x:v>
      </x:c>
      <x:c r="L19" s="40" t="n">
        <x:v>0.7818181818181819</x:v>
      </x:c>
      <x:c r="M19" s="37" t="n">
        <x:v>0</x:v>
      </x:c>
      <x:c r="N19" s="37" t="n">
        <x:v>56.978093333333334</x:v>
      </x:c>
      <x:c r="O19" s="37" t="n">
        <x:v>0</x:v>
      </x:c>
      <x:c r="P19" s="37" t="n">
        <x:v>0</x:v>
      </x:c>
      <x:c r="Q19" s="37" t="n">
        <x:v>5.5</x:v>
      </x:c>
      <x:c r="R19" s="37" t="n">
        <x:v>62.478093333333334</x:v>
      </x:c>
      <x:c r="S19" s="37" t="n">
        <x:v>23.521906666666666</x:v>
      </x:c>
      <x:c r="T19" s="40" t="n">
        <x:v>0.21383551515151514</x:v>
      </x:c>
    </x:row>
    <x:row r="20">
      <x:c r="A20" s="32" t="n">
        <x:v>22</x:v>
      </x:c>
      <x:c r="B20" s="32" t="str">
        <x:v>批發</x:v>
      </x:c>
      <x:c r="C20" s="32" t="str"/>
      <x:c r="D20" s="32" t="str">
        <x:v>手切夾鏈袋</x:v>
      </x:c>
      <x:c r="E20" s="32" t="str">
        <x:v>380g</x:v>
      </x:c>
      <x:c r="F20" s="32" t="str">
        <x:v>原味黑糖</x:v>
      </x:c>
      <x:c r="G20" s="37"/>
      <x:c r="H20" s="37" t="n">
        <x:v>135</x:v>
      </x:c>
      <x:c r="I20" s="40"/>
      <x:c r="J20" s="37" t="n">
        <x:v>33.3</x:v>
      </x:c>
      <x:c r="K20" s="37" t="n">
        <x:v>101.7</x:v>
      </x:c>
      <x:c r="L20" s="40" t="n">
        <x:v>0.7533333333333333</x:v>
      </x:c>
      <x:c r="M20" s="37" t="n">
        <x:v>0</x:v>
      </x:c>
      <x:c r="N20" s="37" t="n">
        <x:v>69.92766</x:v>
      </x:c>
      <x:c r="O20" s="37" t="n">
        <x:v>0</x:v>
      </x:c>
      <x:c r="P20" s="37" t="n">
        <x:v>0</x:v>
      </x:c>
      <x:c r="Q20" s="37" t="n">
        <x:v>6.75</x:v>
      </x:c>
      <x:c r="R20" s="37" t="n">
        <x:v>76.67766</x:v>
      </x:c>
      <x:c r="S20" s="37" t="n">
        <x:v>25.02234</x:v>
      </x:c>
      <x:c r="T20" s="40" t="n">
        <x:v>0.18535066666666666</x:v>
      </x:c>
    </x:row>
    <x:row r="21">
      <x:c r="A21" s="32" t="n">
        <x:v>23</x:v>
      </x:c>
      <x:c r="B21" s="32" t="str">
        <x:v>批發</x:v>
      </x:c>
      <x:c r="C21" s="32" t="str"/>
      <x:c r="D21" s="32" t="str">
        <x:v>手切夾鏈袋</x:v>
      </x:c>
      <x:c r="E21" s="32" t="str">
        <x:v>380g</x:v>
      </x:c>
      <x:c r="F21" s="32" t="str">
        <x:v>薑汁黑糖</x:v>
      </x:c>
      <x:c r="G21" s="37"/>
      <x:c r="H21" s="37" t="n">
        <x:v>135</x:v>
      </x:c>
      <x:c r="I21" s="40"/>
      <x:c r="J21" s="37" t="n">
        <x:v>36.3</x:v>
      </x:c>
      <x:c r="K21" s="37" t="n">
        <x:v>98.7</x:v>
      </x:c>
      <x:c r="L21" s="40" t="n">
        <x:v>0.7311111111111112</x:v>
      </x:c>
      <x:c r="M21" s="37" t="n">
        <x:v>0</x:v>
      </x:c>
      <x:c r="N21" s="37" t="n">
        <x:v>69.92766</x:v>
      </x:c>
      <x:c r="O21" s="37" t="n">
        <x:v>0</x:v>
      </x:c>
      <x:c r="P21" s="37" t="n">
        <x:v>0</x:v>
      </x:c>
      <x:c r="Q21" s="37" t="n">
        <x:v>6.75</x:v>
      </x:c>
      <x:c r="R21" s="37" t="n">
        <x:v>76.67766</x:v>
      </x:c>
      <x:c r="S21" s="37" t="n">
        <x:v>22.02234</x:v>
      </x:c>
      <x:c r="T21" s="40" t="n">
        <x:v>0.16312844444444444</x:v>
      </x:c>
    </x:row>
    <x:row r="22">
      <x:c r="A22" s="32" t="n">
        <x:v>24</x:v>
      </x:c>
      <x:c r="B22" s="32" t="str">
        <x:v>批發</x:v>
      </x:c>
      <x:c r="C22" s="32" t="str"/>
      <x:c r="D22" s="32" t="str">
        <x:v>手切夾鏈袋</x:v>
      </x:c>
      <x:c r="E22" s="32" t="str">
        <x:v>380g</x:v>
      </x:c>
      <x:c r="F22" s="32" t="str">
        <x:v>桂圓黑糖</x:v>
      </x:c>
      <x:c r="G22" s="37"/>
      <x:c r="H22" s="37" t="n">
        <x:v>150</x:v>
      </x:c>
      <x:c r="I22" s="40"/>
      <x:c r="J22" s="37" t="n">
        <x:v>41.5</x:v>
      </x:c>
      <x:c r="K22" s="37" t="n">
        <x:v>108.5</x:v>
      </x:c>
      <x:c r="L22" s="40" t="n">
        <x:v>0.7233333333333334</x:v>
      </x:c>
      <x:c r="M22" s="37" t="n">
        <x:v>0</x:v>
      </x:c>
      <x:c r="N22" s="37" t="n">
        <x:v>77.6974</x:v>
      </x:c>
      <x:c r="O22" s="37" t="n">
        <x:v>0</x:v>
      </x:c>
      <x:c r="P22" s="37" t="n">
        <x:v>0</x:v>
      </x:c>
      <x:c r="Q22" s="37" t="n">
        <x:v>7.5</x:v>
      </x:c>
      <x:c r="R22" s="37" t="n">
        <x:v>85.1974</x:v>
      </x:c>
      <x:c r="S22" s="37" t="n">
        <x:v>23.302599999999998</x:v>
      </x:c>
      <x:c r="T22" s="40" t="n">
        <x:v>0.15535066666666666</x:v>
      </x:c>
    </x:row>
    <x:row r="23">
      <x:c r="A23" s="32" t="n">
        <x:v>25</x:v>
      </x:c>
      <x:c r="B23" s="32" t="str">
        <x:v>批發</x:v>
      </x:c>
      <x:c r="C23" s="32" t="str"/>
      <x:c r="D23" s="32" t="str">
        <x:v>手切夾鏈袋</x:v>
      </x:c>
      <x:c r="E23" s="32" t="str">
        <x:v>380g</x:v>
      </x:c>
      <x:c r="F23" s="32" t="str">
        <x:v>玫瑰四物黑糖</x:v>
      </x:c>
      <x:c r="G23" s="37"/>
      <x:c r="H23" s="37" t="n">
        <x:v>150</x:v>
      </x:c>
      <x:c r="I23" s="40"/>
      <x:c r="J23" s="37" t="n">
        <x:v>35.3</x:v>
      </x:c>
      <x:c r="K23" s="37" t="n">
        <x:v>114.7</x:v>
      </x:c>
      <x:c r="L23" s="40" t="n">
        <x:v>0.7646666666666667</x:v>
      </x:c>
      <x:c r="M23" s="37" t="n">
        <x:v>0</x:v>
      </x:c>
      <x:c r="N23" s="37" t="n">
        <x:v>77.6974</x:v>
      </x:c>
      <x:c r="O23" s="37" t="n">
        <x:v>0</x:v>
      </x:c>
      <x:c r="P23" s="37" t="n">
        <x:v>0</x:v>
      </x:c>
      <x:c r="Q23" s="37" t="n">
        <x:v>7.5</x:v>
      </x:c>
      <x:c r="R23" s="37" t="n">
        <x:v>85.1974</x:v>
      </x:c>
      <x:c r="S23" s="37" t="n">
        <x:v>29.5026</x:v>
      </x:c>
      <x:c r="T23" s="40" t="n">
        <x:v>0.196684</x:v>
      </x:c>
    </x:row>
    <x:row r="24">
      <x:c r="A24" s="32" t="n">
        <x:v>26</x:v>
      </x:c>
      <x:c r="B24" s="32" t="str">
        <x:v>直售</x:v>
      </x:c>
      <x:c r="C24" s="32" t="str">
        <x:v>手切</x:v>
      </x:c>
      <x:c r="D24" s="32" t="str">
        <x:v>手切台斤</x:v>
      </x:c>
      <x:c r="E24" s="32" t="str">
        <x:v>600g</x:v>
      </x:c>
      <x:c r="F24" s="32" t="str">
        <x:v>原味黑糖</x:v>
      </x:c>
      <x:c r="G24" s="37"/>
      <x:c r="H24" s="37" t="n">
        <x:v>100</x:v>
      </x:c>
      <x:c r="I24" s="40"/>
      <x:c r="J24" s="37" t="n">
        <x:v>21</x:v>
      </x:c>
      <x:c r="K24" s="37" t="n">
        <x:v>79</x:v>
      </x:c>
      <x:c r="L24" s="40" t="n">
        <x:v>0.79</x:v>
      </x:c>
      <x:c r="M24" s="37" t="n">
        <x:v>0</x:v>
      </x:c>
      <x:c r="N24" s="37" t="n">
        <x:v>51.79826666666667</x:v>
      </x:c>
      <x:c r="O24" s="37" t="n">
        <x:v>0</x:v>
      </x:c>
      <x:c r="P24" s="37" t="n">
        <x:v>0</x:v>
      </x:c>
      <x:c r="Q24" s="37" t="n">
        <x:v>5</x:v>
      </x:c>
      <x:c r="R24" s="37" t="n">
        <x:v>56.79826666666667</x:v>
      </x:c>
      <x:c r="S24" s="37" t="n">
        <x:v>22.20173333333333</x:v>
      </x:c>
      <x:c r="T24" s="40" t="n">
        <x:v>0.2220173333333333</x:v>
      </x:c>
    </x:row>
    <x:row r="25">
      <x:c r="A25" s="32" t="n">
        <x:v>27</x:v>
      </x:c>
      <x:c r="B25" s="32" t="str">
        <x:v>直售</x:v>
      </x:c>
      <x:c r="C25" s="32" t="str">
        <x:v>手切</x:v>
      </x:c>
      <x:c r="D25" s="32" t="str">
        <x:v>手切台斤</x:v>
      </x:c>
      <x:c r="E25" s="32" t="str">
        <x:v>600g</x:v>
      </x:c>
      <x:c r="F25" s="32" t="str">
        <x:v>薑汁黑糖</x:v>
      </x:c>
      <x:c r="G25" s="37"/>
      <x:c r="H25" s="37" t="n">
        <x:v>110</x:v>
      </x:c>
      <x:c r="I25" s="40"/>
      <x:c r="J25" s="37" t="n">
        <x:v>27</x:v>
      </x:c>
      <x:c r="K25" s="37" t="n">
        <x:v>83</x:v>
      </x:c>
      <x:c r="L25" s="40" t="n">
        <x:v>0.7545454545454545</x:v>
      </x:c>
      <x:c r="M25" s="37" t="n">
        <x:v>0</x:v>
      </x:c>
      <x:c r="N25" s="37" t="n">
        <x:v>56.978093333333334</x:v>
      </x:c>
      <x:c r="O25" s="37" t="n">
        <x:v>0</x:v>
      </x:c>
      <x:c r="P25" s="37" t="n">
        <x:v>0</x:v>
      </x:c>
      <x:c r="Q25" s="37" t="n">
        <x:v>5.5</x:v>
      </x:c>
      <x:c r="R25" s="37" t="n">
        <x:v>62.478093333333334</x:v>
      </x:c>
      <x:c r="S25" s="37" t="n">
        <x:v>20.521906666666666</x:v>
      </x:c>
      <x:c r="T25" s="40" t="n">
        <x:v>0.18656278787878788</x:v>
      </x:c>
    </x:row>
    <x:row r="26">
      <x:c r="A26" s="32" t="n">
        <x:v>28</x:v>
      </x:c>
      <x:c r="B26" s="32" t="str">
        <x:v>直售</x:v>
      </x:c>
      <x:c r="C26" s="32" t="str">
        <x:v>手切</x:v>
      </x:c>
      <x:c r="D26" s="32" t="str">
        <x:v>手切台斤</x:v>
      </x:c>
      <x:c r="E26" s="32" t="str">
        <x:v>600g</x:v>
      </x:c>
      <x:c r="F26" s="32" t="str">
        <x:v>桂圓黑糖</x:v>
      </x:c>
      <x:c r="G26" s="37"/>
      <x:c r="H26" s="37" t="n">
        <x:v>140</x:v>
      </x:c>
      <x:c r="I26" s="40"/>
      <x:c r="J26" s="37" t="n">
        <x:v>33</x:v>
      </x:c>
      <x:c r="K26" s="37" t="n">
        <x:v>107</x:v>
      </x:c>
      <x:c r="L26" s="40" t="n">
        <x:v>0.7642857142857142</x:v>
      </x:c>
      <x:c r="M26" s="37" t="n">
        <x:v>0</x:v>
      </x:c>
      <x:c r="N26" s="37" t="n">
        <x:v>72.51757333333333</x:v>
      </x:c>
      <x:c r="O26" s="37" t="n">
        <x:v>0</x:v>
      </x:c>
      <x:c r="P26" s="37" t="n">
        <x:v>0</x:v>
      </x:c>
      <x:c r="Q26" s="37" t="n">
        <x:v>7</x:v>
      </x:c>
      <x:c r="R26" s="37" t="n">
        <x:v>79.51757333333333</x:v>
      </x:c>
      <x:c r="S26" s="37" t="n">
        <x:v>27.48242666666667</x:v>
      </x:c>
      <x:c r="T26" s="40" t="n">
        <x:v>0.19630304761904763</x:v>
      </x:c>
    </x:row>
    <x:row r="27">
      <x:c r="A27" s="32" t="n">
        <x:v>29</x:v>
      </x:c>
      <x:c r="B27" s="32" t="str">
        <x:v>直售</x:v>
      </x:c>
      <x:c r="C27" s="32" t="str">
        <x:v>手切</x:v>
      </x:c>
      <x:c r="D27" s="32" t="str">
        <x:v>手切台斤</x:v>
      </x:c>
      <x:c r="E27" s="32" t="str">
        <x:v>600g</x:v>
      </x:c>
      <x:c r="F27" s="32" t="str">
        <x:v>玫瑰四物黑糖</x:v>
      </x:c>
      <x:c r="G27" s="37"/>
      <x:c r="H27" s="37" t="n">
        <x:v>130</x:v>
      </x:c>
      <x:c r="I27" s="40"/>
      <x:c r="J27" s="37" t="n">
        <x:v>26</x:v>
      </x:c>
      <x:c r="K27" s="37" t="n">
        <x:v>104</x:v>
      </x:c>
      <x:c r="L27" s="40" t="n">
        <x:v>0.8</x:v>
      </x:c>
      <x:c r="M27" s="37" t="n">
        <x:v>0</x:v>
      </x:c>
      <x:c r="N27" s="37" t="n">
        <x:v>67.33774666666667</x:v>
      </x:c>
      <x:c r="O27" s="37" t="n">
        <x:v>0</x:v>
      </x:c>
      <x:c r="P27" s="37" t="n">
        <x:v>0</x:v>
      </x:c>
      <x:c r="Q27" s="37" t="n">
        <x:v>6.5</x:v>
      </x:c>
      <x:c r="R27" s="37" t="n">
        <x:v>73.83774666666667</x:v>
      </x:c>
      <x:c r="S27" s="37" t="n">
        <x:v>30.162253333333325</x:v>
      </x:c>
      <x:c r="T27" s="40" t="n">
        <x:v>0.23201733333333327</x:v>
      </x:c>
    </x:row>
    <x:row r="28">
      <x:c r="A28" s="32" t="n">
        <x:v>30</x:v>
      </x:c>
      <x:c r="B28" s="32" t="str">
        <x:v>未分類</x:v>
      </x:c>
      <x:c r="C28" s="32" t="str">
        <x:v>單顆包(每台斤）</x:v>
      </x:c>
      <x:c r="D28" s="32" t="str">
        <x:v>單顆包裝夾鏈袋</x:v>
      </x:c>
      <x:c r="E28" s="32" t="str">
        <x:v>25台斤(一箱)</x:v>
      </x:c>
      <x:c r="F28" s="32" t="str">
        <x:v>原味黑糖</x:v>
      </x:c>
      <x:c r="G28" s="37"/>
      <x:c r="H28" s="37" t="n">
        <x:v>100</x:v>
      </x:c>
      <x:c r="I28" s="40"/>
      <x:c r="J28" s="37" t="n">
        <x:v>34</x:v>
      </x:c>
      <x:c r="K28" s="37" t="n">
        <x:v>66</x:v>
      </x:c>
      <x:c r="L28" s="40" t="n">
        <x:v>0.66</x:v>
      </x:c>
      <x:c r="M28" s="37" t="n">
        <x:v>0</x:v>
      </x:c>
      <x:c r="N28" s="37" t="n">
        <x:v>51.79826666666667</x:v>
      </x:c>
      <x:c r="O28" s="37" t="n">
        <x:v>0</x:v>
      </x:c>
      <x:c r="P28" s="37" t="n">
        <x:v>0</x:v>
      </x:c>
      <x:c r="Q28" s="37" t="n">
        <x:v>5</x:v>
      </x:c>
      <x:c r="R28" s="37" t="n">
        <x:v>56.79826666666667</x:v>
      </x:c>
      <x:c r="S28" s="37" t="n">
        <x:v>9.20173333333333</x:v>
      </x:c>
      <x:c r="T28" s="40" t="n">
        <x:v>0.0920173333333333</x:v>
      </x:c>
    </x:row>
    <x:row r="29">
      <x:c r="A29" s="32" t="n">
        <x:v>31</x:v>
      </x:c>
      <x:c r="B29" s="32" t="str">
        <x:v>未分類</x:v>
      </x:c>
      <x:c r="C29" s="32" t="str">
        <x:v>單顆包(每台斤）</x:v>
      </x:c>
      <x:c r="D29" s="32" t="str">
        <x:v>單顆包裝夾鏈袋</x:v>
      </x:c>
      <x:c r="E29" s="32" t="str">
        <x:v>25台斤(一箱)</x:v>
      </x:c>
      <x:c r="F29" s="32" t="str">
        <x:v>薑汁黑糖</x:v>
      </x:c>
      <x:c r="G29" s="37"/>
      <x:c r="H29" s="37" t="n">
        <x:v>130</x:v>
      </x:c>
      <x:c r="I29" s="40"/>
      <x:c r="J29" s="37" t="n">
        <x:v>40</x:v>
      </x:c>
      <x:c r="K29" s="37" t="n">
        <x:v>90</x:v>
      </x:c>
      <x:c r="L29" s="40" t="n">
        <x:v>0.6923076923076923</x:v>
      </x:c>
      <x:c r="M29" s="37" t="n">
        <x:v>0</x:v>
      </x:c>
      <x:c r="N29" s="37" t="n">
        <x:v>67.33774666666667</x:v>
      </x:c>
      <x:c r="O29" s="37" t="n">
        <x:v>0</x:v>
      </x:c>
      <x:c r="P29" s="37" t="n">
        <x:v>0</x:v>
      </x:c>
      <x:c r="Q29" s="37" t="n">
        <x:v>6.5</x:v>
      </x:c>
      <x:c r="R29" s="37" t="n">
        <x:v>73.83774666666667</x:v>
      </x:c>
      <x:c r="S29" s="37" t="n">
        <x:v>16.162253333333325</x:v>
      </x:c>
      <x:c r="T29" s="40" t="n">
        <x:v>0.12432502564102557</x:v>
      </x:c>
    </x:row>
    <x:row r="30">
      <x:c r="A30" s="32" t="n">
        <x:v>32</x:v>
      </x:c>
      <x:c r="B30" s="32" t="str">
        <x:v>未分類</x:v>
      </x:c>
      <x:c r="C30" s="32" t="str">
        <x:v>單顆包(每台斤）</x:v>
      </x:c>
      <x:c r="D30" s="32" t="str">
        <x:v>單顆包裝夾鏈袋</x:v>
      </x:c>
      <x:c r="E30" s="32" t="str">
        <x:v>25台斤(一箱)</x:v>
      </x:c>
      <x:c r="F30" s="32" t="str">
        <x:v>桂圓黑糖</x:v>
      </x:c>
      <x:c r="G30" s="37"/>
      <x:c r="H30" s="37" t="n">
        <x:v>130</x:v>
      </x:c>
      <x:c r="I30" s="40"/>
      <x:c r="J30" s="37" t="n">
        <x:v>47</x:v>
      </x:c>
      <x:c r="K30" s="37" t="n">
        <x:v>83</x:v>
      </x:c>
      <x:c r="L30" s="40" t="n">
        <x:v>0.6384615384615384</x:v>
      </x:c>
      <x:c r="M30" s="37" t="n">
        <x:v>0</x:v>
      </x:c>
      <x:c r="N30" s="37" t="n">
        <x:v>67.33774666666667</x:v>
      </x:c>
      <x:c r="O30" s="37" t="n">
        <x:v>0</x:v>
      </x:c>
      <x:c r="P30" s="37" t="n">
        <x:v>0</x:v>
      </x:c>
      <x:c r="Q30" s="37" t="n">
        <x:v>6.5</x:v>
      </x:c>
      <x:c r="R30" s="37" t="n">
        <x:v>73.83774666666667</x:v>
      </x:c>
      <x:c r="S30" s="37" t="n">
        <x:v>9.162253333333325</x:v>
      </x:c>
      <x:c r="T30" s="40" t="n">
        <x:v>0.07047887179487174</x:v>
      </x:c>
    </x:row>
    <x:row r="31">
      <x:c r="A31" s="32" t="n">
        <x:v>33</x:v>
      </x:c>
      <x:c r="B31" s="32" t="str">
        <x:v>未分類</x:v>
      </x:c>
      <x:c r="C31" s="32" t="str">
        <x:v>單顆包(每台斤）</x:v>
      </x:c>
      <x:c r="D31" s="32" t="str">
        <x:v>單顆包裝夾鏈袋</x:v>
      </x:c>
      <x:c r="E31" s="32" t="str">
        <x:v>25台斤(一箱)</x:v>
      </x:c>
      <x:c r="F31" s="32" t="str">
        <x:v>玫瑰四物黑糖</x:v>
      </x:c>
      <x:c r="G31" s="37"/>
      <x:c r="H31" s="37" t="n">
        <x:v>130</x:v>
      </x:c>
      <x:c r="I31" s="40"/>
      <x:c r="J31" s="37" t="n">
        <x:v>39</x:v>
      </x:c>
      <x:c r="K31" s="37" t="n">
        <x:v>91</x:v>
      </x:c>
      <x:c r="L31" s="40" t="n">
        <x:v>0.7</x:v>
      </x:c>
      <x:c r="M31" s="37" t="n">
        <x:v>0</x:v>
      </x:c>
      <x:c r="N31" s="37" t="n">
        <x:v>67.33774666666667</x:v>
      </x:c>
      <x:c r="O31" s="37" t="n">
        <x:v>0</x:v>
      </x:c>
      <x:c r="P31" s="37" t="n">
        <x:v>0</x:v>
      </x:c>
      <x:c r="Q31" s="37" t="n">
        <x:v>6.5</x:v>
      </x:c>
      <x:c r="R31" s="37" t="n">
        <x:v>73.83774666666667</x:v>
      </x:c>
      <x:c r="S31" s="37" t="n">
        <x:v>17.162253333333325</x:v>
      </x:c>
      <x:c r="T31" s="40" t="n">
        <x:v>0.13201733333333326</x:v>
      </x:c>
    </x:row>
    <x:row r="32">
      <x:c r="A32" s="32" t="n">
        <x:v>34</x:v>
      </x:c>
      <x:c r="B32" s="32" t="str">
        <x:v>未分類</x:v>
      </x:c>
      <x:c r="C32" s="32" t="str">
        <x:v>單顆包(每台斤）</x:v>
      </x:c>
      <x:c r="D32" s="32" t="str">
        <x:v>單顆包裝夾鏈袋</x:v>
      </x:c>
      <x:c r="E32" s="32" t="str">
        <x:v>25台斤(一箱)</x:v>
      </x:c>
      <x:c r="F32" s="32" t="str">
        <x:v>桂圓紅棗薑</x:v>
      </x:c>
      <x:c r="G32" s="37"/>
      <x:c r="H32" s="37" t="n">
        <x:v>150</x:v>
      </x:c>
      <x:c r="I32" s="40"/>
      <x:c r="J32" s="37" t="n">
        <x:v>46</x:v>
      </x:c>
      <x:c r="K32" s="37" t="n">
        <x:v>104</x:v>
      </x:c>
      <x:c r="L32" s="40" t="n">
        <x:v>0.6933333333333334</x:v>
      </x:c>
      <x:c r="M32" s="37" t="n">
        <x:v>0</x:v>
      </x:c>
      <x:c r="N32" s="37" t="n">
        <x:v>77.6974</x:v>
      </x:c>
      <x:c r="O32" s="37" t="n">
        <x:v>0</x:v>
      </x:c>
      <x:c r="P32" s="37" t="n">
        <x:v>0</x:v>
      </x:c>
      <x:c r="Q32" s="37" t="n">
        <x:v>7.5</x:v>
      </x:c>
      <x:c r="R32" s="37" t="n">
        <x:v>85.1974</x:v>
      </x:c>
      <x:c r="S32" s="37" t="n">
        <x:v>18.802599999999998</x:v>
      </x:c>
      <x:c r="T32" s="40" t="n">
        <x:v>0.12535066666666667</x:v>
      </x:c>
    </x:row>
    <x:row r="33">
      <x:c r="A33" s="32" t="n">
        <x:v>35</x:v>
      </x:c>
      <x:c r="B33" s="32" t="str">
        <x:v>未分類</x:v>
      </x:c>
      <x:c r="C33" s="32" t="str">
        <x:v>單顆包(每台斤）</x:v>
      </x:c>
      <x:c r="D33" s="32" t="str">
        <x:v>單顆包裝夾鏈袋</x:v>
      </x:c>
      <x:c r="E33" s="32" t="str">
        <x:v>25台斤(一箱)</x:v>
      </x:c>
      <x:c r="F33" s="32" t="str">
        <x:v>冬瓜</x:v>
      </x:c>
      <x:c r="G33" s="37"/>
      <x:c r="H33" s="37" t="n">
        <x:v>140</x:v>
      </x:c>
      <x:c r="I33" s="40"/>
      <x:c r="J33" s="37" t="n">
        <x:v>41</x:v>
      </x:c>
      <x:c r="K33" s="37" t="n">
        <x:v>99</x:v>
      </x:c>
      <x:c r="L33" s="40" t="n">
        <x:v>0.7071428571428572</x:v>
      </x:c>
      <x:c r="M33" s="37" t="n">
        <x:v>0</x:v>
      </x:c>
      <x:c r="N33" s="37" t="n">
        <x:v>72.51757333333333</x:v>
      </x:c>
      <x:c r="O33" s="37" t="n">
        <x:v>0</x:v>
      </x:c>
      <x:c r="P33" s="37" t="n">
        <x:v>0</x:v>
      </x:c>
      <x:c r="Q33" s="37" t="n">
        <x:v>7</x:v>
      </x:c>
      <x:c r="R33" s="37" t="n">
        <x:v>79.51757333333333</x:v>
      </x:c>
      <x:c r="S33" s="37" t="n">
        <x:v>19.48242666666667</x:v>
      </x:c>
      <x:c r="T33" s="40" t="n">
        <x:v>0.1391601904761905</x:v>
      </x:c>
    </x:row>
    <x:row r="34">
      <x:c r="A34" s="32" t="n">
        <x:v>36</x:v>
      </x:c>
      <x:c r="B34" s="32" t="str">
        <x:v>蜜類</x:v>
      </x:c>
      <x:c r="C34" s="32" t="str">
        <x:v>蜜類</x:v>
      </x:c>
      <x:c r="D34" s="32" t="str">
        <x:v>蜜類瓶裝</x:v>
      </x:c>
      <x:c r="E34" s="32" t="str">
        <x:v>350ml</x:v>
      </x:c>
      <x:c r="F34" s="32" t="str">
        <x:v>黑糖蜜</x:v>
      </x:c>
      <x:c r="G34" s="37"/>
      <x:c r="H34" s="37" t="n">
        <x:v>130</x:v>
      </x:c>
      <x:c r="I34" s="40"/>
      <x:c r="J34" s="37" t="n">
        <x:v>38.6</x:v>
      </x:c>
      <x:c r="K34" s="37" t="n">
        <x:v>91.4</x:v>
      </x:c>
      <x:c r="L34" s="40" t="n">
        <x:v>0.7030769230769232</x:v>
      </x:c>
      <x:c r="M34" s="37" t="n">
        <x:v>0</x:v>
      </x:c>
      <x:c r="N34" s="37" t="n">
        <x:v>67.33774666666667</x:v>
      </x:c>
      <x:c r="O34" s="37" t="n">
        <x:v>0</x:v>
      </x:c>
      <x:c r="P34" s="37" t="n">
        <x:v>0</x:v>
      </x:c>
      <x:c r="Q34" s="37" t="n">
        <x:v>6.5</x:v>
      </x:c>
      <x:c r="R34" s="37" t="n">
        <x:v>73.83774666666667</x:v>
      </x:c>
      <x:c r="S34" s="37" t="n">
        <x:v>17.56225333333333</x:v>
      </x:c>
      <x:c r="T34" s="40" t="n">
        <x:v>0.13509425641025638</x:v>
      </x:c>
    </x:row>
    <x:row r="35">
      <x:c r="A35" s="32" t="n">
        <x:v>37</x:v>
      </x:c>
      <x:c r="B35" s="32" t="str">
        <x:v>蜜類</x:v>
      </x:c>
      <x:c r="C35" s="32" t="str">
        <x:v>蜜類</x:v>
      </x:c>
      <x:c r="D35" s="32" t="str">
        <x:v>蜜類瓶裝</x:v>
      </x:c>
      <x:c r="E35" s="32" t="str">
        <x:v>150ml</x:v>
      </x:c>
      <x:c r="F35" s="32" t="str">
        <x:v>黑糖檸檬</x:v>
      </x:c>
      <x:c r="G35" s="37"/>
      <x:c r="H35" s="37" t="n">
        <x:v>117</x:v>
      </x:c>
      <x:c r="I35" s="40"/>
      <x:c r="J35" s="37" t="n">
        <x:v>51.3</x:v>
      </x:c>
      <x:c r="K35" s="37" t="n">
        <x:v>65.7</x:v>
      </x:c>
      <x:c r="L35" s="40" t="n">
        <x:v>0.5615384615384615</x:v>
      </x:c>
      <x:c r="M35" s="37" t="n">
        <x:v>0</x:v>
      </x:c>
      <x:c r="N35" s="37" t="n">
        <x:v>60.603972000000006</x:v>
      </x:c>
      <x:c r="O35" s="37" t="n">
        <x:v>0</x:v>
      </x:c>
      <x:c r="P35" s="37" t="n">
        <x:v>0</x:v>
      </x:c>
      <x:c r="Q35" s="37" t="n">
        <x:v>5.8500000000000005</x:v>
      </x:c>
      <x:c r="R35" s="37" t="n">
        <x:v>66.45397200000001</x:v>
      </x:c>
      <x:c r="S35" s="37" t="n">
        <x:v>-0.7539720000000045</x:v>
      </x:c>
      <x:c r="T35" s="40" t="n">
        <x:v>-0.006444205128205167</x:v>
      </x:c>
    </x:row>
    <x:row r="36">
      <x:c r="A36" s="32" t="n">
        <x:v>38</x:v>
      </x:c>
      <x:c r="B36" s="32" t="str">
        <x:v>蜜類</x:v>
      </x:c>
      <x:c r="C36" s="32" t="str">
        <x:v>蜜類</x:v>
      </x:c>
      <x:c r="D36" s="32" t="str">
        <x:v>蜜類瓶裝</x:v>
      </x:c>
      <x:c r="E36" s="32" t="str">
        <x:v>150ml</x:v>
      </x:c>
      <x:c r="F36" s="32" t="str">
        <x:v>百香果黑糖</x:v>
      </x:c>
      <x:c r="G36" s="37"/>
      <x:c r="H36" s="37" t="n">
        <x:v>117</x:v>
      </x:c>
      <x:c r="I36" s="40"/>
      <x:c r="J36" s="37" t="n">
        <x:v>48</x:v>
      </x:c>
      <x:c r="K36" s="37" t="n">
        <x:v>69</x:v>
      </x:c>
      <x:c r="L36" s="40" t="n">
        <x:v>0.5897435897435898</x:v>
      </x:c>
      <x:c r="M36" s="37" t="n">
        <x:v>0</x:v>
      </x:c>
      <x:c r="N36" s="37" t="n">
        <x:v>60.603972000000006</x:v>
      </x:c>
      <x:c r="O36" s="37" t="n">
        <x:v>0</x:v>
      </x:c>
      <x:c r="P36" s="37" t="n">
        <x:v>0</x:v>
      </x:c>
      <x:c r="Q36" s="37" t="n">
        <x:v>5.8500000000000005</x:v>
      </x:c>
      <x:c r="R36" s="37" t="n">
        <x:v>66.45397200000001</x:v>
      </x:c>
      <x:c r="S36" s="37" t="n">
        <x:v>2.5460279999999926</x:v>
      </x:c>
      <x:c r="T36" s="40" t="n">
        <x:v>0.021760923076923015</x:v>
      </x:c>
    </x:row>
    <x:row r="37">
      <x:c r="A37" s="32" t="n">
        <x:v>39</x:v>
      </x:c>
      <x:c r="B37" s="32" t="str">
        <x:v>蜜類</x:v>
      </x:c>
      <x:c r="C37" s="32" t="str">
        <x:v>蜜類</x:v>
      </x:c>
      <x:c r="D37" s="32" t="str">
        <x:v>蜜類瓶裝</x:v>
      </x:c>
      <x:c r="E37" s="32" t="str">
        <x:v>150ml</x:v>
      </x:c>
      <x:c r="F37" s="32" t="str">
        <x:v>梅精黑糖</x:v>
      </x:c>
      <x:c r="G37" s="37"/>
      <x:c r="H37" s="37" t="n">
        <x:v>143</x:v>
      </x:c>
      <x:c r="I37" s="40"/>
      <x:c r="J37" s="37" t="n">
        <x:v>47</x:v>
      </x:c>
      <x:c r="K37" s="37" t="n">
        <x:v>96</x:v>
      </x:c>
      <x:c r="L37" s="40" t="n">
        <x:v>0.6713286713286714</x:v>
      </x:c>
      <x:c r="M37" s="37" t="n">
        <x:v>0</x:v>
      </x:c>
      <x:c r="N37" s="37" t="n">
        <x:v>74.07152133333334</x:v>
      </x:c>
      <x:c r="O37" s="37" t="n">
        <x:v>0</x:v>
      </x:c>
      <x:c r="P37" s="37" t="n">
        <x:v>0</x:v>
      </x:c>
      <x:c r="Q37" s="37" t="n">
        <x:v>7.15</x:v>
      </x:c>
      <x:c r="R37" s="37" t="n">
        <x:v>81.22152133333334</x:v>
      </x:c>
      <x:c r="S37" s="37" t="n">
        <x:v>14.778478666666658</x:v>
      </x:c>
      <x:c r="T37" s="40" t="n">
        <x:v>0.1033460046620046</x:v>
      </x:c>
    </x:row>
    <x:row r="38">
      <x:c r="A38" s="32" t="n">
        <x:v>41</x:v>
      </x:c>
      <x:c r="B38" s="32" t="str">
        <x:v>未分類</x:v>
      </x:c>
      <x:c r="C38" s="32" t="str">
        <x:v>日月町罐裝(160g）</x:v>
      </x:c>
      <x:c r="D38" s="32" t="str"/>
      <x:c r="E38" s="32" t="str">
        <x:v>160g</x:v>
      </x:c>
      <x:c r="F38" s="32" t="str">
        <x:v>原味黑糖</x:v>
      </x:c>
      <x:c r="G38" s="37"/>
      <x:c r="H38" s="37" t="n">
        <x:v>126</x:v>
      </x:c>
      <x:c r="I38" s="40"/>
      <x:c r="J38" s="37" t="n">
        <x:v>43</x:v>
      </x:c>
      <x:c r="K38" s="37" t="n">
        <x:v>83</x:v>
      </x:c>
      <x:c r="L38" s="40" t="n">
        <x:v>0.6587301587301587</x:v>
      </x:c>
      <x:c r="M38" s="37" t="n">
        <x:v>0</x:v>
      </x:c>
      <x:c r="N38" s="37" t="n">
        <x:v>65.265816</x:v>
      </x:c>
      <x:c r="O38" s="37" t="n">
        <x:v>0</x:v>
      </x:c>
      <x:c r="P38" s="37" t="n">
        <x:v>0</x:v>
      </x:c>
      <x:c r="Q38" s="37" t="n">
        <x:v>6.300000000000001</x:v>
      </x:c>
      <x:c r="R38" s="37" t="n">
        <x:v>71.565816</x:v>
      </x:c>
      <x:c r="S38" s="37" t="n">
        <x:v>11.434184000000002</x:v>
      </x:c>
      <x:c r="T38" s="40" t="n">
        <x:v>0.09074749206349207</x:v>
      </x:c>
    </x:row>
    <x:row r="39">
      <x:c r="A39" s="32" t="n">
        <x:v>42</x:v>
      </x:c>
      <x:c r="B39" s="32" t="str">
        <x:v>未分類</x:v>
      </x:c>
      <x:c r="C39" s="32" t="str">
        <x:v>日月町罐裝(160g）</x:v>
      </x:c>
      <x:c r="D39" s="32" t="str"/>
      <x:c r="E39" s="32" t="str">
        <x:v>160g</x:v>
      </x:c>
      <x:c r="F39" s="32" t="str">
        <x:v>薑汁黑糖</x:v>
      </x:c>
      <x:c r="G39" s="37"/>
      <x:c r="H39" s="37" t="n">
        <x:v>126</x:v>
      </x:c>
      <x:c r="I39" s="40"/>
      <x:c r="J39" s="37" t="n">
        <x:v>43</x:v>
      </x:c>
      <x:c r="K39" s="37" t="n">
        <x:v>83</x:v>
      </x:c>
      <x:c r="L39" s="40" t="n">
        <x:v>0.6587301587301587</x:v>
      </x:c>
      <x:c r="M39" s="37" t="n">
        <x:v>0</x:v>
      </x:c>
      <x:c r="N39" s="37" t="n">
        <x:v>65.265816</x:v>
      </x:c>
      <x:c r="O39" s="37" t="n">
        <x:v>0</x:v>
      </x:c>
      <x:c r="P39" s="37" t="n">
        <x:v>0</x:v>
      </x:c>
      <x:c r="Q39" s="37" t="n">
        <x:v>6.300000000000001</x:v>
      </x:c>
      <x:c r="R39" s="37" t="n">
        <x:v>71.565816</x:v>
      </x:c>
      <x:c r="S39" s="37" t="n">
        <x:v>11.434184000000002</x:v>
      </x:c>
      <x:c r="T39" s="40" t="n">
        <x:v>0.09074749206349207</x:v>
      </x:c>
    </x:row>
    <x:row r="40">
      <x:c r="A40" s="32" t="n">
        <x:v>43</x:v>
      </x:c>
      <x:c r="B40" s="32" t="str">
        <x:v>未分類</x:v>
      </x:c>
      <x:c r="C40" s="32" t="str">
        <x:v>日月町罐裝(160g）</x:v>
      </x:c>
      <x:c r="D40" s="32" t="str"/>
      <x:c r="E40" s="32" t="str">
        <x:v>160g</x:v>
      </x:c>
      <x:c r="F40" s="32" t="str">
        <x:v>桂圓黑糖</x:v>
      </x:c>
      <x:c r="G40" s="37"/>
      <x:c r="H40" s="37" t="n">
        <x:v>126</x:v>
      </x:c>
      <x:c r="I40" s="40"/>
      <x:c r="J40" s="37" t="n">
        <x:v>43</x:v>
      </x:c>
      <x:c r="K40" s="37" t="n">
        <x:v>83</x:v>
      </x:c>
      <x:c r="L40" s="40" t="n">
        <x:v>0.6587301587301587</x:v>
      </x:c>
      <x:c r="M40" s="37" t="n">
        <x:v>0</x:v>
      </x:c>
      <x:c r="N40" s="37" t="n">
        <x:v>65.265816</x:v>
      </x:c>
      <x:c r="O40" s="37" t="n">
        <x:v>0</x:v>
      </x:c>
      <x:c r="P40" s="37" t="n">
        <x:v>0</x:v>
      </x:c>
      <x:c r="Q40" s="37" t="n">
        <x:v>6.300000000000001</x:v>
      </x:c>
      <x:c r="R40" s="37" t="n">
        <x:v>71.565816</x:v>
      </x:c>
      <x:c r="S40" s="37" t="n">
        <x:v>11.434184000000002</x:v>
      </x:c>
      <x:c r="T40" s="40" t="n">
        <x:v>0.09074749206349207</x:v>
      </x:c>
    </x:row>
    <x:row r="41">
      <x:c r="A41" s="32" t="n">
        <x:v>44</x:v>
      </x:c>
      <x:c r="B41" s="32" t="str">
        <x:v>未分類</x:v>
      </x:c>
      <x:c r="C41" s="32" t="str">
        <x:v>日月町罐裝(160g）</x:v>
      </x:c>
      <x:c r="D41" s="32" t="str"/>
      <x:c r="E41" s="32" t="str">
        <x:v>160g</x:v>
      </x:c>
      <x:c r="F41" s="32" t="str">
        <x:v>玫瑰四物黑糖</x:v>
      </x:c>
      <x:c r="G41" s="37"/>
      <x:c r="H41" s="37" t="n">
        <x:v>126</x:v>
      </x:c>
      <x:c r="I41" s="40"/>
      <x:c r="J41" s="37" t="n">
        <x:v>43</x:v>
      </x:c>
      <x:c r="K41" s="37" t="n">
        <x:v>83</x:v>
      </x:c>
      <x:c r="L41" s="40" t="n">
        <x:v>0.6587301587301587</x:v>
      </x:c>
      <x:c r="M41" s="37" t="n">
        <x:v>0</x:v>
      </x:c>
      <x:c r="N41" s="37" t="n">
        <x:v>65.265816</x:v>
      </x:c>
      <x:c r="O41" s="37" t="n">
        <x:v>0</x:v>
      </x:c>
      <x:c r="P41" s="37" t="n">
        <x:v>0</x:v>
      </x:c>
      <x:c r="Q41" s="37" t="n">
        <x:v>6.300000000000001</x:v>
      </x:c>
      <x:c r="R41" s="37" t="n">
        <x:v>71.565816</x:v>
      </x:c>
      <x:c r="S41" s="37" t="n">
        <x:v>11.434184000000002</x:v>
      </x:c>
      <x:c r="T41" s="40" t="n">
        <x:v>0.09074749206349207</x:v>
      </x:c>
    </x:row>
    <x:row r="42">
      <x:c r="A42" s="32" t="n">
        <x:v>45</x:v>
      </x:c>
      <x:c r="B42" s="32" t="str">
        <x:v>未分類</x:v>
      </x:c>
      <x:c r="C42" s="32" t="str">
        <x:v>日月町罐裝(160g）</x:v>
      </x:c>
      <x:c r="D42" s="32" t="str"/>
      <x:c r="E42" s="32" t="str">
        <x:v>160g</x:v>
      </x:c>
      <x:c r="F42" s="32" t="str">
        <x:v>桂圓紅棗薑</x:v>
      </x:c>
      <x:c r="G42" s="37"/>
      <x:c r="H42" s="37" t="n">
        <x:v>126</x:v>
      </x:c>
      <x:c r="I42" s="40"/>
      <x:c r="J42" s="37" t="n">
        <x:v>43</x:v>
      </x:c>
      <x:c r="K42" s="37" t="n">
        <x:v>83</x:v>
      </x:c>
      <x:c r="L42" s="40" t="n">
        <x:v>0.6587301587301587</x:v>
      </x:c>
      <x:c r="M42" s="37" t="n">
        <x:v>0</x:v>
      </x:c>
      <x:c r="N42" s="37" t="n">
        <x:v>65.265816</x:v>
      </x:c>
      <x:c r="O42" s="37" t="n">
        <x:v>0</x:v>
      </x:c>
      <x:c r="P42" s="37" t="n">
        <x:v>0</x:v>
      </x:c>
      <x:c r="Q42" s="37" t="n">
        <x:v>6.300000000000001</x:v>
      </x:c>
      <x:c r="R42" s="37" t="n">
        <x:v>71.565816</x:v>
      </x:c>
      <x:c r="S42" s="37" t="n">
        <x:v>11.434184000000002</x:v>
      </x:c>
      <x:c r="T42" s="40" t="n">
        <x:v>0.09074749206349207</x:v>
      </x:c>
    </x:row>
    <x:row r="43">
      <x:c r="A43" s="32" t="n">
        <x:v>46</x:v>
      </x:c>
      <x:c r="B43" s="32" t="str">
        <x:v>未分類</x:v>
      </x:c>
      <x:c r="C43" s="32" t="str">
        <x:v>日月町罐裝(160g）</x:v>
      </x:c>
      <x:c r="D43" s="32" t="str"/>
      <x:c r="E43" s="32" t="str">
        <x:v>160g</x:v>
      </x:c>
      <x:c r="F43" s="32" t="str">
        <x:v>冬瓜</x:v>
      </x:c>
      <x:c r="G43" s="37"/>
      <x:c r="H43" s="37" t="n">
        <x:v>126</x:v>
      </x:c>
      <x:c r="I43" s="40"/>
      <x:c r="J43" s="37" t="n">
        <x:v>43</x:v>
      </x:c>
      <x:c r="K43" s="37" t="n">
        <x:v>83</x:v>
      </x:c>
      <x:c r="L43" s="40" t="n">
        <x:v>0.6587301587301587</x:v>
      </x:c>
      <x:c r="M43" s="37" t="n">
        <x:v>0</x:v>
      </x:c>
      <x:c r="N43" s="37" t="n">
        <x:v>65.265816</x:v>
      </x:c>
      <x:c r="O43" s="37" t="n">
        <x:v>0</x:v>
      </x:c>
      <x:c r="P43" s="37" t="n">
        <x:v>0</x:v>
      </x:c>
      <x:c r="Q43" s="37" t="n">
        <x:v>6.300000000000001</x:v>
      </x:c>
      <x:c r="R43" s="37" t="n">
        <x:v>71.565816</x:v>
      </x:c>
      <x:c r="S43" s="37" t="n">
        <x:v>11.434184000000002</x:v>
      </x:c>
      <x:c r="T43" s="40" t="n">
        <x:v>0.09074749206349207</x:v>
      </x:c>
    </x:row>
    <x:row r="44">
      <x:c r="A44" s="32" t="n">
        <x:v>47</x:v>
      </x:c>
      <x:c r="B44" s="32" t="str">
        <x:v>未分類</x:v>
      </x:c>
      <x:c r="C44" s="32" t="str">
        <x:v>日月町禮盒組</x:v>
      </x:c>
      <x:c r="D44" s="32" t="str">
        <x:v>禮盒</x:v>
      </x:c>
      <x:c r="E44" s="32" t="str"/>
      <x:c r="F44" s="32" t="str">
        <x:v>2入任搭組合</x:v>
      </x:c>
      <x:c r="G44" s="37"/>
      <x:c r="H44" s="37" t="n">
        <x:v>301</x:v>
      </x:c>
      <x:c r="I44" s="40"/>
      <x:c r="J44" s="37" t="n">
        <x:v>172</x:v>
      </x:c>
      <x:c r="K44" s="37" t="n">
        <x:v>129</x:v>
      </x:c>
      <x:c r="L44" s="40" t="n">
        <x:v>0.42857142857142855</x:v>
      </x:c>
      <x:c r="M44" s="37" t="n">
        <x:v>0</x:v>
      </x:c>
      <x:c r="N44" s="37" t="n">
        <x:v>155.9127826666667</x:v>
      </x:c>
      <x:c r="O44" s="37" t="n">
        <x:v>0</x:v>
      </x:c>
      <x:c r="P44" s="37" t="n">
        <x:v>0</x:v>
      </x:c>
      <x:c r="Q44" s="37" t="n">
        <x:v>15.05</x:v>
      </x:c>
      <x:c r="R44" s="37" t="n">
        <x:v>170.9627826666667</x:v>
      </x:c>
      <x:c r="S44" s="37" t="n">
        <x:v>-41.9627826666667</x:v>
      </x:c>
      <x:c r="T44" s="40" t="n">
        <x:v>-0.1394112380952382</x:v>
      </x:c>
    </x:row>
    <x:row r="45">
      <x:c r="A45" s="32" t="n">
        <x:v>49</x:v>
      </x:c>
      <x:c r="B45" s="32" t="str">
        <x:v>OEM</x:v>
      </x:c>
      <x:c r="C45" s="32" t="str">
        <x:v>科技中藥廠</x:v>
      </x:c>
      <x:c r="D45" s="32" t="str">
        <x:v>薑母茶</x:v>
      </x:c>
      <x:c r="E45" s="32" t="str">
        <x:v>40台斤(一箱)</x:v>
      </x:c>
      <x:c r="F45" s="32" t="str">
        <x:v>黑糖薑母茶</x:v>
      </x:c>
      <x:c r="G45" s="37"/>
      <x:c r="H45" s="37" t="n">
        <x:v>112</x:v>
      </x:c>
      <x:c r="I45" s="40"/>
      <x:c r="J45" s="37" t="n">
        <x:v>46</x:v>
      </x:c>
      <x:c r="K45" s="37" t="n">
        <x:v>66</x:v>
      </x:c>
      <x:c r="L45" s="40" t="n">
        <x:v>0.5892857142857143</x:v>
      </x:c>
      <x:c r="M45" s="37" t="n">
        <x:v>0</x:v>
      </x:c>
      <x:c r="N45" s="37" t="n">
        <x:v>58.01405866666667</x:v>
      </x:c>
      <x:c r="O45" s="37" t="n">
        <x:v>0</x:v>
      </x:c>
      <x:c r="P45" s="37" t="n">
        <x:v>0</x:v>
      </x:c>
      <x:c r="Q45" s="37" t="n">
        <x:v>5.6000000000000005</x:v>
      </x:c>
      <x:c r="R45" s="37" t="n">
        <x:v>63.61405866666667</x:v>
      </x:c>
      <x:c r="S45" s="37" t="n">
        <x:v>2.385941333333328</x:v>
      </x:c>
      <x:c r="T45" s="40" t="n">
        <x:v>0.021303047619047572</x:v>
      </x:c>
    </x:row>
    <x:row r="46">
      <x:c r="A46" s="32" t="n">
        <x:v>74</x:v>
      </x:c>
      <x:c r="B46" s="32" t="str">
        <x:v>OEM</x:v>
      </x:c>
      <x:c r="C46" s="32" t="str">
        <x:v>科技中藥廠</x:v>
      </x:c>
      <x:c r="D46" s="32" t="str">
        <x:v>薑母茶</x:v>
      </x:c>
      <x:c r="E46" s="32" t="str">
        <x:v>40台斤(一箱)</x:v>
      </x:c>
      <x:c r="F46" s="32" t="str">
        <x:v>海陸奢華霸王組8~10人 贈玫瑰鹽一罐(市價89元)</x:v>
      </x:c>
      <x:c r="G46" s="37"/>
      <x:c r="H46" s="37" t="n">
        <x:v>5680</x:v>
      </x:c>
      <x:c r="I46" s="40"/>
      <x:c r="J46" s="37"/>
      <x:c r="K46" s="37"/>
      <x:c r="L46" s="40"/>
      <x:c r="M46" s="37"/>
      <x:c r="N46" s="37"/>
      <x:c r="O46" s="37"/>
      <x:c r="P46" s="37"/>
      <x:c r="Q46" s="37"/>
      <x:c r="R46" s="37"/>
      <x:c r="S46" s="37"/>
      <x:c r="T46" s="40"/>
    </x:row>
    <x:row r="47">
      <x:c r="A47" s="32" t="n">
        <x:v>75</x:v>
      </x:c>
      <x:c r="B47" s="32" t="str">
        <x:v>OEM</x:v>
      </x:c>
      <x:c r="C47" s="32" t="str">
        <x:v>科技中藥廠</x:v>
      </x:c>
      <x:c r="D47" s="32" t="str">
        <x:v>薑母茶</x:v>
      </x:c>
      <x:c r="E47" s="32" t="str">
        <x:v>40台斤(一箱)</x:v>
      </x:c>
      <x:c r="F47" s="32" t="str">
        <x:v>五星級海陸烤肉組(5-8人份)</x:v>
      </x:c>
      <x:c r="G47" s="37"/>
      <x:c r="H47" s="37" t="n">
        <x:v>1570</x:v>
      </x:c>
      <x:c r="I47" s="40"/>
      <x:c r="J47" s="37"/>
      <x:c r="K47" s="37"/>
      <x:c r="L47" s="40"/>
      <x:c r="M47" s="37"/>
      <x:c r="N47" s="37"/>
      <x:c r="O47" s="37"/>
      <x:c r="P47" s="37"/>
      <x:c r="Q47" s="37"/>
      <x:c r="R47" s="37"/>
      <x:c r="S47" s="37"/>
      <x:c r="T47" s="40"/>
    </x:row>
    <x:row r="48">
      <x:c r="A48" s="32" t="n">
        <x:v>76</x:v>
      </x:c>
      <x:c r="B48" s="32" t="str">
        <x:v>OEM</x:v>
      </x:c>
      <x:c r="C48" s="32" t="str">
        <x:v>科技中藥廠</x:v>
      </x:c>
      <x:c r="D48" s="32" t="str">
        <x:v>薑母茶</x:v>
      </x:c>
      <x:c r="E48" s="32" t="str">
        <x:v>40台斤(一箱)</x:v>
      </x:c>
      <x:c r="F48" s="32" t="str">
        <x:v>超值燒肉烤肉組</x:v>
      </x:c>
      <x:c r="G48" s="37"/>
      <x:c r="H48" s="37" t="n">
        <x:v>2000</x:v>
      </x:c>
      <x:c r="I48" s="40"/>
      <x:c r="J48" s="37"/>
      <x:c r="K48" s="37"/>
      <x:c r="L48" s="40"/>
      <x:c r="M48" s="37"/>
      <x:c r="N48" s="37"/>
      <x:c r="O48" s="37"/>
      <x:c r="P48" s="37"/>
      <x:c r="Q48" s="37"/>
      <x:c r="R48" s="37"/>
      <x:c r="S48" s="37"/>
      <x:c r="T48" s="40"/>
    </x:row>
    <x:row r="49">
      <x:c r="A49" s="32" t="n">
        <x:v>77</x:v>
      </x:c>
      <x:c r="B49" s="32" t="str">
        <x:v>OEM</x:v>
      </x:c>
      <x:c r="C49" s="32" t="str">
        <x:v>科技中藥廠</x:v>
      </x:c>
      <x:c r="D49" s="32" t="str">
        <x:v>薑母茶</x:v>
      </x:c>
      <x:c r="E49" s="32" t="str">
        <x:v>40台斤(一箱)</x:v>
      </x:c>
      <x:c r="F49" s="32" t="str">
        <x:v>中秋烤肉海陸豪華14件組(約5-7人/份)</x:v>
      </x:c>
      <x:c r="G49" s="37"/>
      <x:c r="H49" s="37" t="n">
        <x:v>1580</x:v>
      </x:c>
      <x:c r="I49" s="40"/>
      <x:c r="J49" s="37"/>
      <x:c r="K49" s="37"/>
      <x:c r="L49" s="40"/>
      <x:c r="M49" s="37"/>
      <x:c r="N49" s="37"/>
      <x:c r="O49" s="37"/>
      <x:c r="P49" s="37"/>
      <x:c r="Q49" s="37"/>
      <x:c r="R49" s="37"/>
      <x:c r="S49" s="37"/>
      <x:c r="T49" s="4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70000457763672" hidden="0" customWidth="1"/>
    <x:col min="2" max="2" width="19.520000457763672" hidden="0" customWidth="1"/>
    <x:col min="3" max="3" width="19.520000457763672" hidden="0" customWidth="1"/>
    <x:col min="4" max="4" width="31.6299991607666" hidden="0" customWidth="1"/>
    <x:col min="5" max="5" width="13.460000038146973" hidden="0" customWidth="1"/>
    <x:col min="6" max="6" width="13.460000038146973" hidden="0" customWidth="1"/>
    <x:col min="7" max="7" width="28.940000534057617" hidden="0" customWidth="1"/>
    <x:col min="8" max="8" width="47.779998779296875" hidden="0" customWidth="1"/>
  </x:cols>
  <x:sheetData>
    <x:row r="1">
      <x:c r="A1" s="45" t="str">
        <x:v>source_row</x:v>
      </x:c>
      <x:c r="B1" s="45" t="str">
        <x:v>action</x:v>
      </x:c>
      <x:c r="C1" s="45" t="str">
        <x:v>product</x:v>
      </x:c>
      <x:c r="D1" s="45" t="str">
        <x:v>raw_route</x:v>
      </x:c>
      <x:c r="E1" s="45" t="str">
        <x:v>revenue_source</x:v>
      </x:c>
      <x:c r="F1" s="45" t="str">
        <x:v>profit_source</x:v>
      </x:c>
      <x:c r="G1" s="45" t="str">
        <x:v>quality_flags</x:v>
      </x:c>
      <x:c r="H1" s="45" t="str">
        <x:v>notes</x:v>
      </x:c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</x:row>
    <x:row r="2">
      <x:c r="A2" s="32" t="n">
        <x:v>3</x:v>
      </x:c>
      <x:c r="B2" s="32" t="str">
        <x:v>subtotal_only</x:v>
      </x:c>
      <x:c r="C2" s="32" t="str"/>
      <x:c r="D2" s="32" t="str">
        <x:v>ODM/貼牌</x:v>
      </x:c>
      <x:c r="E2" s="32" t="str">
        <x:v>reported</x:v>
      </x:c>
      <x:c r="F2" s="32" t="str">
        <x:v>reported</x:v>
      </x:c>
      <x:c r="G2" s="32" t="str">
        <x:v>category_subtotal</x:v>
      </x:c>
      <x:c r="H2" s="32" t="str">
        <x:v>Kept for reconciliation, excluded from SKU ranking.</x:v>
      </x:c>
    </x:row>
    <x:row r="3">
      <x:c r="A3" s="32" t="n">
        <x:v>4</x:v>
      </x:c>
      <x:c r="B3" s="32" t="str">
        <x:v>excluded</x:v>
      </x:c>
      <x:c r="C3" s="32" t="str">
        <x:v>原味黑糖</x:v>
      </x:c>
      <x:c r="D3" s="32" t="str">
        <x:v>批發-台糖
(單顆包裝夾鏈袋260g)</x:v>
      </x:c>
      <x:c r="E3" s="32" t="str"/>
      <x:c r="F3" s="32" t="str"/>
      <x:c r="G3" s="32" t="str">
        <x:v>no_2025_quantity</x:v>
      </x:c>
      <x:c r="H3" s="32" t="str">
        <x:v>Cost catalog row without positive 2025 quantity.</x:v>
      </x:c>
    </x:row>
    <x:row r="4">
      <x:c r="A4" s="32" t="n">
        <x:v>5</x:v>
      </x:c>
      <x:c r="B4" s="32" t="str">
        <x:v>excluded</x:v>
      </x:c>
      <x:c r="C4" s="32" t="str">
        <x:v>薑汁黑糖</x:v>
      </x:c>
      <x:c r="D4" s="32" t="str">
        <x:v>批發-台糖
(單顆包裝夾鏈袋260g)</x:v>
      </x:c>
      <x:c r="E4" s="32" t="str"/>
      <x:c r="F4" s="32" t="str"/>
      <x:c r="G4" s="32" t="str">
        <x:v>no_2025_quantity</x:v>
      </x:c>
      <x:c r="H4" s="32" t="str">
        <x:v>Cost catalog row without positive 2025 quantity.</x:v>
      </x:c>
    </x:row>
    <x:row r="5">
      <x:c r="A5" s="32" t="n">
        <x:v>6</x:v>
      </x:c>
      <x:c r="B5" s="32" t="str">
        <x:v>excluded</x:v>
      </x:c>
      <x:c r="C5" s="32" t="str">
        <x:v>桂圓黑糖</x:v>
      </x:c>
      <x:c r="D5" s="32" t="str">
        <x:v>批發-台糖
(單顆包裝夾鏈袋260g)</x:v>
      </x:c>
      <x:c r="E5" s="32" t="str"/>
      <x:c r="F5" s="32" t="str"/>
      <x:c r="G5" s="32" t="str">
        <x:v>no_2025_quantity</x:v>
      </x:c>
      <x:c r="H5" s="32" t="str">
        <x:v>Cost catalog row without positive 2025 quantity.</x:v>
      </x:c>
    </x:row>
    <x:row r="6">
      <x:c r="A6" s="32" t="n">
        <x:v>7</x:v>
      </x:c>
      <x:c r="B6" s="32" t="str">
        <x:v>excluded</x:v>
      </x:c>
      <x:c r="C6" s="32" t="str">
        <x:v>玫瑰四物黑糖</x:v>
      </x:c>
      <x:c r="D6" s="32" t="str">
        <x:v>批發-台糖
(單顆包裝夾鏈袋260g)</x:v>
      </x:c>
      <x:c r="E6" s="32" t="str"/>
      <x:c r="F6" s="32" t="str"/>
      <x:c r="G6" s="32" t="str">
        <x:v>no_2025_quantity</x:v>
      </x:c>
      <x:c r="H6" s="32" t="str">
        <x:v>Cost catalog row without positive 2025 quantity.</x:v>
      </x:c>
    </x:row>
    <x:row r="7">
      <x:c r="A7" s="32" t="n">
        <x:v>8</x:v>
      </x:c>
      <x:c r="B7" s="32" t="str">
        <x:v>included_sales_row</x:v>
      </x:c>
      <x:c r="C7" s="32" t="str">
        <x:v>桂圓紅棗薑黑糖</x:v>
      </x:c>
      <x:c r="D7" s="32" t="str">
        <x:v>批發-台糖
(單顆包裝夾鏈袋260g)</x:v>
      </x:c>
      <x:c r="E7" s="32" t="str">
        <x:v>reported</x:v>
      </x:c>
      <x:c r="F7" s="32" t="str">
        <x:v>reported</x:v>
      </x:c>
      <x:c r="G7" s="32" t="str"/>
      <x:c r="H7" s="32" t="str"/>
    </x:row>
    <x:row r="8">
      <x:c r="A8" s="32" t="n">
        <x:v>9</x:v>
      </x:c>
      <x:c r="B8" s="32" t="str">
        <x:v>included_sales_row</x:v>
      </x:c>
      <x:c r="C8" s="32" t="str">
        <x:v>冬瓜</x:v>
      </x:c>
      <x:c r="D8" s="32" t="str">
        <x:v>批發-台糖
(單顆包裝夾鏈袋260g)</x:v>
      </x:c>
      <x:c r="E8" s="32" t="str">
        <x:v>reported</x:v>
      </x:c>
      <x:c r="F8" s="32" t="str">
        <x:v>reported</x:v>
      </x:c>
      <x:c r="G8" s="32" t="str"/>
      <x:c r="H8" s="32" t="str"/>
    </x:row>
    <x:row r="9">
      <x:c r="A9" s="32" t="n">
        <x:v>10</x:v>
      </x:c>
      <x:c r="B9" s="32" t="str">
        <x:v>included_sales_row</x:v>
      </x:c>
      <x:c r="C9" s="32" t="str">
        <x:v>原味黑糖</x:v>
      </x:c>
      <x:c r="D9" s="32" t="str">
        <x:v>批發-台糖
(手切夾鏈袋380g)</x:v>
      </x:c>
      <x:c r="E9" s="32" t="str">
        <x:v>reported</x:v>
      </x:c>
      <x:c r="F9" s="32" t="str">
        <x:v>reported</x:v>
      </x:c>
      <x:c r="G9" s="32" t="str"/>
      <x:c r="H9" s="32" t="str"/>
    </x:row>
    <x:row r="10">
      <x:c r="A10" s="32" t="n">
        <x:v>11</x:v>
      </x:c>
      <x:c r="B10" s="32" t="str">
        <x:v>included_sales_row</x:v>
      </x:c>
      <x:c r="C10" s="32" t="str">
        <x:v>薑汁黑糖</x:v>
      </x:c>
      <x:c r="D10" s="32" t="str">
        <x:v>批發-台糖
(手切夾鏈袋380g)</x:v>
      </x:c>
      <x:c r="E10" s="32" t="str">
        <x:v>reported</x:v>
      </x:c>
      <x:c r="F10" s="32" t="str">
        <x:v>reported</x:v>
      </x:c>
      <x:c r="G10" s="32" t="str"/>
      <x:c r="H10" s="32" t="str"/>
    </x:row>
    <x:row r="11">
      <x:c r="A11" s="32" t="n">
        <x:v>12</x:v>
      </x:c>
      <x:c r="B11" s="32" t="str">
        <x:v>included_sales_row</x:v>
      </x:c>
      <x:c r="C11" s="32" t="str">
        <x:v>桂圓黑糖</x:v>
      </x:c>
      <x:c r="D11" s="32" t="str">
        <x:v>批發-台糖
(手切夾鏈袋380g)</x:v>
      </x:c>
      <x:c r="E11" s="32" t="str">
        <x:v>reported</x:v>
      </x:c>
      <x:c r="F11" s="32" t="str">
        <x:v>reported</x:v>
      </x:c>
      <x:c r="G11" s="32" t="str"/>
      <x:c r="H11" s="32" t="str"/>
    </x:row>
    <x:row r="12">
      <x:c r="A12" s="32" t="n">
        <x:v>13</x:v>
      </x:c>
      <x:c r="B12" s="32" t="str">
        <x:v>included_sales_row</x:v>
      </x:c>
      <x:c r="C12" s="32" t="str">
        <x:v>玫瑰四物黑糖</x:v>
      </x:c>
      <x:c r="D12" s="32" t="str">
        <x:v>批發-台糖
(手切夾鏈袋380g)</x:v>
      </x:c>
      <x:c r="E12" s="32" t="str">
        <x:v>reported</x:v>
      </x:c>
      <x:c r="F12" s="32" t="str">
        <x:v>reported</x:v>
      </x:c>
      <x:c r="G12" s="32" t="str"/>
      <x:c r="H12" s="32" t="str"/>
    </x:row>
    <x:row r="13">
      <x:c r="A13" s="32" t="n">
        <x:v>14</x:v>
      </x:c>
      <x:c r="B13" s="32" t="str">
        <x:v>included_sales_row</x:v>
      </x:c>
      <x:c r="C13" s="32" t="str">
        <x:v>原味黑糖</x:v>
      </x:c>
      <x:c r="D13" s="32" t="str">
        <x:v>批發-農會
(手切夾鏈袋380g)</x:v>
      </x:c>
      <x:c r="E13" s="32" t="str">
        <x:v>reported</x:v>
      </x:c>
      <x:c r="F13" s="32" t="str">
        <x:v>reported</x:v>
      </x:c>
      <x:c r="G13" s="32" t="str"/>
      <x:c r="H13" s="32" t="str"/>
    </x:row>
    <x:row r="14">
      <x:c r="A14" s="32" t="n">
        <x:v>15</x:v>
      </x:c>
      <x:c r="B14" s="32" t="str">
        <x:v>included_sales_row</x:v>
      </x:c>
      <x:c r="C14" s="32" t="str">
        <x:v>薑汁黑糖</x:v>
      </x:c>
      <x:c r="D14" s="32" t="str">
        <x:v>批發-農會
(手切夾鏈袋380g)</x:v>
      </x:c>
      <x:c r="E14" s="32" t="str">
        <x:v>reported</x:v>
      </x:c>
      <x:c r="F14" s="32" t="str">
        <x:v>reported</x:v>
      </x:c>
      <x:c r="G14" s="32" t="str"/>
      <x:c r="H14" s="32" t="str"/>
    </x:row>
    <x:row r="15">
      <x:c r="A15" s="32" t="n">
        <x:v>16</x:v>
      </x:c>
      <x:c r="B15" s="32" t="str">
        <x:v>included_sales_row</x:v>
      </x:c>
      <x:c r="C15" s="32" t="str">
        <x:v>桂圓黑糖</x:v>
      </x:c>
      <x:c r="D15" s="32" t="str">
        <x:v>批發-農會
(手切夾鏈袋380g)</x:v>
      </x:c>
      <x:c r="E15" s="32" t="str">
        <x:v>reported</x:v>
      </x:c>
      <x:c r="F15" s="32" t="str">
        <x:v>reported</x:v>
      </x:c>
      <x:c r="G15" s="32" t="str"/>
      <x:c r="H15" s="32" t="str"/>
    </x:row>
    <x:row r="16">
      <x:c r="A16" s="32" t="n">
        <x:v>17</x:v>
      </x:c>
      <x:c r="B16" s="32" t="str">
        <x:v>included_sales_row</x:v>
      </x:c>
      <x:c r="C16" s="32" t="str">
        <x:v>玫瑰四物黑糖</x:v>
      </x:c>
      <x:c r="D16" s="32" t="str">
        <x:v>批發-農會
(手切夾鏈袋380g)</x:v>
      </x:c>
      <x:c r="E16" s="32" t="str">
        <x:v>reported</x:v>
      </x:c>
      <x:c r="F16" s="32" t="str">
        <x:v>reported</x:v>
      </x:c>
      <x:c r="G16" s="32" t="str"/>
      <x:c r="H16" s="32" t="str"/>
    </x:row>
    <x:row r="17">
      <x:c r="A17" s="32" t="n">
        <x:v>18</x:v>
      </x:c>
      <x:c r="B17" s="32" t="str">
        <x:v>included_sales_row</x:v>
      </x:c>
      <x:c r="C17" s="32" t="str">
        <x:v>原味黑糖</x:v>
      </x:c>
      <x:c r="D17" s="32" t="str">
        <x:v>貼牌客戶-埔里農會
(手切夾鏈袋380g)</x:v>
      </x:c>
      <x:c r="E17" s="32" t="str">
        <x:v>reported</x:v>
      </x:c>
      <x:c r="F17" s="32" t="str">
        <x:v>reported</x:v>
      </x:c>
      <x:c r="G17" s="32" t="str"/>
      <x:c r="H17" s="32" t="str"/>
    </x:row>
    <x:row r="18">
      <x:c r="A18" s="32" t="n">
        <x:v>19</x:v>
      </x:c>
      <x:c r="B18" s="32" t="str">
        <x:v>included_sales_row</x:v>
      </x:c>
      <x:c r="C18" s="32" t="str">
        <x:v>薑汁黑糖</x:v>
      </x:c>
      <x:c r="D18" s="32" t="str">
        <x:v>貼牌客戶-埔里農會
(手切夾鏈袋380g)</x:v>
      </x:c>
      <x:c r="E18" s="32" t="str">
        <x:v>reported</x:v>
      </x:c>
      <x:c r="F18" s="32" t="str">
        <x:v>reported</x:v>
      </x:c>
      <x:c r="G18" s="32" t="str"/>
      <x:c r="H18" s="32" t="str"/>
    </x:row>
    <x:row r="19">
      <x:c r="A19" s="32" t="n">
        <x:v>20</x:v>
      </x:c>
      <x:c r="B19" s="32" t="str">
        <x:v>included_sales_row</x:v>
      </x:c>
      <x:c r="C19" s="32" t="str">
        <x:v>桂圓黑糖</x:v>
      </x:c>
      <x:c r="D19" s="32" t="str">
        <x:v>貼牌客戶-埔里農會
(手切夾鏈袋380g)</x:v>
      </x:c>
      <x:c r="E19" s="32" t="str">
        <x:v>reported</x:v>
      </x:c>
      <x:c r="F19" s="32" t="str">
        <x:v>reported</x:v>
      </x:c>
      <x:c r="G19" s="32" t="str"/>
      <x:c r="H19" s="32" t="str"/>
    </x:row>
    <x:row r="20">
      <x:c r="A20" s="32" t="n">
        <x:v>21</x:v>
      </x:c>
      <x:c r="B20" s="32" t="str">
        <x:v>included_sales_row</x:v>
      </x:c>
      <x:c r="C20" s="32" t="str">
        <x:v>玫瑰四物黑糖</x:v>
      </x:c>
      <x:c r="D20" s="32" t="str">
        <x:v>貼牌客戶-埔里農會
(手切夾鏈袋380g)</x:v>
      </x:c>
      <x:c r="E20" s="32" t="str">
        <x:v>reported</x:v>
      </x:c>
      <x:c r="F20" s="32" t="str">
        <x:v>reported</x:v>
      </x:c>
      <x:c r="G20" s="32" t="str"/>
      <x:c r="H20" s="32" t="str"/>
    </x:row>
    <x:row r="21">
      <x:c r="A21" s="32" t="n">
        <x:v>22</x:v>
      </x:c>
      <x:c r="B21" s="32" t="str">
        <x:v>excluded</x:v>
      </x:c>
      <x:c r="C21" s="32" t="str">
        <x:v>原味黑糖</x:v>
      </x:c>
      <x:c r="D21" s="32" t="str">
        <x:v>批發-
(手切夾鏈袋380g)</x:v>
      </x:c>
      <x:c r="E21" s="32" t="str"/>
      <x:c r="F21" s="32" t="str"/>
      <x:c r="G21" s="32" t="str">
        <x:v>no_2025_quantity</x:v>
      </x:c>
      <x:c r="H21" s="32" t="str">
        <x:v>Cost catalog row without positive 2025 quantity.</x:v>
      </x:c>
    </x:row>
    <x:row r="22">
      <x:c r="A22" s="32" t="n">
        <x:v>23</x:v>
      </x:c>
      <x:c r="B22" s="32" t="str">
        <x:v>excluded</x:v>
      </x:c>
      <x:c r="C22" s="32" t="str">
        <x:v>薑汁黑糖</x:v>
      </x:c>
      <x:c r="D22" s="32" t="str">
        <x:v>批發-
(手切夾鏈袋380g)</x:v>
      </x:c>
      <x:c r="E22" s="32" t="str"/>
      <x:c r="F22" s="32" t="str"/>
      <x:c r="G22" s="32" t="str">
        <x:v>no_2025_quantity</x:v>
      </x:c>
      <x:c r="H22" s="32" t="str">
        <x:v>Cost catalog row without positive 2025 quantity.</x:v>
      </x:c>
    </x:row>
    <x:row r="23">
      <x:c r="A23" s="32" t="n">
        <x:v>24</x:v>
      </x:c>
      <x:c r="B23" s="32" t="str">
        <x:v>excluded</x:v>
      </x:c>
      <x:c r="C23" s="32" t="str">
        <x:v>桂圓黑糖</x:v>
      </x:c>
      <x:c r="D23" s="32" t="str">
        <x:v>批發-
(手切夾鏈袋380g)</x:v>
      </x:c>
      <x:c r="E23" s="32" t="str"/>
      <x:c r="F23" s="32" t="str"/>
      <x:c r="G23" s="32" t="str">
        <x:v>no_2025_quantity</x:v>
      </x:c>
      <x:c r="H23" s="32" t="str">
        <x:v>Cost catalog row without positive 2025 quantity.</x:v>
      </x:c>
    </x:row>
    <x:row r="24">
      <x:c r="A24" s="32" t="n">
        <x:v>25</x:v>
      </x:c>
      <x:c r="B24" s="32" t="str">
        <x:v>excluded</x:v>
      </x:c>
      <x:c r="C24" s="32" t="str">
        <x:v>玫瑰四物黑糖</x:v>
      </x:c>
      <x:c r="D24" s="32" t="str">
        <x:v>批發-
(手切夾鏈袋380g)</x:v>
      </x:c>
      <x:c r="E24" s="32" t="str"/>
      <x:c r="F24" s="32" t="str"/>
      <x:c r="G24" s="32" t="str">
        <x:v>no_2025_quantity</x:v>
      </x:c>
      <x:c r="H24" s="32" t="str">
        <x:v>Cost catalog row without positive 2025 quantity.</x:v>
      </x:c>
    </x:row>
    <x:row r="25">
      <x:c r="A25" s="32" t="n">
        <x:v>26</x:v>
      </x:c>
      <x:c r="B25" s="32" t="str">
        <x:v>included_sales_row</x:v>
      </x:c>
      <x:c r="C25" s="32" t="str">
        <x:v>原味黑糖</x:v>
      </x:c>
      <x:c r="D25" s="32" t="str">
        <x:v>手切(每台斤)</x:v>
      </x:c>
      <x:c r="E25" s="32" t="str">
        <x:v>reported</x:v>
      </x:c>
      <x:c r="F25" s="32" t="str">
        <x:v>reported</x:v>
      </x:c>
      <x:c r="G25" s="32" t="str"/>
      <x:c r="H25" s="32" t="str"/>
    </x:row>
    <x:row r="26">
      <x:c r="A26" s="32" t="n">
        <x:v>27</x:v>
      </x:c>
      <x:c r="B26" s="32" t="str">
        <x:v>included_sales_row</x:v>
      </x:c>
      <x:c r="C26" s="32" t="str">
        <x:v>薑汁黑糖</x:v>
      </x:c>
      <x:c r="D26" s="32" t="str">
        <x:v>手切(每台斤)</x:v>
      </x:c>
      <x:c r="E26" s="32" t="str">
        <x:v>reported</x:v>
      </x:c>
      <x:c r="F26" s="32" t="str">
        <x:v>reported</x:v>
      </x:c>
      <x:c r="G26" s="32" t="str"/>
      <x:c r="H26" s="32" t="str"/>
    </x:row>
    <x:row r="27">
      <x:c r="A27" s="32" t="n">
        <x:v>28</x:v>
      </x:c>
      <x:c r="B27" s="32" t="str">
        <x:v>included_sales_row</x:v>
      </x:c>
      <x:c r="C27" s="32" t="str">
        <x:v>桂圓黑糖</x:v>
      </x:c>
      <x:c r="D27" s="32" t="str">
        <x:v>手切(每台斤)</x:v>
      </x:c>
      <x:c r="E27" s="32" t="str">
        <x:v>reported</x:v>
      </x:c>
      <x:c r="F27" s="32" t="str">
        <x:v>reported</x:v>
      </x:c>
      <x:c r="G27" s="32" t="str"/>
      <x:c r="H27" s="32" t="str"/>
    </x:row>
    <x:row r="28">
      <x:c r="A28" s="32" t="n">
        <x:v>29</x:v>
      </x:c>
      <x:c r="B28" s="32" t="str">
        <x:v>included_sales_row</x:v>
      </x:c>
      <x:c r="C28" s="32" t="str">
        <x:v>玫瑰四物黑糖</x:v>
      </x:c>
      <x:c r="D28" s="32" t="str">
        <x:v>手切(每台斤)</x:v>
      </x:c>
      <x:c r="E28" s="32" t="str">
        <x:v>reported</x:v>
      </x:c>
      <x:c r="F28" s="32" t="str">
        <x:v>reported</x:v>
      </x:c>
      <x:c r="G28" s="32" t="str"/>
      <x:c r="H28" s="32" t="str"/>
    </x:row>
    <x:row r="29">
      <x:c r="A29" s="32" t="n">
        <x:v>30</x:v>
      </x:c>
      <x:c r="B29" s="32" t="str">
        <x:v>excluded</x:v>
      </x:c>
      <x:c r="C29" s="32" t="str">
        <x:v>原味黑糖</x:v>
      </x:c>
      <x:c r="D29" s="32" t="str">
        <x:v>單顆包(每台斤）</x:v>
      </x:c>
      <x:c r="E29" s="32" t="str"/>
      <x:c r="F29" s="32" t="str"/>
      <x:c r="G29" s="32" t="str">
        <x:v>no_2025_quantity</x:v>
      </x:c>
      <x:c r="H29" s="32" t="str">
        <x:v>Cost catalog row without positive 2025 quantity.</x:v>
      </x:c>
    </x:row>
    <x:row r="30">
      <x:c r="A30" s="32" t="n">
        <x:v>31</x:v>
      </x:c>
      <x:c r="B30" s="32" t="str">
        <x:v>excluded</x:v>
      </x:c>
      <x:c r="C30" s="32" t="str">
        <x:v>薑汁黑糖</x:v>
      </x:c>
      <x:c r="D30" s="32" t="str">
        <x:v>單顆包(每台斤）</x:v>
      </x:c>
      <x:c r="E30" s="32" t="str"/>
      <x:c r="F30" s="32" t="str"/>
      <x:c r="G30" s="32" t="str">
        <x:v>no_2025_quantity</x:v>
      </x:c>
      <x:c r="H30" s="32" t="str">
        <x:v>Cost catalog row without positive 2025 quantity.</x:v>
      </x:c>
    </x:row>
    <x:row r="31">
      <x:c r="A31" s="32" t="n">
        <x:v>32</x:v>
      </x:c>
      <x:c r="B31" s="32" t="str">
        <x:v>excluded</x:v>
      </x:c>
      <x:c r="C31" s="32" t="str">
        <x:v>桂圓黑糖</x:v>
      </x:c>
      <x:c r="D31" s="32" t="str">
        <x:v>單顆包(每台斤）</x:v>
      </x:c>
      <x:c r="E31" s="32" t="str"/>
      <x:c r="F31" s="32" t="str"/>
      <x:c r="G31" s="32" t="str">
        <x:v>no_2025_quantity</x:v>
      </x:c>
      <x:c r="H31" s="32" t="str">
        <x:v>Cost catalog row without positive 2025 quantity.</x:v>
      </x:c>
    </x:row>
    <x:row r="32">
      <x:c r="A32" s="32" t="n">
        <x:v>33</x:v>
      </x:c>
      <x:c r="B32" s="32" t="str">
        <x:v>excluded</x:v>
      </x:c>
      <x:c r="C32" s="32" t="str">
        <x:v>玫瑰四物黑糖</x:v>
      </x:c>
      <x:c r="D32" s="32" t="str">
        <x:v>單顆包(每台斤）</x:v>
      </x:c>
      <x:c r="E32" s="32" t="str"/>
      <x:c r="F32" s="32" t="str"/>
      <x:c r="G32" s="32" t="str">
        <x:v>no_2025_quantity</x:v>
      </x:c>
      <x:c r="H32" s="32" t="str">
        <x:v>Cost catalog row without positive 2025 quantity.</x:v>
      </x:c>
    </x:row>
    <x:row r="33">
      <x:c r="A33" s="32" t="n">
        <x:v>34</x:v>
      </x:c>
      <x:c r="B33" s="32" t="str">
        <x:v>excluded</x:v>
      </x:c>
      <x:c r="C33" s="32" t="str">
        <x:v>桂圓紅棗薑</x:v>
      </x:c>
      <x:c r="D33" s="32" t="str">
        <x:v>單顆包(每台斤）</x:v>
      </x:c>
      <x:c r="E33" s="32" t="str"/>
      <x:c r="F33" s="32" t="str"/>
      <x:c r="G33" s="32" t="str">
        <x:v>no_2025_quantity</x:v>
      </x:c>
      <x:c r="H33" s="32" t="str">
        <x:v>Cost catalog row without positive 2025 quantity.</x:v>
      </x:c>
    </x:row>
    <x:row r="34">
      <x:c r="A34" s="32" t="n">
        <x:v>35</x:v>
      </x:c>
      <x:c r="B34" s="32" t="str">
        <x:v>excluded</x:v>
      </x:c>
      <x:c r="C34" s="32" t="str">
        <x:v>冬瓜</x:v>
      </x:c>
      <x:c r="D34" s="32" t="str">
        <x:v>單顆包(每台斤）</x:v>
      </x:c>
      <x:c r="E34" s="32" t="str"/>
      <x:c r="F34" s="32" t="str"/>
      <x:c r="G34" s="32" t="str">
        <x:v>no_2025_quantity</x:v>
      </x:c>
      <x:c r="H34" s="32" t="str">
        <x:v>Cost catalog row without positive 2025 quantity.</x:v>
      </x:c>
    </x:row>
    <x:row r="35">
      <x:c r="A35" s="32" t="n">
        <x:v>36</x:v>
      </x:c>
      <x:c r="B35" s="32" t="str">
        <x:v>included_sales_row</x:v>
      </x:c>
      <x:c r="C35" s="32" t="str">
        <x:v>黑糖蜜</x:v>
      </x:c>
      <x:c r="D35" s="32" t="str">
        <x:v>蜜類-350ml</x:v>
      </x:c>
      <x:c r="E35" s="32" t="str">
        <x:v>reported</x:v>
      </x:c>
      <x:c r="F35" s="32" t="str">
        <x:v>reported</x:v>
      </x:c>
      <x:c r="G35" s="32" t="str"/>
      <x:c r="H35" s="32" t="str"/>
    </x:row>
    <x:row r="36">
      <x:c r="A36" s="32" t="n">
        <x:v>37</x:v>
      </x:c>
      <x:c r="B36" s="32" t="str">
        <x:v>included_sales_row</x:v>
      </x:c>
      <x:c r="C36" s="32" t="str">
        <x:v>黑糖檸檬</x:v>
      </x:c>
      <x:c r="D36" s="32" t="str">
        <x:v>蜜類-150ml</x:v>
      </x:c>
      <x:c r="E36" s="32" t="str">
        <x:v>reported</x:v>
      </x:c>
      <x:c r="F36" s="32" t="str">
        <x:v>reported</x:v>
      </x:c>
      <x:c r="G36" s="32" t="str">
        <x:v>negative_profit</x:v>
      </x:c>
      <x:c r="H36" s="32" t="str"/>
    </x:row>
    <x:row r="37">
      <x:c r="A37" s="32" t="n">
        <x:v>38</x:v>
      </x:c>
      <x:c r="B37" s="32" t="str">
        <x:v>included_sales_row</x:v>
      </x:c>
      <x:c r="C37" s="32" t="str">
        <x:v>百香果黑糖</x:v>
      </x:c>
      <x:c r="D37" s="32" t="str">
        <x:v>蜜類-150ml</x:v>
      </x:c>
      <x:c r="E37" s="32" t="str">
        <x:v>reported</x:v>
      </x:c>
      <x:c r="F37" s="32" t="str">
        <x:v>reported</x:v>
      </x:c>
      <x:c r="G37" s="32" t="str"/>
      <x:c r="H37" s="32" t="str"/>
    </x:row>
    <x:row r="38">
      <x:c r="A38" s="32" t="n">
        <x:v>39</x:v>
      </x:c>
      <x:c r="B38" s="32" t="str">
        <x:v>included_sales_row</x:v>
      </x:c>
      <x:c r="C38" s="32" t="str">
        <x:v>梅精黑糖</x:v>
      </x:c>
      <x:c r="D38" s="32" t="str">
        <x:v>蜜類-150ml</x:v>
      </x:c>
      <x:c r="E38" s="32" t="str">
        <x:v>reported</x:v>
      </x:c>
      <x:c r="F38" s="32" t="str">
        <x:v>reported</x:v>
      </x:c>
      <x:c r="G38" s="32" t="str"/>
      <x:c r="H38" s="32" t="str"/>
    </x:row>
    <x:row r="39">
      <x:c r="A39" s="32" t="n">
        <x:v>40</x:v>
      </x:c>
      <x:c r="B39" s="32" t="str">
        <x:v>included_sales_row</x:v>
      </x:c>
      <x:c r="C39" s="32" t="str">
        <x:v>黑糖蜜</x:v>
      </x:c>
      <x:c r="D39" s="32" t="str">
        <x:v>蜜類-1890ml</x:v>
      </x:c>
      <x:c r="E39" s="32" t="str">
        <x:v>missing</x:v>
      </x:c>
      <x:c r="F39" s="32" t="str">
        <x:v>missing</x:v>
      </x:c>
      <x:c r="G39" s="32" t="str">
        <x:v>missing_price;missing_cost;zero_reported_revenue</x:v>
      </x:c>
      <x:c r="H39" s="32" t="str"/>
    </x:row>
    <x:row r="40">
      <x:c r="A40" s="32" t="n">
        <x:v>41</x:v>
      </x:c>
      <x:c r="B40" s="32" t="str">
        <x:v>included_sales_row</x:v>
      </x:c>
      <x:c r="C40" s="32" t="str">
        <x:v>梅精黑糖</x:v>
      </x:c>
      <x:c r="D40" s="32" t="str">
        <x:v>蜜類-1890ml</x:v>
      </x:c>
      <x:c r="E40" s="32" t="str">
        <x:v>missing</x:v>
      </x:c>
      <x:c r="F40" s="32" t="str">
        <x:v>missing</x:v>
      </x:c>
      <x:c r="G40" s="32" t="str">
        <x:v>missing_price;missing_cost;zero_reported_revenue</x:v>
      </x:c>
      <x:c r="H40" s="32" t="str"/>
    </x:row>
    <x:row r="41">
      <x:c r="A41" s="32" t="n">
        <x:v>42</x:v>
      </x:c>
      <x:c r="B41" s="32" t="str">
        <x:v>subtotal_only</x:v>
      </x:c>
      <x:c r="C41" s="32" t="str"/>
      <x:c r="D41" s="32" t="str">
        <x:v>通路上架</x:v>
      </x:c>
      <x:c r="E41" s="32" t="str">
        <x:v>reported</x:v>
      </x:c>
      <x:c r="F41" s="32" t="str">
        <x:v>reported</x:v>
      </x:c>
      <x:c r="G41" s="32" t="str">
        <x:v>category_subtotal</x:v>
      </x:c>
      <x:c r="H41" s="32" t="str">
        <x:v>Kept for reconciliation, excluded from SKU ranking.</x:v>
      </x:c>
    </x:row>
    <x:row r="42">
      <x:c r="A42" s="32" t="n">
        <x:v>43</x:v>
      </x:c>
      <x:c r="B42" s="32" t="str">
        <x:v>excluded</x:v>
      </x:c>
      <x:c r="C42" s="32" t="str">
        <x:v>原味黑糖</x:v>
      </x:c>
      <x:c r="D42" s="32" t="str">
        <x:v>日月町罐裝(160g）</x:v>
      </x:c>
      <x:c r="E42" s="32" t="str"/>
      <x:c r="F42" s="32" t="str"/>
      <x:c r="G42" s="32" t="str">
        <x:v>no_2025_quantity</x:v>
      </x:c>
      <x:c r="H42" s="32" t="str">
        <x:v>Cost catalog row without positive 2025 quantity.</x:v>
      </x:c>
    </x:row>
    <x:row r="43">
      <x:c r="A43" s="32" t="n">
        <x:v>44</x:v>
      </x:c>
      <x:c r="B43" s="32" t="str">
        <x:v>excluded</x:v>
      </x:c>
      <x:c r="C43" s="32" t="str">
        <x:v>薑汁黑糖</x:v>
      </x:c>
      <x:c r="D43" s="32" t="str">
        <x:v>日月町罐裝(160g）</x:v>
      </x:c>
      <x:c r="E43" s="32" t="str"/>
      <x:c r="F43" s="32" t="str"/>
      <x:c r="G43" s="32" t="str">
        <x:v>no_2025_quantity</x:v>
      </x:c>
      <x:c r="H43" s="32" t="str">
        <x:v>Cost catalog row without positive 2025 quantity.</x:v>
      </x:c>
    </x:row>
    <x:row r="44">
      <x:c r="A44" s="32" t="n">
        <x:v>45</x:v>
      </x:c>
      <x:c r="B44" s="32" t="str">
        <x:v>excluded</x:v>
      </x:c>
      <x:c r="C44" s="32" t="str">
        <x:v>桂圓黑糖</x:v>
      </x:c>
      <x:c r="D44" s="32" t="str">
        <x:v>日月町罐裝(160g）</x:v>
      </x:c>
      <x:c r="E44" s="32" t="str"/>
      <x:c r="F44" s="32" t="str"/>
      <x:c r="G44" s="32" t="str">
        <x:v>no_2025_quantity</x:v>
      </x:c>
      <x:c r="H44" s="32" t="str">
        <x:v>Cost catalog row without positive 2025 quantity.</x:v>
      </x:c>
    </x:row>
    <x:row r="45">
      <x:c r="A45" s="32" t="n">
        <x:v>46</x:v>
      </x:c>
      <x:c r="B45" s="32" t="str">
        <x:v>excluded</x:v>
      </x:c>
      <x:c r="C45" s="32" t="str">
        <x:v>玫瑰四物黑糖</x:v>
      </x:c>
      <x:c r="D45" s="32" t="str">
        <x:v>日月町罐裝(160g）</x:v>
      </x:c>
      <x:c r="E45" s="32" t="str"/>
      <x:c r="F45" s="32" t="str"/>
      <x:c r="G45" s="32" t="str">
        <x:v>no_2025_quantity</x:v>
      </x:c>
      <x:c r="H45" s="32" t="str">
        <x:v>Cost catalog row without positive 2025 quantity.</x:v>
      </x:c>
    </x:row>
    <x:row r="46">
      <x:c r="A46" s="32" t="n">
        <x:v>47</x:v>
      </x:c>
      <x:c r="B46" s="32" t="str">
        <x:v>excluded</x:v>
      </x:c>
      <x:c r="C46" s="32" t="str">
        <x:v>桂圓紅棗薑</x:v>
      </x:c>
      <x:c r="D46" s="32" t="str">
        <x:v>日月町罐裝(160g）</x:v>
      </x:c>
      <x:c r="E46" s="32" t="str"/>
      <x:c r="F46" s="32" t="str"/>
      <x:c r="G46" s="32" t="str">
        <x:v>no_2025_quantity</x:v>
      </x:c>
      <x:c r="H46" s="32" t="str">
        <x:v>Cost catalog row without positive 2025 quantity.</x:v>
      </x:c>
    </x:row>
    <x:row r="47">
      <x:c r="A47" s="32" t="n">
        <x:v>48</x:v>
      </x:c>
      <x:c r="B47" s="32" t="str">
        <x:v>excluded</x:v>
      </x:c>
      <x:c r="C47" s="32" t="str">
        <x:v>冬瓜</x:v>
      </x:c>
      <x:c r="D47" s="32" t="str">
        <x:v>日月町罐裝(160g）</x:v>
      </x:c>
      <x:c r="E47" s="32" t="str"/>
      <x:c r="F47" s="32" t="str"/>
      <x:c r="G47" s="32" t="str">
        <x:v>no_2025_quantity</x:v>
      </x:c>
      <x:c r="H47" s="32" t="str">
        <x:v>Cost catalog row without positive 2025 quantity.</x:v>
      </x:c>
    </x:row>
    <x:row r="48">
      <x:c r="A48" s="32" t="n">
        <x:v>49</x:v>
      </x:c>
      <x:c r="B48" s="32" t="str">
        <x:v>excluded</x:v>
      </x:c>
      <x:c r="C48" s="32" t="str">
        <x:v>2入任搭組合</x:v>
      </x:c>
      <x:c r="D48" s="32" t="str">
        <x:v>日月町禮盒組</x:v>
      </x:c>
      <x:c r="E48" s="32" t="str"/>
      <x:c r="F48" s="32" t="str"/>
      <x:c r="G48" s="32" t="str">
        <x:v>no_2025_quantity</x:v>
      </x:c>
      <x:c r="H48" s="32" t="str">
        <x:v>Cost catalog row without positive 2025 quantity.</x:v>
      </x:c>
    </x:row>
    <x:row r="49">
      <x:c r="A49" s="32" t="n">
        <x:v>50</x:v>
      </x:c>
      <x:c r="B49" s="32" t="str">
        <x:v>section_marker</x:v>
      </x:c>
      <x:c r="C49" s="32" t="str"/>
      <x:c r="D49" s="32" t="str">
        <x:v>OEM：客戶提供產品規格、設計圖、配方，我們依照客戶需求生產。</x:v>
      </x:c>
      <x:c r="E49" s="32" t="str"/>
      <x:c r="F49" s="32" t="str"/>
      <x:c r="G49" s="32" t="str">
        <x:v>oem_section_starts</x:v>
      </x:c>
      <x:c r="H49" s="32" t="str">
        <x:v>Following rows are parsed as OEM unless another route rule applies.</x:v>
      </x:c>
    </x:row>
    <x:row r="50">
      <x:c r="A50" s="32" t="n">
        <x:v>51</x:v>
      </x:c>
      <x:c r="B50" s="32" t="str">
        <x:v>included_sales_row</x:v>
      </x:c>
      <x:c r="C50" s="32" t="str">
        <x:v>黑糖薑母茶</x:v>
      </x:c>
      <x:c r="D50" s="32" t="str">
        <x:v>科技中藥廠</x:v>
      </x:c>
      <x:c r="E50" s="32" t="str">
        <x:v>reported</x:v>
      </x:c>
      <x:c r="F50" s="32" t="str">
        <x:v>reported</x:v>
      </x:c>
      <x:c r="G50" s="32" t="str"/>
      <x:c r="H50" s="32" t="str"/>
    </x:row>
    <x:row r="51">
      <x:c r="A51" s="32" t="n">
        <x:v>108</x:v>
      </x:c>
      <x:c r="B51" s="32" t="str">
        <x:v>exclude_competitor_section</x:v>
      </x:c>
      <x:c r="C51" s="32" t="str"/>
      <x:c r="D51" s="32" t="str"/>
      <x:c r="E51" s="32" t="str"/>
      <x:c r="F51" s="32" t="str"/>
      <x:c r="G51" s="32" t="str">
        <x:v>competitor_section_starts</x:v>
      </x:c>
      <x:c r="H51" s="32" t="str">
        <x:v>Rows after this marker are competitor reference rows, not Tiebilum 2025 sales.</x:v>
      </x:c>
    </x:row>
    <x:row r="52">
      <x:c r="A52" s="32" t="n">
        <x:v>109</x:v>
      </x:c>
      <x:c r="B52" s="32" t="str">
        <x:v>excluded</x:v>
      </x:c>
      <x:c r="C52" s="32" t="str">
        <x:v>海陸奢華霸王組8~10人 贈玫瑰鹽一罐(市價89元)</x:v>
      </x:c>
      <x:c r="D52" s="32" t="str"/>
      <x:c r="E52" s="32" t="str"/>
      <x:c r="F52" s="32" t="str"/>
      <x:c r="G52" s="32" t="str">
        <x:v>competitor_reference</x:v>
      </x:c>
      <x:c r="H52" s="32" t="str">
        <x:v>Excluded by competitor section rule.</x:v>
      </x:c>
    </x:row>
    <x:row r="53">
      <x:c r="A53" s="32" t="n">
        <x:v>110</x:v>
      </x:c>
      <x:c r="B53" s="32" t="str">
        <x:v>excluded</x:v>
      </x:c>
      <x:c r="C53" s="32" t="str">
        <x:v>五星級海陸烤肉組(5-8人份)</x:v>
      </x:c>
      <x:c r="D53" s="32" t="str"/>
      <x:c r="E53" s="32" t="str"/>
      <x:c r="F53" s="32" t="str"/>
      <x:c r="G53" s="32" t="str">
        <x:v>competitor_reference</x:v>
      </x:c>
      <x:c r="H53" s="32" t="str">
        <x:v>Excluded by competitor section rule.</x:v>
      </x:c>
    </x:row>
    <x:row r="54">
      <x:c r="A54" s="32" t="n">
        <x:v>111</x:v>
      </x:c>
      <x:c r="B54" s="32" t="str">
        <x:v>excluded</x:v>
      </x:c>
      <x:c r="C54" s="32" t="str">
        <x:v>超值燒肉烤肉組</x:v>
      </x:c>
      <x:c r="D54" s="32" t="str"/>
      <x:c r="E54" s="32" t="str"/>
      <x:c r="F54" s="32" t="str"/>
      <x:c r="G54" s="32" t="str">
        <x:v>competitor_reference</x:v>
      </x:c>
      <x:c r="H54" s="32" t="str">
        <x:v>Excluded by competitor section rule.</x:v>
      </x:c>
    </x:row>
    <x:row r="55">
      <x:c r="A55" s="32" t="n">
        <x:v>112</x:v>
      </x:c>
      <x:c r="B55" s="32" t="str">
        <x:v>excluded</x:v>
      </x:c>
      <x:c r="C55" s="32" t="str">
        <x:v>中秋烤肉海陸豪華14件組(約5-7人/份)</x:v>
      </x:c>
      <x:c r="D55" s="32" t="str"/>
      <x:c r="E55" s="32" t="str"/>
      <x:c r="F55" s="32" t="str"/>
      <x:c r="G55" s="32" t="str">
        <x:v>competitor_reference</x:v>
      </x:c>
      <x:c r="H55" s="32" t="str">
        <x:v>Excluded by competitor section rule.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15.479999542236328" hidden="0" customWidth="1"/>
    <x:col min="3" max="3" width="15.479999542236328" hidden="0" customWidth="1"/>
    <x:col min="4" max="4" width="15.479999542236328" hidden="0" customWidth="1"/>
    <x:col min="5" max="5" width="11.4399995803833" hidden="0" customWidth="1"/>
    <x:col min="6" max="6" width="11.4399995803833" hidden="0" customWidth="1"/>
    <x:col min="7" max="7" width="47.779998779296875" hidden="0" customWidth="1"/>
  </x:cols>
  <x:sheetData>
    <x:row r="1">
      <x:c r="A1" s="45" t="str">
        <x:v>Check</x:v>
      </x:c>
      <x:c r="B1" s="45" t="str">
        <x:v>Actual</x:v>
      </x:c>
      <x:c r="C1" s="45" t="str">
        <x:v>Expected</x:v>
      </x:c>
      <x:c r="D1" s="45" t="str">
        <x:v>Difference</x:v>
      </x:c>
      <x:c r="E1" s="45" t="str">
        <x:v>Tolerance</x:v>
      </x:c>
      <x:c r="F1" s="45" t="str">
        <x:v>Status</x:v>
      </x:c>
      <x:c r="G1" s="45" t="str">
        <x:v>Notes</x:v>
      </x:c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</x:row>
    <x:row r="2">
      <x:c r="A2" s="32" t="str">
        <x:v>Clean sales rows</x:v>
      </x:c>
      <x:c r="B2" s="37" t="n">
        <x:v>25</x:v>
      </x:c>
      <x:c r="C2" s="37" t="str">
        <x:v>&gt;0</x:v>
      </x:c>
      <x:c r="D2" s="37" t="str"/>
      <x:c r="E2" s="32" t="n">
        <x:v>0</x:v>
      </x:c>
      <x:c r="F2" s="32" t="str">
        <x:v>OK</x:v>
      </x:c>
      <x:c r="G2" s="32" t="str">
        <x:v>Rows require product and positive 2025 quantity.</x:v>
      </x:c>
    </x:row>
    <x:row r="3">
      <x:c r="A3" s="32" t="str">
        <x:v>Competitor rows excluded</x:v>
      </x:c>
      <x:c r="B3" s="37" t="n">
        <x:v>4</x:v>
      </x:c>
      <x:c r="C3" s="37" t="str">
        <x:v>&gt;0</x:v>
      </x:c>
      <x:c r="D3" s="37" t="str"/>
      <x:c r="E3" s="32" t="n">
        <x:v>0</x:v>
      </x:c>
      <x:c r="F3" s="32" t="str">
        <x:v>OK</x:v>
      </x:c>
      <x:c r="G3" s="32" t="str">
        <x:v>Competitor section retained only in audit.</x:v>
      </x:c>
    </x:row>
    <x:row r="4">
      <x:c r="A4" s="32" t="str">
        <x:v>Revenue total</x:v>
      </x:c>
      <x:c r="B4" s="37" t="n">
        <x:v>1523247</x:v>
      </x:c>
      <x:c r="C4" s="37" t="n">
        <x:v>1523247</x:v>
      </x:c>
      <x:c r="D4" s="37" t="n">
        <x:v>0</x:v>
      </x:c>
      <x:c r="E4" s="32" t="n">
        <x:v>1</x:v>
      </x:c>
      <x:c r="F4" s="32" t="str">
        <x:v>OK</x:v>
      </x:c>
      <x:c r="G4" s="32" t="str">
        <x:v>Expected total from cleaned Tiebilum sales rows, excluding competitor references.</x:v>
      </x:c>
    </x:row>
    <x:row r="5">
      <x:c r="A5" s="32" t="str">
        <x:v>Contribution profit total</x:v>
      </x:c>
      <x:c r="B5" s="37" t="n">
        <x:v>233288.00694799994</x:v>
      </x:c>
      <x:c r="C5" s="37" t="n">
        <x:v>233286.82</x:v>
      </x:c>
      <x:c r="D5" s="37" t="n">
        <x:v>1.1869479999295436</x:v>
      </x:c>
      <x:c r="E5" s="32" t="n">
        <x:v>2</x:v>
      </x:c>
      <x:c r="F5" s="32" t="str">
        <x:v>OK</x:v>
      </x:c>
      <x:c r="G5" s="32" t="str">
        <x:v>Uses reported contribution where available; computes OEM row from exact unit economics.</x:v>
      </x:c>
    </x:row>
    <x:row r="6">
      <x:c r="A6" s="32" t="str">
        <x:v>Confirmed operating cost</x:v>
      </x:c>
      <x:c r="B6" s="37" t="n">
        <x:v>1553948</x:v>
      </x:c>
      <x:c r="C6" s="37" t="n">
        <x:v>1553948</x:v>
      </x:c>
      <x:c r="D6" s="37" t="n">
        <x:v>0</x:v>
      </x:c>
      <x:c r="E6" s="32" t="n">
        <x:v>1</x:v>
      </x:c>
      <x:c r="F6" s="32" t="str">
        <x:v>OK</x:v>
      </x:c>
      <x:c r="G6" s="32" t="str">
        <x:v>Excludes blank item total row to avoid double counting.</x:v>
      </x:c>
    </x:row>
    <x:row r="7">
      <x:c r="A7" s="32" t="str">
        <x:v>Missing cost sales rows</x:v>
      </x:c>
      <x:c r="B7" s="37" t="n">
        <x:v>2</x:v>
      </x:c>
      <x:c r="C7" s="37" t="n">
        <x:v>0</x:v>
      </x:c>
      <x:c r="D7" s="37" t="n">
        <x:v>2</x:v>
      </x:c>
      <x:c r="E7" s="32" t="n">
        <x:v>0</x:v>
      </x:c>
      <x:c r="F7" s="32" t="str">
        <x:v>Review</x:v>
      </x:c>
      <x:c r="G7" s="32" t="str">
        <x:v>Missing-cost rows are preserved and flagged.</x:v>
      </x:c>
    </x:row>
    <x:row r="8">
      <x:c r="A8" s="32" t="str">
        <x:v>Negative profit sales rows</x:v>
      </x:c>
      <x:c r="B8" s="37" t="n">
        <x:v>1</x:v>
      </x:c>
      <x:c r="C8" s="37" t="n">
        <x:v>0</x:v>
      </x:c>
      <x:c r="D8" s="37" t="n">
        <x:v>1</x:v>
      </x:c>
      <x:c r="E8" s="32" t="n">
        <x:v>0</x:v>
      </x:c>
      <x:c r="F8" s="32" t="str">
        <x:v>Review</x:v>
      </x:c>
      <x:c r="G8" s="32" t="str">
        <x:v>Negative-profit rows are preserved for management review.</x:v>
      </x:c>
    </x:row>
    <x:row r="9">
      <x:c r="A9" s="32" t="str">
        <x:v>Overall model status</x:v>
      </x:c>
      <x:c r="B9" s="37" t="str"/>
      <x:c r="C9" s="37" t="str"/>
      <x:c r="D9" s="37" t="str"/>
      <x:c r="E9" s="32" t="str"/>
      <x:c r="F9" s="32" t="str">
        <x:v>Review</x:v>
      </x:c>
      <x:c r="G9" s="32" t="str">
        <x:v>Review is expected while source has missing cost or negative profit rows.</x:v>
      </x:c>
    </x:row>
  </x:sheetData>
  <x:pageMargins left="0.7" right="0.7" top="0.75" bottom="0.75" header="0.3" footer="0.3"/>
</x:worksheet>
</file>