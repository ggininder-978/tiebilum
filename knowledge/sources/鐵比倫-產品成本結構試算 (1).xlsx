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資料分析\"/>
    </mc:Choice>
  </mc:AlternateContent>
  <bookViews>
    <workbookView xWindow="0" yWindow="0" windowWidth="28800" windowHeight="12165" activeTab="3"/>
  </bookViews>
  <sheets>
    <sheet name="營業基本資訊" sheetId="1" r:id="rId1"/>
    <sheet name="營業成本項目" sheetId="2" r:id="rId2"/>
    <sheet name="單品成本結構(客戶填寫)" sheetId="3" r:id="rId3"/>
    <sheet name="2025 營收銷量(客戶填寫)" sheetId="4" r:id="rId4"/>
    <sheet name="商品組合" sheetId="5" state="hidden" r:id="rId5"/>
    <sheet name="「BVG建議定價」" sheetId="6" state="hidden" r:id="rId6"/>
    <sheet name="BVG建議定價 (試算用)" sheetId="7" state="hidden" r:id="rId7"/>
    <sheet name="BVG建議定價" sheetId="8" state="hidden" r:id="rId8"/>
    <sheet name="牛肉麵免運組合試算表" sheetId="9" state="hidden" r:id="rId9"/>
    <sheet name="3.多入折扣計算" sheetId="10" state="hidden" r:id="rId10"/>
    <sheet name="隱藏分頁. 目標業績計算" sheetId="11" state="hidden" r:id="rId11"/>
  </sheets>
  <definedNames>
    <definedName name="_xlnm._FilterDatabase" localSheetId="5" hidden="1">「BVG建議定價」!$A$5:$AL$71</definedName>
    <definedName name="_xlnm._FilterDatabase" localSheetId="6" hidden="1">'BVG建議定價 (試算用)'!$A$5:$AL$83</definedName>
  </definedNames>
  <calcPr calcId="162913"/>
  <extLst>
    <ext uri="GoogleSheetsCustomDataVersion2">
      <go:sheetsCustomData xmlns:go="http://customooxmlschemas.google.com/" r:id="rId15" roundtripDataChecksum="OU5eLno+bn3FrZdbOpk8Xc4WzxLECZ22MM2ouTrsCcU="/>
    </ext>
  </extLst>
</workbook>
</file>

<file path=xl/calcChain.xml><?xml version="1.0" encoding="utf-8"?>
<calcChain xmlns="http://schemas.openxmlformats.org/spreadsheetml/2006/main">
  <c r="F41" i="3" l="1"/>
  <c r="C17" i="11"/>
  <c r="C18" i="11" s="1"/>
  <c r="C12" i="11"/>
  <c r="C11" i="11"/>
  <c r="C9" i="11"/>
  <c r="D24" i="10"/>
  <c r="B24" i="10"/>
  <c r="K24" i="10" s="1"/>
  <c r="A24" i="10"/>
  <c r="D23" i="10"/>
  <c r="A23" i="10"/>
  <c r="B23" i="10" s="1"/>
  <c r="I22" i="10"/>
  <c r="G22" i="10"/>
  <c r="E22" i="10"/>
  <c r="D22" i="10"/>
  <c r="B22" i="10"/>
  <c r="K22" i="10" s="1"/>
  <c r="A22" i="10"/>
  <c r="J21" i="10"/>
  <c r="I21" i="10"/>
  <c r="G21" i="10"/>
  <c r="D21" i="10"/>
  <c r="B21" i="10"/>
  <c r="E21" i="10" s="1"/>
  <c r="A21" i="10"/>
  <c r="G20" i="10"/>
  <c r="D20" i="10"/>
  <c r="A20" i="10"/>
  <c r="B20" i="10" s="1"/>
  <c r="E20" i="10" s="1"/>
  <c r="K19" i="10"/>
  <c r="J19" i="10"/>
  <c r="I19" i="10"/>
  <c r="D19" i="10"/>
  <c r="A19" i="10"/>
  <c r="B19" i="10" s="1"/>
  <c r="D18" i="10"/>
  <c r="A18" i="10"/>
  <c r="B18" i="10" s="1"/>
  <c r="D17" i="10"/>
  <c r="A17" i="10"/>
  <c r="B17" i="10" s="1"/>
  <c r="K16" i="10"/>
  <c r="I16" i="10"/>
  <c r="D16" i="10"/>
  <c r="B16" i="10"/>
  <c r="A16" i="10"/>
  <c r="D15" i="10"/>
  <c r="B15" i="10"/>
  <c r="A15" i="10"/>
  <c r="K14" i="10"/>
  <c r="J14" i="10"/>
  <c r="I14" i="10"/>
  <c r="G14" i="10"/>
  <c r="D14" i="10"/>
  <c r="E14" i="10" s="1"/>
  <c r="J56" i="9"/>
  <c r="E51" i="9"/>
  <c r="J46" i="9"/>
  <c r="N41" i="9"/>
  <c r="L41" i="9"/>
  <c r="H41" i="9"/>
  <c r="G41" i="9"/>
  <c r="E41" i="9"/>
  <c r="N40" i="9"/>
  <c r="L40" i="9"/>
  <c r="G40" i="9"/>
  <c r="H40" i="9" s="1"/>
  <c r="E40" i="9"/>
  <c r="N39" i="9"/>
  <c r="L39" i="9"/>
  <c r="F39" i="9"/>
  <c r="G39" i="9" s="1"/>
  <c r="E39" i="9"/>
  <c r="N38" i="9"/>
  <c r="L38" i="9"/>
  <c r="F38" i="9"/>
  <c r="G38" i="9" s="1"/>
  <c r="C38" i="9"/>
  <c r="B38" i="9"/>
  <c r="E38" i="9" s="1"/>
  <c r="N37" i="9"/>
  <c r="L37" i="9"/>
  <c r="H37" i="9"/>
  <c r="F37" i="9"/>
  <c r="G37" i="9" s="1"/>
  <c r="E37" i="9"/>
  <c r="N34" i="9"/>
  <c r="N33" i="9"/>
  <c r="I33" i="9"/>
  <c r="I34" i="9" s="1"/>
  <c r="N32" i="9"/>
  <c r="L32" i="9"/>
  <c r="K32" i="9"/>
  <c r="F32" i="9"/>
  <c r="G32" i="9" s="1"/>
  <c r="C32" i="9"/>
  <c r="B32" i="9"/>
  <c r="E32" i="9" s="1"/>
  <c r="N31" i="9"/>
  <c r="L31" i="9"/>
  <c r="K31" i="9"/>
  <c r="G31" i="9"/>
  <c r="F31" i="9"/>
  <c r="E31" i="9"/>
  <c r="B31" i="9"/>
  <c r="N30" i="9"/>
  <c r="L30" i="9"/>
  <c r="K30" i="9"/>
  <c r="K33" i="9" s="1"/>
  <c r="K34" i="9" s="1"/>
  <c r="G30" i="9"/>
  <c r="F30" i="9"/>
  <c r="E30" i="9"/>
  <c r="C30" i="9"/>
  <c r="B30" i="9"/>
  <c r="N29" i="9"/>
  <c r="L29" i="9"/>
  <c r="L33" i="9" s="1"/>
  <c r="L34" i="9" s="1"/>
  <c r="K29" i="9"/>
  <c r="F29" i="9"/>
  <c r="G29" i="9" s="1"/>
  <c r="E29" i="9"/>
  <c r="C29" i="9"/>
  <c r="B29" i="9"/>
  <c r="D22" i="9"/>
  <c r="N14" i="9"/>
  <c r="E14" i="9"/>
  <c r="D14" i="9"/>
  <c r="N13" i="9"/>
  <c r="L13" i="9"/>
  <c r="H13" i="9"/>
  <c r="G13" i="9"/>
  <c r="E13" i="9"/>
  <c r="N12" i="9"/>
  <c r="L12" i="9"/>
  <c r="H12" i="9"/>
  <c r="G12" i="9"/>
  <c r="E12" i="9"/>
  <c r="N11" i="9"/>
  <c r="L11" i="9"/>
  <c r="G11" i="9"/>
  <c r="E11" i="9"/>
  <c r="N10" i="9"/>
  <c r="L10" i="9"/>
  <c r="G10" i="9"/>
  <c r="H10" i="9" s="1"/>
  <c r="E10" i="9"/>
  <c r="B6" i="9"/>
  <c r="N5" i="9"/>
  <c r="M5" i="9"/>
  <c r="L5" i="9"/>
  <c r="K5" i="9"/>
  <c r="F5" i="9"/>
  <c r="G5" i="9" s="1"/>
  <c r="H5" i="9" s="1"/>
  <c r="C5" i="9"/>
  <c r="B5" i="9"/>
  <c r="E5" i="9" s="1"/>
  <c r="N4" i="9"/>
  <c r="M4" i="9"/>
  <c r="L4" i="9"/>
  <c r="K4" i="9"/>
  <c r="F4" i="9"/>
  <c r="G4" i="9" s="1"/>
  <c r="H4" i="9" s="1"/>
  <c r="C4" i="9"/>
  <c r="B4" i="9"/>
  <c r="E4" i="9" s="1"/>
  <c r="N3" i="9"/>
  <c r="M3" i="9"/>
  <c r="L3" i="9"/>
  <c r="K3" i="9"/>
  <c r="F3" i="9"/>
  <c r="G3" i="9" s="1"/>
  <c r="C3" i="9"/>
  <c r="B3" i="9"/>
  <c r="E3" i="9" s="1"/>
  <c r="N2" i="9"/>
  <c r="M2" i="9"/>
  <c r="L2" i="9"/>
  <c r="K2" i="9"/>
  <c r="G2" i="9"/>
  <c r="E2" i="9"/>
  <c r="M58" i="8"/>
  <c r="L58" i="8"/>
  <c r="K58" i="8"/>
  <c r="I58" i="8"/>
  <c r="H58" i="8"/>
  <c r="G58" i="8"/>
  <c r="E58" i="8"/>
  <c r="M57" i="8"/>
  <c r="L57" i="8"/>
  <c r="K57" i="8"/>
  <c r="I57" i="8"/>
  <c r="G57" i="8"/>
  <c r="H57" i="8" s="1"/>
  <c r="E57" i="8"/>
  <c r="M56" i="8"/>
  <c r="L56" i="8"/>
  <c r="K56" i="8"/>
  <c r="I56" i="8"/>
  <c r="H56" i="8"/>
  <c r="G56" i="8"/>
  <c r="E56" i="8"/>
  <c r="M55" i="8"/>
  <c r="L55" i="8"/>
  <c r="K55" i="8"/>
  <c r="I55" i="8"/>
  <c r="H55" i="8"/>
  <c r="G55" i="8"/>
  <c r="E55" i="8"/>
  <c r="M54" i="8"/>
  <c r="L54" i="8"/>
  <c r="K54" i="8"/>
  <c r="I54" i="8"/>
  <c r="G54" i="8"/>
  <c r="H54" i="8" s="1"/>
  <c r="E54" i="8"/>
  <c r="M53" i="8"/>
  <c r="L53" i="8"/>
  <c r="K53" i="8"/>
  <c r="I53" i="8"/>
  <c r="H53" i="8"/>
  <c r="G53" i="8"/>
  <c r="E53" i="8"/>
  <c r="M52" i="8"/>
  <c r="L52" i="8"/>
  <c r="K52" i="8"/>
  <c r="I52" i="8"/>
  <c r="G52" i="8"/>
  <c r="E52" i="8"/>
  <c r="M51" i="8"/>
  <c r="L51" i="8"/>
  <c r="K51" i="8"/>
  <c r="I51" i="8"/>
  <c r="G51" i="8"/>
  <c r="E51" i="8"/>
  <c r="M50" i="8"/>
  <c r="L50" i="8"/>
  <c r="K50" i="8"/>
  <c r="I50" i="8"/>
  <c r="H50" i="8"/>
  <c r="G50" i="8"/>
  <c r="E50" i="8"/>
  <c r="M49" i="8"/>
  <c r="L49" i="8"/>
  <c r="K49" i="8"/>
  <c r="I49" i="8"/>
  <c r="H49" i="8"/>
  <c r="G49" i="8"/>
  <c r="E49" i="8"/>
  <c r="M48" i="8"/>
  <c r="L48" i="8"/>
  <c r="K48" i="8"/>
  <c r="I48" i="8"/>
  <c r="G48" i="8"/>
  <c r="H48" i="8" s="1"/>
  <c r="E48" i="8"/>
  <c r="M47" i="8"/>
  <c r="L47" i="8"/>
  <c r="K47" i="8"/>
  <c r="I47" i="8"/>
  <c r="G47" i="8"/>
  <c r="H47" i="8" s="1"/>
  <c r="E47" i="8"/>
  <c r="M46" i="8"/>
  <c r="L46" i="8"/>
  <c r="K46" i="8"/>
  <c r="I46" i="8"/>
  <c r="G46" i="8"/>
  <c r="E46" i="8"/>
  <c r="M45" i="8"/>
  <c r="L45" i="8"/>
  <c r="K45" i="8"/>
  <c r="I45" i="8"/>
  <c r="H45" i="8"/>
  <c r="G45" i="8"/>
  <c r="E45" i="8"/>
  <c r="M44" i="8"/>
  <c r="L44" i="8"/>
  <c r="K44" i="8"/>
  <c r="I44" i="8"/>
  <c r="G44" i="8"/>
  <c r="E44" i="8"/>
  <c r="M43" i="8"/>
  <c r="L43" i="8"/>
  <c r="K43" i="8"/>
  <c r="I43" i="8"/>
  <c r="H43" i="8"/>
  <c r="G43" i="8"/>
  <c r="E43" i="8"/>
  <c r="M42" i="8"/>
  <c r="L42" i="8"/>
  <c r="K42" i="8"/>
  <c r="I42" i="8"/>
  <c r="G42" i="8"/>
  <c r="E42" i="8"/>
  <c r="M41" i="8"/>
  <c r="L41" i="8"/>
  <c r="K41" i="8"/>
  <c r="I41" i="8"/>
  <c r="H41" i="8"/>
  <c r="G41" i="8"/>
  <c r="E41" i="8"/>
  <c r="M40" i="8"/>
  <c r="L40" i="8"/>
  <c r="K40" i="8"/>
  <c r="I40" i="8"/>
  <c r="G40" i="8"/>
  <c r="H40" i="8" s="1"/>
  <c r="E40" i="8"/>
  <c r="M39" i="8"/>
  <c r="L39" i="8"/>
  <c r="K39" i="8"/>
  <c r="I39" i="8"/>
  <c r="G39" i="8"/>
  <c r="H39" i="8" s="1"/>
  <c r="E39" i="8"/>
  <c r="M38" i="8"/>
  <c r="L38" i="8"/>
  <c r="K38" i="8"/>
  <c r="I38" i="8"/>
  <c r="H38" i="8"/>
  <c r="G38" i="8"/>
  <c r="E38" i="8"/>
  <c r="M37" i="8"/>
  <c r="L37" i="8"/>
  <c r="K37" i="8"/>
  <c r="I37" i="8"/>
  <c r="G37" i="8"/>
  <c r="H37" i="8" s="1"/>
  <c r="E37" i="8"/>
  <c r="M36" i="8"/>
  <c r="L36" i="8"/>
  <c r="K36" i="8"/>
  <c r="I36" i="8"/>
  <c r="H36" i="8"/>
  <c r="G36" i="8"/>
  <c r="E36" i="8"/>
  <c r="M35" i="8"/>
  <c r="L35" i="8"/>
  <c r="K35" i="8"/>
  <c r="I35" i="8"/>
  <c r="G35" i="8"/>
  <c r="E35" i="8"/>
  <c r="M34" i="8"/>
  <c r="L34" i="8"/>
  <c r="K34" i="8"/>
  <c r="I34" i="8"/>
  <c r="G34" i="8"/>
  <c r="E34" i="8"/>
  <c r="M33" i="8"/>
  <c r="L33" i="8"/>
  <c r="K33" i="8"/>
  <c r="I33" i="8"/>
  <c r="H33" i="8"/>
  <c r="G33" i="8"/>
  <c r="E33" i="8"/>
  <c r="M32" i="8"/>
  <c r="L32" i="8"/>
  <c r="K32" i="8"/>
  <c r="I32" i="8"/>
  <c r="G32" i="8"/>
  <c r="H32" i="8" s="1"/>
  <c r="E32" i="8"/>
  <c r="M31" i="8"/>
  <c r="L31" i="8"/>
  <c r="K31" i="8"/>
  <c r="I31" i="8"/>
  <c r="H31" i="8"/>
  <c r="G31" i="8"/>
  <c r="E31" i="8"/>
  <c r="M30" i="8"/>
  <c r="L30" i="8"/>
  <c r="K30" i="8"/>
  <c r="I30" i="8"/>
  <c r="G30" i="8"/>
  <c r="H30" i="8" s="1"/>
  <c r="E30" i="8"/>
  <c r="M29" i="8"/>
  <c r="L29" i="8"/>
  <c r="K29" i="8"/>
  <c r="I29" i="8"/>
  <c r="G29" i="8"/>
  <c r="H29" i="8" s="1"/>
  <c r="E29" i="8"/>
  <c r="M28" i="8"/>
  <c r="L28" i="8"/>
  <c r="K28" i="8"/>
  <c r="I28" i="8"/>
  <c r="H28" i="8"/>
  <c r="G28" i="8"/>
  <c r="E28" i="8"/>
  <c r="M27" i="8"/>
  <c r="L27" i="8"/>
  <c r="K27" i="8"/>
  <c r="I27" i="8"/>
  <c r="G27" i="8"/>
  <c r="E27" i="8"/>
  <c r="M26" i="8"/>
  <c r="L26" i="8"/>
  <c r="K26" i="8"/>
  <c r="I26" i="8"/>
  <c r="H26" i="8"/>
  <c r="G26" i="8"/>
  <c r="E26" i="8"/>
  <c r="M25" i="8"/>
  <c r="L25" i="8"/>
  <c r="K25" i="8"/>
  <c r="I25" i="8"/>
  <c r="G25" i="8"/>
  <c r="E25" i="8"/>
  <c r="M24" i="8"/>
  <c r="L24" i="8"/>
  <c r="K24" i="8"/>
  <c r="I24" i="8"/>
  <c r="G24" i="8"/>
  <c r="H24" i="8" s="1"/>
  <c r="E24" i="8"/>
  <c r="M23" i="8"/>
  <c r="L23" i="8"/>
  <c r="K23" i="8"/>
  <c r="I23" i="8"/>
  <c r="G23" i="8"/>
  <c r="H23" i="8" s="1"/>
  <c r="E23" i="8"/>
  <c r="M22" i="8"/>
  <c r="L22" i="8"/>
  <c r="K22" i="8"/>
  <c r="F22" i="8"/>
  <c r="G22" i="8" s="1"/>
  <c r="C22" i="8"/>
  <c r="E22" i="8" s="1"/>
  <c r="M21" i="8"/>
  <c r="L21" i="8"/>
  <c r="K21" i="8"/>
  <c r="I21" i="8"/>
  <c r="H21" i="8"/>
  <c r="G21" i="8"/>
  <c r="E21" i="8"/>
  <c r="M20" i="8"/>
  <c r="L20" i="8"/>
  <c r="K20" i="8"/>
  <c r="I20" i="8"/>
  <c r="H20" i="8"/>
  <c r="G20" i="8"/>
  <c r="E20" i="8"/>
  <c r="M19" i="8"/>
  <c r="L19" i="8"/>
  <c r="K19" i="8"/>
  <c r="I19" i="8"/>
  <c r="H19" i="8"/>
  <c r="G19" i="8"/>
  <c r="E19" i="8"/>
  <c r="M18" i="8"/>
  <c r="L18" i="8"/>
  <c r="K18" i="8"/>
  <c r="I18" i="8"/>
  <c r="G18" i="8"/>
  <c r="E18" i="8"/>
  <c r="M17" i="8"/>
  <c r="L17" i="8"/>
  <c r="K17" i="8"/>
  <c r="I17" i="8"/>
  <c r="H17" i="8"/>
  <c r="G17" i="8"/>
  <c r="E17" i="8"/>
  <c r="M16" i="8"/>
  <c r="L16" i="8"/>
  <c r="K16" i="8"/>
  <c r="F16" i="8"/>
  <c r="G16" i="8" s="1"/>
  <c r="E16" i="8"/>
  <c r="M15" i="8"/>
  <c r="L15" i="8"/>
  <c r="K15" i="8"/>
  <c r="F15" i="8"/>
  <c r="G15" i="8" s="1"/>
  <c r="H15" i="8" s="1"/>
  <c r="C15" i="8"/>
  <c r="E15" i="8" s="1"/>
  <c r="M14" i="8"/>
  <c r="L14" i="8"/>
  <c r="K14" i="8"/>
  <c r="I14" i="8"/>
  <c r="G14" i="8"/>
  <c r="H14" i="8" s="1"/>
  <c r="E14" i="8"/>
  <c r="M13" i="8"/>
  <c r="L13" i="8"/>
  <c r="K13" i="8"/>
  <c r="I13" i="8"/>
  <c r="G13" i="8"/>
  <c r="H13" i="8" s="1"/>
  <c r="E13" i="8"/>
  <c r="M12" i="8"/>
  <c r="L12" i="8"/>
  <c r="K12" i="8"/>
  <c r="I12" i="8"/>
  <c r="H12" i="8"/>
  <c r="G12" i="8"/>
  <c r="E12" i="8"/>
  <c r="M11" i="8"/>
  <c r="L11" i="8"/>
  <c r="K11" i="8"/>
  <c r="I11" i="8"/>
  <c r="G11" i="8"/>
  <c r="H11" i="8" s="1"/>
  <c r="E11" i="8"/>
  <c r="M10" i="8"/>
  <c r="L10" i="8"/>
  <c r="K10" i="8"/>
  <c r="I10" i="8"/>
  <c r="H10" i="8"/>
  <c r="G10" i="8"/>
  <c r="E10" i="8"/>
  <c r="M9" i="8"/>
  <c r="L9" i="8"/>
  <c r="K9" i="8"/>
  <c r="I9" i="8"/>
  <c r="G9" i="8"/>
  <c r="E9" i="8"/>
  <c r="M8" i="8"/>
  <c r="L8" i="8"/>
  <c r="K8" i="8"/>
  <c r="I8" i="8"/>
  <c r="G8" i="8"/>
  <c r="E8" i="8"/>
  <c r="M7" i="8"/>
  <c r="L7" i="8"/>
  <c r="K7" i="8"/>
  <c r="I7" i="8"/>
  <c r="H7" i="8"/>
  <c r="G7" i="8"/>
  <c r="E7" i="8"/>
  <c r="M6" i="8"/>
  <c r="L6" i="8"/>
  <c r="K6" i="8"/>
  <c r="I6" i="8"/>
  <c r="G6" i="8"/>
  <c r="H6" i="8" s="1"/>
  <c r="E6" i="8"/>
  <c r="M5" i="8"/>
  <c r="L5" i="8"/>
  <c r="K5" i="8"/>
  <c r="G5" i="8"/>
  <c r="H5" i="8" s="1"/>
  <c r="E5" i="8"/>
  <c r="P91" i="7"/>
  <c r="O91" i="7"/>
  <c r="N91" i="7"/>
  <c r="K91" i="7"/>
  <c r="I91" i="7"/>
  <c r="J91" i="7" s="1"/>
  <c r="H91" i="7"/>
  <c r="P89" i="7"/>
  <c r="O89" i="7"/>
  <c r="L89" i="7"/>
  <c r="J89" i="7"/>
  <c r="H89" i="7"/>
  <c r="P88" i="7"/>
  <c r="O88" i="7"/>
  <c r="L88" i="7"/>
  <c r="J88" i="7"/>
  <c r="H88" i="7"/>
  <c r="P87" i="7"/>
  <c r="O87" i="7"/>
  <c r="N87" i="7"/>
  <c r="L87" i="7"/>
  <c r="J87" i="7"/>
  <c r="K87" i="7" s="1"/>
  <c r="H87" i="7"/>
  <c r="P86" i="7"/>
  <c r="O86" i="7"/>
  <c r="N86" i="7"/>
  <c r="L86" i="7"/>
  <c r="J86" i="7"/>
  <c r="K86" i="7" s="1"/>
  <c r="H86" i="7"/>
  <c r="P85" i="7"/>
  <c r="O85" i="7"/>
  <c r="N85" i="7"/>
  <c r="Q85" i="7" s="1"/>
  <c r="M85" i="7"/>
  <c r="I85" i="7"/>
  <c r="J85" i="7" s="1"/>
  <c r="H85" i="7"/>
  <c r="P83" i="7"/>
  <c r="O83" i="7"/>
  <c r="N83" i="7"/>
  <c r="L83" i="7"/>
  <c r="J83" i="7"/>
  <c r="K83" i="7" s="1"/>
  <c r="H83" i="7"/>
  <c r="P82" i="7"/>
  <c r="O82" i="7"/>
  <c r="N82" i="7"/>
  <c r="L82" i="7"/>
  <c r="K82" i="7"/>
  <c r="J82" i="7"/>
  <c r="H82" i="7"/>
  <c r="P80" i="7"/>
  <c r="O80" i="7"/>
  <c r="N80" i="7"/>
  <c r="L80" i="7"/>
  <c r="K80" i="7"/>
  <c r="J80" i="7"/>
  <c r="H80" i="7"/>
  <c r="P78" i="7"/>
  <c r="O78" i="7"/>
  <c r="N78" i="7"/>
  <c r="L78" i="7"/>
  <c r="J78" i="7"/>
  <c r="H78" i="7"/>
  <c r="P77" i="7"/>
  <c r="O77" i="7"/>
  <c r="N77" i="7"/>
  <c r="L77" i="7"/>
  <c r="J77" i="7"/>
  <c r="H77" i="7"/>
  <c r="P76" i="7"/>
  <c r="O76" i="7"/>
  <c r="N76" i="7"/>
  <c r="L76" i="7"/>
  <c r="J76" i="7"/>
  <c r="K76" i="7" s="1"/>
  <c r="H76" i="7"/>
  <c r="P74" i="7"/>
  <c r="O74" i="7"/>
  <c r="N74" i="7"/>
  <c r="L74" i="7"/>
  <c r="J74" i="7"/>
  <c r="K74" i="7" s="1"/>
  <c r="H74" i="7"/>
  <c r="P73" i="7"/>
  <c r="O73" i="7"/>
  <c r="N73" i="7"/>
  <c r="L73" i="7"/>
  <c r="K73" i="7"/>
  <c r="J73" i="7"/>
  <c r="H73" i="7"/>
  <c r="P71" i="7"/>
  <c r="O71" i="7"/>
  <c r="N71" i="7"/>
  <c r="L71" i="7"/>
  <c r="J71" i="7"/>
  <c r="K71" i="7" s="1"/>
  <c r="H71" i="7"/>
  <c r="P70" i="7"/>
  <c r="O70" i="7"/>
  <c r="N70" i="7"/>
  <c r="L70" i="7"/>
  <c r="J70" i="7"/>
  <c r="K70" i="7" s="1"/>
  <c r="H70" i="7"/>
  <c r="P69" i="7"/>
  <c r="O69" i="7"/>
  <c r="N69" i="7"/>
  <c r="L69" i="7"/>
  <c r="K69" i="7"/>
  <c r="J69" i="7"/>
  <c r="H69" i="7"/>
  <c r="P68" i="7"/>
  <c r="O68" i="7"/>
  <c r="N68" i="7"/>
  <c r="L68" i="7"/>
  <c r="J68" i="7"/>
  <c r="H68" i="7"/>
  <c r="P67" i="7"/>
  <c r="O67" i="7"/>
  <c r="N67" i="7"/>
  <c r="L67" i="7"/>
  <c r="J67" i="7"/>
  <c r="H67" i="7"/>
  <c r="P66" i="7"/>
  <c r="O66" i="7"/>
  <c r="N66" i="7"/>
  <c r="L66" i="7"/>
  <c r="J66" i="7"/>
  <c r="K66" i="7" s="1"/>
  <c r="H66" i="7"/>
  <c r="P65" i="7"/>
  <c r="O65" i="7"/>
  <c r="N65" i="7"/>
  <c r="L65" i="7"/>
  <c r="K65" i="7"/>
  <c r="J65" i="7"/>
  <c r="H65" i="7"/>
  <c r="P64" i="7"/>
  <c r="O64" i="7"/>
  <c r="N64" i="7"/>
  <c r="L64" i="7"/>
  <c r="J64" i="7"/>
  <c r="K64" i="7" s="1"/>
  <c r="H64" i="7"/>
  <c r="P63" i="7"/>
  <c r="O63" i="7"/>
  <c r="N63" i="7"/>
  <c r="L63" i="7"/>
  <c r="J63" i="7"/>
  <c r="K63" i="7" s="1"/>
  <c r="H63" i="7"/>
  <c r="P62" i="7"/>
  <c r="O62" i="7"/>
  <c r="N62" i="7"/>
  <c r="L62" i="7"/>
  <c r="J62" i="7"/>
  <c r="K62" i="7" s="1"/>
  <c r="H62" i="7"/>
  <c r="P61" i="7"/>
  <c r="O61" i="7"/>
  <c r="N61" i="7"/>
  <c r="L61" i="7"/>
  <c r="J61" i="7"/>
  <c r="K61" i="7" s="1"/>
  <c r="H61" i="7"/>
  <c r="P60" i="7"/>
  <c r="O60" i="7"/>
  <c r="N60" i="7"/>
  <c r="L60" i="7"/>
  <c r="K60" i="7"/>
  <c r="J60" i="7"/>
  <c r="H60" i="7"/>
  <c r="P59" i="7"/>
  <c r="O59" i="7"/>
  <c r="N59" i="7"/>
  <c r="K59" i="7"/>
  <c r="J59" i="7"/>
  <c r="H59" i="7"/>
  <c r="P58" i="7"/>
  <c r="O58" i="7"/>
  <c r="N58" i="7"/>
  <c r="L58" i="7"/>
  <c r="J58" i="7"/>
  <c r="K58" i="7" s="1"/>
  <c r="H58" i="7"/>
  <c r="P57" i="7"/>
  <c r="O57" i="7"/>
  <c r="N57" i="7"/>
  <c r="L57" i="7"/>
  <c r="J57" i="7"/>
  <c r="H57" i="7"/>
  <c r="P56" i="7"/>
  <c r="O56" i="7"/>
  <c r="N56" i="7"/>
  <c r="L56" i="7"/>
  <c r="J56" i="7"/>
  <c r="K56" i="7" s="1"/>
  <c r="H56" i="7"/>
  <c r="P55" i="7"/>
  <c r="O55" i="7"/>
  <c r="N55" i="7"/>
  <c r="J55" i="7"/>
  <c r="K55" i="7" s="1"/>
  <c r="H55" i="7"/>
  <c r="P54" i="7"/>
  <c r="O54" i="7"/>
  <c r="N54" i="7"/>
  <c r="J54" i="7"/>
  <c r="H54" i="7"/>
  <c r="P53" i="7"/>
  <c r="O53" i="7"/>
  <c r="N53" i="7"/>
  <c r="L53" i="7"/>
  <c r="J53" i="7"/>
  <c r="H53" i="7"/>
  <c r="P51" i="7"/>
  <c r="O51" i="7"/>
  <c r="N51" i="7"/>
  <c r="L51" i="7"/>
  <c r="J51" i="7"/>
  <c r="H51" i="7"/>
  <c r="P50" i="7"/>
  <c r="O50" i="7"/>
  <c r="N50" i="7"/>
  <c r="L50" i="7"/>
  <c r="I50" i="7"/>
  <c r="J50" i="7" s="1"/>
  <c r="K50" i="7" s="1"/>
  <c r="H50" i="7"/>
  <c r="F50" i="7"/>
  <c r="P49" i="7"/>
  <c r="O49" i="7"/>
  <c r="N49" i="7"/>
  <c r="L49" i="7"/>
  <c r="J49" i="7"/>
  <c r="K49" i="7" s="1"/>
  <c r="H49" i="7"/>
  <c r="P47" i="7"/>
  <c r="O47" i="7"/>
  <c r="N47" i="7"/>
  <c r="L47" i="7"/>
  <c r="K47" i="7"/>
  <c r="J47" i="7"/>
  <c r="H47" i="7"/>
  <c r="P46" i="7"/>
  <c r="O46" i="7"/>
  <c r="N46" i="7"/>
  <c r="L46" i="7"/>
  <c r="J46" i="7"/>
  <c r="K46" i="7" s="1"/>
  <c r="H46" i="7"/>
  <c r="P45" i="7"/>
  <c r="O45" i="7"/>
  <c r="N45" i="7"/>
  <c r="L45" i="7"/>
  <c r="J45" i="7"/>
  <c r="K45" i="7" s="1"/>
  <c r="H45" i="7"/>
  <c r="P44" i="7"/>
  <c r="O44" i="7"/>
  <c r="N44" i="7"/>
  <c r="L44" i="7"/>
  <c r="J44" i="7"/>
  <c r="K44" i="7" s="1"/>
  <c r="H44" i="7"/>
  <c r="P43" i="7"/>
  <c r="O43" i="7"/>
  <c r="N43" i="7"/>
  <c r="L43" i="7"/>
  <c r="J43" i="7"/>
  <c r="H43" i="7"/>
  <c r="P42" i="7"/>
  <c r="O42" i="7"/>
  <c r="N42" i="7"/>
  <c r="J42" i="7"/>
  <c r="I42" i="7"/>
  <c r="H42" i="7"/>
  <c r="P41" i="7"/>
  <c r="O41" i="7"/>
  <c r="N41" i="7"/>
  <c r="I41" i="7"/>
  <c r="F41" i="7"/>
  <c r="H41" i="7" s="1"/>
  <c r="P39" i="7"/>
  <c r="O39" i="7"/>
  <c r="N39" i="7"/>
  <c r="L39" i="7"/>
  <c r="H39" i="7"/>
  <c r="P38" i="7"/>
  <c r="O38" i="7"/>
  <c r="N38" i="7"/>
  <c r="I38" i="7"/>
  <c r="J38" i="7" s="1"/>
  <c r="F38" i="7"/>
  <c r="H38" i="7" s="1"/>
  <c r="P37" i="7"/>
  <c r="O37" i="7"/>
  <c r="N37" i="7"/>
  <c r="L37" i="7"/>
  <c r="J37" i="7"/>
  <c r="H37" i="7"/>
  <c r="P36" i="7"/>
  <c r="O36" i="7"/>
  <c r="N36" i="7"/>
  <c r="L36" i="7"/>
  <c r="I36" i="7"/>
  <c r="J36" i="7" s="1"/>
  <c r="K36" i="7" s="1"/>
  <c r="H36" i="7"/>
  <c r="P35" i="7"/>
  <c r="O35" i="7"/>
  <c r="N35" i="7"/>
  <c r="I35" i="7"/>
  <c r="J35" i="7" s="1"/>
  <c r="K35" i="7" s="1"/>
  <c r="H35" i="7"/>
  <c r="P34" i="7"/>
  <c r="O34" i="7"/>
  <c r="N34" i="7"/>
  <c r="I34" i="7"/>
  <c r="J34" i="7" s="1"/>
  <c r="K34" i="7" s="1"/>
  <c r="F34" i="7"/>
  <c r="H34" i="7" s="1"/>
  <c r="P33" i="7"/>
  <c r="O33" i="7"/>
  <c r="N33" i="7"/>
  <c r="I33" i="7"/>
  <c r="J33" i="7" s="1"/>
  <c r="K33" i="7" s="1"/>
  <c r="F33" i="7"/>
  <c r="H33" i="7" s="1"/>
  <c r="P32" i="7"/>
  <c r="O32" i="7"/>
  <c r="N32" i="7"/>
  <c r="J32" i="7"/>
  <c r="K32" i="7" s="1"/>
  <c r="H32" i="7"/>
  <c r="P31" i="7"/>
  <c r="O31" i="7"/>
  <c r="N31" i="7"/>
  <c r="J31" i="7"/>
  <c r="K31" i="7" s="1"/>
  <c r="H31" i="7"/>
  <c r="P30" i="7"/>
  <c r="O30" i="7"/>
  <c r="N30" i="7"/>
  <c r="L30" i="7"/>
  <c r="I30" i="7"/>
  <c r="J30" i="7" s="1"/>
  <c r="K30" i="7" s="1"/>
  <c r="H30" i="7"/>
  <c r="P29" i="7"/>
  <c r="O29" i="7"/>
  <c r="N29" i="7"/>
  <c r="L29" i="7"/>
  <c r="K29" i="7"/>
  <c r="J29" i="7"/>
  <c r="H29" i="7"/>
  <c r="P28" i="7"/>
  <c r="O28" i="7"/>
  <c r="N28" i="7"/>
  <c r="J28" i="7"/>
  <c r="H28" i="7"/>
  <c r="P27" i="7"/>
  <c r="O27" i="7"/>
  <c r="N27" i="7"/>
  <c r="L27" i="7"/>
  <c r="J27" i="7"/>
  <c r="I27" i="7"/>
  <c r="H27" i="7"/>
  <c r="P26" i="7"/>
  <c r="O26" i="7"/>
  <c r="N26" i="7"/>
  <c r="L26" i="7"/>
  <c r="I26" i="7"/>
  <c r="J26" i="7" s="1"/>
  <c r="H26" i="7"/>
  <c r="P25" i="7"/>
  <c r="O25" i="7"/>
  <c r="N25" i="7"/>
  <c r="J25" i="7"/>
  <c r="K25" i="7" s="1"/>
  <c r="H25" i="7"/>
  <c r="P24" i="7"/>
  <c r="O24" i="7"/>
  <c r="N24" i="7"/>
  <c r="L24" i="7"/>
  <c r="I24" i="7"/>
  <c r="J24" i="7" s="1"/>
  <c r="K24" i="7" s="1"/>
  <c r="H24" i="7"/>
  <c r="P23" i="7"/>
  <c r="O23" i="7"/>
  <c r="N23" i="7"/>
  <c r="L23" i="7"/>
  <c r="I23" i="7"/>
  <c r="J23" i="7" s="1"/>
  <c r="H23" i="7"/>
  <c r="P22" i="7"/>
  <c r="O22" i="7"/>
  <c r="N22" i="7"/>
  <c r="K22" i="7"/>
  <c r="J22" i="7"/>
  <c r="H22" i="7"/>
  <c r="P21" i="7"/>
  <c r="O21" i="7"/>
  <c r="N21" i="7"/>
  <c r="L21" i="7"/>
  <c r="J21" i="7"/>
  <c r="H21" i="7"/>
  <c r="P20" i="7"/>
  <c r="O20" i="7"/>
  <c r="N20" i="7"/>
  <c r="L20" i="7"/>
  <c r="K20" i="7"/>
  <c r="J20" i="7"/>
  <c r="I20" i="7"/>
  <c r="I21" i="7" s="1"/>
  <c r="H20" i="7"/>
  <c r="P19" i="7"/>
  <c r="O19" i="7"/>
  <c r="N19" i="7"/>
  <c r="L19" i="7"/>
  <c r="J19" i="7"/>
  <c r="H19" i="7"/>
  <c r="P18" i="7"/>
  <c r="O18" i="7"/>
  <c r="N18" i="7"/>
  <c r="L18" i="7"/>
  <c r="I18" i="7"/>
  <c r="J18" i="7" s="1"/>
  <c r="H18" i="7"/>
  <c r="P17" i="7"/>
  <c r="O17" i="7"/>
  <c r="N17" i="7"/>
  <c r="L17" i="7"/>
  <c r="I17" i="7"/>
  <c r="J17" i="7" s="1"/>
  <c r="H17" i="7"/>
  <c r="P15" i="7"/>
  <c r="O15" i="7"/>
  <c r="J15" i="7"/>
  <c r="H15" i="7"/>
  <c r="P14" i="7"/>
  <c r="O14" i="7"/>
  <c r="J14" i="7"/>
  <c r="K14" i="7" s="1"/>
  <c r="I14" i="7"/>
  <c r="F14" i="7"/>
  <c r="H14" i="7" s="1"/>
  <c r="P13" i="7"/>
  <c r="O13" i="7"/>
  <c r="N13" i="7"/>
  <c r="L13" i="7"/>
  <c r="I13" i="7"/>
  <c r="J13" i="7" s="1"/>
  <c r="K13" i="7" s="1"/>
  <c r="H13" i="7"/>
  <c r="P12" i="7"/>
  <c r="O12" i="7"/>
  <c r="N12" i="7"/>
  <c r="L12" i="7"/>
  <c r="K12" i="7"/>
  <c r="J12" i="7"/>
  <c r="H12" i="7"/>
  <c r="P11" i="7"/>
  <c r="O11" i="7"/>
  <c r="N11" i="7"/>
  <c r="L11" i="7"/>
  <c r="J11" i="7"/>
  <c r="K11" i="7" s="1"/>
  <c r="H11" i="7"/>
  <c r="P10" i="7"/>
  <c r="O10" i="7"/>
  <c r="N10" i="7"/>
  <c r="L10" i="7"/>
  <c r="J10" i="7"/>
  <c r="K10" i="7" s="1"/>
  <c r="H10" i="7"/>
  <c r="P9" i="7"/>
  <c r="O9" i="7"/>
  <c r="N9" i="7"/>
  <c r="K9" i="7"/>
  <c r="J9" i="7"/>
  <c r="H9" i="7"/>
  <c r="P8" i="7"/>
  <c r="O8" i="7"/>
  <c r="N8" i="7"/>
  <c r="J8" i="7"/>
  <c r="P7" i="7"/>
  <c r="O7" i="7"/>
  <c r="N7" i="7"/>
  <c r="L7" i="7"/>
  <c r="K7" i="7"/>
  <c r="J7" i="7"/>
  <c r="H7" i="7"/>
  <c r="P6" i="7"/>
  <c r="O6" i="7"/>
  <c r="N6" i="7"/>
  <c r="L6" i="7"/>
  <c r="J6" i="7"/>
  <c r="K6" i="7" s="1"/>
  <c r="H6" i="7"/>
  <c r="P71" i="6"/>
  <c r="O71" i="6"/>
  <c r="N71" i="6"/>
  <c r="L71" i="6"/>
  <c r="J71" i="6"/>
  <c r="K71" i="6" s="1"/>
  <c r="H71" i="6"/>
  <c r="P70" i="6"/>
  <c r="O70" i="6"/>
  <c r="N70" i="6"/>
  <c r="L70" i="6"/>
  <c r="J70" i="6"/>
  <c r="K70" i="6" s="1"/>
  <c r="H70" i="6"/>
  <c r="P68" i="6"/>
  <c r="O68" i="6"/>
  <c r="N68" i="6"/>
  <c r="L68" i="6"/>
  <c r="K68" i="6"/>
  <c r="J68" i="6"/>
  <c r="H68" i="6"/>
  <c r="P66" i="6"/>
  <c r="O66" i="6"/>
  <c r="N66" i="6"/>
  <c r="L66" i="6"/>
  <c r="K66" i="6"/>
  <c r="J66" i="6"/>
  <c r="H66" i="6"/>
  <c r="P65" i="6"/>
  <c r="O65" i="6"/>
  <c r="N65" i="6"/>
  <c r="L65" i="6"/>
  <c r="J65" i="6"/>
  <c r="H65" i="6"/>
  <c r="P64" i="6"/>
  <c r="O64" i="6"/>
  <c r="N64" i="6"/>
  <c r="L64" i="6"/>
  <c r="J64" i="6"/>
  <c r="H64" i="6"/>
  <c r="P62" i="6"/>
  <c r="O62" i="6"/>
  <c r="N62" i="6"/>
  <c r="L62" i="6"/>
  <c r="J62" i="6"/>
  <c r="H62" i="6"/>
  <c r="P61" i="6"/>
  <c r="O61" i="6"/>
  <c r="N61" i="6"/>
  <c r="L61" i="6"/>
  <c r="J61" i="6"/>
  <c r="K61" i="6" s="1"/>
  <c r="H61" i="6"/>
  <c r="P59" i="6"/>
  <c r="O59" i="6"/>
  <c r="N59" i="6"/>
  <c r="L59" i="6"/>
  <c r="K59" i="6"/>
  <c r="J59" i="6"/>
  <c r="H59" i="6"/>
  <c r="P58" i="6"/>
  <c r="O58" i="6"/>
  <c r="N58" i="6"/>
  <c r="L58" i="6"/>
  <c r="J58" i="6"/>
  <c r="K58" i="6" s="1"/>
  <c r="H58" i="6"/>
  <c r="P57" i="6"/>
  <c r="O57" i="6"/>
  <c r="N57" i="6"/>
  <c r="L57" i="6"/>
  <c r="J57" i="6"/>
  <c r="K57" i="6" s="1"/>
  <c r="H57" i="6"/>
  <c r="P56" i="6"/>
  <c r="O56" i="6"/>
  <c r="N56" i="6"/>
  <c r="L56" i="6"/>
  <c r="K56" i="6"/>
  <c r="J56" i="6"/>
  <c r="H56" i="6"/>
  <c r="P55" i="6"/>
  <c r="O55" i="6"/>
  <c r="N55" i="6"/>
  <c r="L55" i="6"/>
  <c r="J55" i="6"/>
  <c r="H55" i="6"/>
  <c r="P54" i="6"/>
  <c r="O54" i="6"/>
  <c r="N54" i="6"/>
  <c r="L54" i="6"/>
  <c r="J54" i="6"/>
  <c r="H54" i="6"/>
  <c r="P53" i="6"/>
  <c r="O53" i="6"/>
  <c r="N53" i="6"/>
  <c r="L53" i="6"/>
  <c r="J53" i="6"/>
  <c r="H53" i="6"/>
  <c r="P52" i="6"/>
  <c r="O52" i="6"/>
  <c r="N52" i="6"/>
  <c r="L52" i="6"/>
  <c r="J52" i="6"/>
  <c r="H52" i="6"/>
  <c r="P51" i="6"/>
  <c r="O51" i="6"/>
  <c r="N51" i="6"/>
  <c r="L51" i="6"/>
  <c r="J51" i="6"/>
  <c r="K51" i="6" s="1"/>
  <c r="H51" i="6"/>
  <c r="P50" i="6"/>
  <c r="O50" i="6"/>
  <c r="N50" i="6"/>
  <c r="L50" i="6"/>
  <c r="J50" i="6"/>
  <c r="K50" i="6" s="1"/>
  <c r="H50" i="6"/>
  <c r="P49" i="6"/>
  <c r="O49" i="6"/>
  <c r="N49" i="6"/>
  <c r="L49" i="6"/>
  <c r="J49" i="6"/>
  <c r="K49" i="6" s="1"/>
  <c r="H49" i="6"/>
  <c r="P48" i="6"/>
  <c r="O48" i="6"/>
  <c r="N48" i="6"/>
  <c r="L48" i="6"/>
  <c r="J48" i="6"/>
  <c r="K48" i="6" s="1"/>
  <c r="H48" i="6"/>
  <c r="P47" i="6"/>
  <c r="O47" i="6"/>
  <c r="N47" i="6"/>
  <c r="J47" i="6"/>
  <c r="K47" i="6" s="1"/>
  <c r="H47" i="6"/>
  <c r="P46" i="6"/>
  <c r="O46" i="6"/>
  <c r="N46" i="6"/>
  <c r="L46" i="6"/>
  <c r="J46" i="6"/>
  <c r="K46" i="6" s="1"/>
  <c r="H46" i="6"/>
  <c r="P45" i="6"/>
  <c r="O45" i="6"/>
  <c r="N45" i="6"/>
  <c r="L45" i="6"/>
  <c r="K45" i="6"/>
  <c r="J45" i="6"/>
  <c r="H45" i="6"/>
  <c r="P44" i="6"/>
  <c r="O44" i="6"/>
  <c r="N44" i="6"/>
  <c r="L44" i="6"/>
  <c r="J44" i="6"/>
  <c r="H44" i="6"/>
  <c r="P43" i="6"/>
  <c r="O43" i="6"/>
  <c r="N43" i="6"/>
  <c r="J43" i="6"/>
  <c r="H43" i="6"/>
  <c r="P42" i="6"/>
  <c r="O42" i="6"/>
  <c r="N42" i="6"/>
  <c r="K42" i="6"/>
  <c r="J42" i="6"/>
  <c r="H42" i="6"/>
  <c r="P41" i="6"/>
  <c r="O41" i="6"/>
  <c r="N41" i="6"/>
  <c r="L41" i="6"/>
  <c r="K41" i="6"/>
  <c r="J41" i="6"/>
  <c r="H41" i="6"/>
  <c r="P39" i="6"/>
  <c r="O39" i="6"/>
  <c r="N39" i="6"/>
  <c r="L39" i="6"/>
  <c r="J39" i="6"/>
  <c r="H39" i="6"/>
  <c r="P38" i="6"/>
  <c r="O38" i="6"/>
  <c r="N38" i="6"/>
  <c r="L38" i="6"/>
  <c r="I38" i="6"/>
  <c r="J38" i="6" s="1"/>
  <c r="K38" i="6" s="1"/>
  <c r="F38" i="6"/>
  <c r="H38" i="6" s="1"/>
  <c r="P37" i="6"/>
  <c r="O37" i="6"/>
  <c r="N37" i="6"/>
  <c r="L37" i="6"/>
  <c r="J37" i="6"/>
  <c r="K37" i="6" s="1"/>
  <c r="H37" i="6"/>
  <c r="P35" i="6"/>
  <c r="O35" i="6"/>
  <c r="L35" i="6"/>
  <c r="K35" i="6"/>
  <c r="J35" i="6"/>
  <c r="H35" i="6"/>
  <c r="P34" i="6"/>
  <c r="O34" i="6"/>
  <c r="L34" i="6"/>
  <c r="J34" i="6"/>
  <c r="K34" i="6" s="1"/>
  <c r="H34" i="6"/>
  <c r="P33" i="6"/>
  <c r="O33" i="6"/>
  <c r="L33" i="6"/>
  <c r="J33" i="6"/>
  <c r="K33" i="6" s="1"/>
  <c r="H33" i="6"/>
  <c r="P32" i="6"/>
  <c r="O32" i="6"/>
  <c r="L32" i="6"/>
  <c r="J32" i="6"/>
  <c r="K32" i="6" s="1"/>
  <c r="H32" i="6"/>
  <c r="P31" i="6"/>
  <c r="O31" i="6"/>
  <c r="L31" i="6"/>
  <c r="K31" i="6"/>
  <c r="J31" i="6"/>
  <c r="H31" i="6"/>
  <c r="P30" i="6"/>
  <c r="O30" i="6"/>
  <c r="N30" i="6"/>
  <c r="I30" i="6"/>
  <c r="J30" i="6" s="1"/>
  <c r="F30" i="6"/>
  <c r="H30" i="6" s="1"/>
  <c r="P28" i="6"/>
  <c r="O28" i="6"/>
  <c r="N28" i="6"/>
  <c r="I28" i="6"/>
  <c r="J28" i="6" s="1"/>
  <c r="H28" i="6"/>
  <c r="P27" i="6"/>
  <c r="Q27" i="6" s="1"/>
  <c r="O27" i="6"/>
  <c r="J27" i="6"/>
  <c r="H27" i="6"/>
  <c r="P26" i="6"/>
  <c r="O26" i="6"/>
  <c r="N26" i="6"/>
  <c r="I26" i="6"/>
  <c r="J26" i="6" s="1"/>
  <c r="K26" i="6" s="1"/>
  <c r="H26" i="6"/>
  <c r="P25" i="6"/>
  <c r="O25" i="6"/>
  <c r="N25" i="6"/>
  <c r="K25" i="6"/>
  <c r="J25" i="6"/>
  <c r="H25" i="6"/>
  <c r="P24" i="6"/>
  <c r="O24" i="6"/>
  <c r="N24" i="6"/>
  <c r="L24" i="6"/>
  <c r="J24" i="6"/>
  <c r="K24" i="6" s="1"/>
  <c r="I24" i="6"/>
  <c r="H24" i="6"/>
  <c r="P23" i="6"/>
  <c r="O23" i="6"/>
  <c r="N23" i="6"/>
  <c r="L23" i="6"/>
  <c r="J23" i="6"/>
  <c r="K23" i="6" s="1"/>
  <c r="I23" i="6"/>
  <c r="H23" i="6"/>
  <c r="P22" i="6"/>
  <c r="O22" i="6"/>
  <c r="N22" i="6"/>
  <c r="K22" i="6"/>
  <c r="J22" i="6"/>
  <c r="H22" i="6"/>
  <c r="P21" i="6"/>
  <c r="O21" i="6"/>
  <c r="N21" i="6"/>
  <c r="L21" i="6"/>
  <c r="K21" i="6"/>
  <c r="I21" i="6"/>
  <c r="J21" i="6" s="1"/>
  <c r="H21" i="6"/>
  <c r="P20" i="6"/>
  <c r="O20" i="6"/>
  <c r="N20" i="6"/>
  <c r="L20" i="6"/>
  <c r="K20" i="6"/>
  <c r="J20" i="6"/>
  <c r="I20" i="6"/>
  <c r="H20" i="6"/>
  <c r="P19" i="6"/>
  <c r="O19" i="6"/>
  <c r="N19" i="6"/>
  <c r="J19" i="6"/>
  <c r="H19" i="6"/>
  <c r="P18" i="6"/>
  <c r="O18" i="6"/>
  <c r="N18" i="6"/>
  <c r="L18" i="6"/>
  <c r="I18" i="6"/>
  <c r="J18" i="6" s="1"/>
  <c r="H18" i="6"/>
  <c r="P17" i="6"/>
  <c r="O17" i="6"/>
  <c r="N17" i="6"/>
  <c r="L17" i="6"/>
  <c r="I17" i="6"/>
  <c r="J17" i="6" s="1"/>
  <c r="H17" i="6"/>
  <c r="P16" i="6"/>
  <c r="O16" i="6"/>
  <c r="N16" i="6"/>
  <c r="K16" i="6"/>
  <c r="J16" i="6"/>
  <c r="H16" i="6"/>
  <c r="P15" i="6"/>
  <c r="O15" i="6"/>
  <c r="N15" i="6"/>
  <c r="L15" i="6"/>
  <c r="J15" i="6"/>
  <c r="K15" i="6" s="1"/>
  <c r="H15" i="6"/>
  <c r="P14" i="6"/>
  <c r="O14" i="6"/>
  <c r="N14" i="6"/>
  <c r="L14" i="6"/>
  <c r="J14" i="6"/>
  <c r="K14" i="6" s="1"/>
  <c r="I14" i="6"/>
  <c r="I15" i="6" s="1"/>
  <c r="H14" i="6"/>
  <c r="P12" i="6"/>
  <c r="O12" i="6"/>
  <c r="K12" i="6"/>
  <c r="J12" i="6"/>
  <c r="F12" i="6"/>
  <c r="H12" i="6" s="1"/>
  <c r="P11" i="6"/>
  <c r="O11" i="6"/>
  <c r="N11" i="6"/>
  <c r="L11" i="6"/>
  <c r="K11" i="6"/>
  <c r="J11" i="6"/>
  <c r="H11" i="6"/>
  <c r="P10" i="6"/>
  <c r="O10" i="6"/>
  <c r="N10" i="6"/>
  <c r="L10" i="6"/>
  <c r="J10" i="6"/>
  <c r="K10" i="6" s="1"/>
  <c r="H10" i="6"/>
  <c r="P9" i="6"/>
  <c r="O9" i="6"/>
  <c r="N9" i="6"/>
  <c r="L9" i="6"/>
  <c r="K9" i="6"/>
  <c r="J9" i="6"/>
  <c r="H9" i="6"/>
  <c r="P8" i="6"/>
  <c r="O8" i="6"/>
  <c r="N8" i="6"/>
  <c r="L8" i="6"/>
  <c r="J8" i="6"/>
  <c r="H8" i="6"/>
  <c r="P7" i="6"/>
  <c r="O7" i="6"/>
  <c r="N7" i="6"/>
  <c r="L7" i="6"/>
  <c r="J7" i="6"/>
  <c r="H7" i="6"/>
  <c r="O51" i="4"/>
  <c r="J51" i="4"/>
  <c r="G51" i="4"/>
  <c r="H51" i="4" s="1"/>
  <c r="O49" i="4"/>
  <c r="J49" i="4"/>
  <c r="G49" i="4"/>
  <c r="H49" i="4" s="1"/>
  <c r="O48" i="4"/>
  <c r="J48" i="4"/>
  <c r="G48" i="4"/>
  <c r="H48" i="4" s="1"/>
  <c r="O47" i="4"/>
  <c r="J47" i="4"/>
  <c r="G47" i="4"/>
  <c r="H47" i="4" s="1"/>
  <c r="O46" i="4"/>
  <c r="J46" i="4"/>
  <c r="G46" i="4"/>
  <c r="H46" i="4" s="1"/>
  <c r="O45" i="4"/>
  <c r="J45" i="4"/>
  <c r="G45" i="4"/>
  <c r="H45" i="4" s="1"/>
  <c r="O44" i="4"/>
  <c r="J44" i="4"/>
  <c r="G44" i="4"/>
  <c r="H44" i="4" s="1"/>
  <c r="O43" i="4"/>
  <c r="O42" i="4"/>
  <c r="O41" i="4"/>
  <c r="N41" i="4"/>
  <c r="O40" i="4"/>
  <c r="N40" i="4"/>
  <c r="O39" i="4"/>
  <c r="J39" i="4"/>
  <c r="H39" i="4"/>
  <c r="G39" i="4"/>
  <c r="O38" i="4"/>
  <c r="J38" i="4"/>
  <c r="G38" i="4"/>
  <c r="H38" i="4" s="1"/>
  <c r="O37" i="4"/>
  <c r="J37" i="4"/>
  <c r="G37" i="4"/>
  <c r="H37" i="4" s="1"/>
  <c r="O36" i="4"/>
  <c r="J36" i="4"/>
  <c r="G36" i="4"/>
  <c r="H36" i="4" s="1"/>
  <c r="O35" i="4"/>
  <c r="J35" i="4"/>
  <c r="G35" i="4"/>
  <c r="O34" i="4"/>
  <c r="J34" i="4"/>
  <c r="G34" i="4"/>
  <c r="H34" i="4" s="1"/>
  <c r="O33" i="4"/>
  <c r="J33" i="4"/>
  <c r="G33" i="4"/>
  <c r="H33" i="4" s="1"/>
  <c r="O32" i="4"/>
  <c r="J32" i="4"/>
  <c r="G32" i="4"/>
  <c r="O31" i="4"/>
  <c r="J31" i="4"/>
  <c r="G31" i="4"/>
  <c r="H31" i="4" s="1"/>
  <c r="O30" i="4"/>
  <c r="J30" i="4"/>
  <c r="G30" i="4"/>
  <c r="H30" i="4" s="1"/>
  <c r="O29" i="4"/>
  <c r="J29" i="4"/>
  <c r="G29" i="4"/>
  <c r="H29" i="4" s="1"/>
  <c r="O28" i="4"/>
  <c r="J28" i="4"/>
  <c r="G28" i="4"/>
  <c r="O27" i="4"/>
  <c r="J27" i="4"/>
  <c r="G27" i="4"/>
  <c r="H27" i="4" s="1"/>
  <c r="O26" i="4"/>
  <c r="J26" i="4"/>
  <c r="G26" i="4"/>
  <c r="H26" i="4" s="1"/>
  <c r="O25" i="4"/>
  <c r="J25" i="4"/>
  <c r="G25" i="4"/>
  <c r="H25" i="4" s="1"/>
  <c r="O24" i="4"/>
  <c r="J24" i="4"/>
  <c r="G24" i="4"/>
  <c r="H24" i="4" s="1"/>
  <c r="O23" i="4"/>
  <c r="J23" i="4"/>
  <c r="G23" i="4"/>
  <c r="O22" i="4"/>
  <c r="J22" i="4"/>
  <c r="G22" i="4"/>
  <c r="H22" i="4" s="1"/>
  <c r="O21" i="4"/>
  <c r="J21" i="4"/>
  <c r="G21" i="4"/>
  <c r="H21" i="4" s="1"/>
  <c r="O20" i="4"/>
  <c r="J20" i="4"/>
  <c r="G20" i="4"/>
  <c r="O19" i="4"/>
  <c r="J19" i="4"/>
  <c r="G19" i="4"/>
  <c r="H19" i="4" s="1"/>
  <c r="O18" i="4"/>
  <c r="J18" i="4"/>
  <c r="G18" i="4"/>
  <c r="H18" i="4" s="1"/>
  <c r="O17" i="4"/>
  <c r="J17" i="4"/>
  <c r="G17" i="4"/>
  <c r="H17" i="4" s="1"/>
  <c r="O16" i="4"/>
  <c r="J16" i="4"/>
  <c r="G16" i="4"/>
  <c r="O15" i="4"/>
  <c r="J15" i="4"/>
  <c r="G15" i="4"/>
  <c r="H15" i="4" s="1"/>
  <c r="O14" i="4"/>
  <c r="J14" i="4"/>
  <c r="G14" i="4"/>
  <c r="H14" i="4" s="1"/>
  <c r="O13" i="4"/>
  <c r="J13" i="4"/>
  <c r="G13" i="4"/>
  <c r="H13" i="4" s="1"/>
  <c r="O12" i="4"/>
  <c r="J12" i="4"/>
  <c r="G12" i="4"/>
  <c r="H12" i="4" s="1"/>
  <c r="O11" i="4"/>
  <c r="J11" i="4"/>
  <c r="G11" i="4"/>
  <c r="O10" i="4"/>
  <c r="J10" i="4"/>
  <c r="G10" i="4"/>
  <c r="H10" i="4" s="1"/>
  <c r="O9" i="4"/>
  <c r="J9" i="4"/>
  <c r="G9" i="4"/>
  <c r="H9" i="4" s="1"/>
  <c r="O8" i="4"/>
  <c r="J8" i="4"/>
  <c r="G8" i="4"/>
  <c r="O7" i="4"/>
  <c r="J7" i="4"/>
  <c r="G7" i="4"/>
  <c r="H7" i="4" s="1"/>
  <c r="O6" i="4"/>
  <c r="J6" i="4"/>
  <c r="G6" i="4"/>
  <c r="H6" i="4" s="1"/>
  <c r="O5" i="4"/>
  <c r="J5" i="4"/>
  <c r="G5" i="4"/>
  <c r="H5" i="4" s="1"/>
  <c r="O4" i="4"/>
  <c r="J4" i="4"/>
  <c r="G4" i="4"/>
  <c r="L49" i="3"/>
  <c r="K49" i="3"/>
  <c r="J49" i="3"/>
  <c r="H49" i="3"/>
  <c r="F49" i="3"/>
  <c r="L47" i="3"/>
  <c r="K47" i="3"/>
  <c r="J47" i="3"/>
  <c r="H47" i="3"/>
  <c r="F47" i="3"/>
  <c r="G47" i="3" s="1"/>
  <c r="L46" i="3"/>
  <c r="K46" i="3"/>
  <c r="J46" i="3"/>
  <c r="H46" i="3"/>
  <c r="F46" i="3"/>
  <c r="L45" i="3"/>
  <c r="K45" i="3"/>
  <c r="J45" i="3"/>
  <c r="H45" i="3"/>
  <c r="F45" i="3"/>
  <c r="L44" i="3"/>
  <c r="K44" i="3"/>
  <c r="J44" i="3"/>
  <c r="H44" i="3"/>
  <c r="F44" i="3"/>
  <c r="L43" i="3"/>
  <c r="K43" i="3"/>
  <c r="J43" i="3"/>
  <c r="H43" i="3"/>
  <c r="F43" i="3"/>
  <c r="L42" i="3"/>
  <c r="K42" i="3"/>
  <c r="J42" i="3"/>
  <c r="H42" i="3"/>
  <c r="F42" i="3"/>
  <c r="G42" i="3" s="1"/>
  <c r="L41" i="3"/>
  <c r="L39" i="3"/>
  <c r="K39" i="3"/>
  <c r="J39" i="3"/>
  <c r="H39" i="3"/>
  <c r="F39" i="3"/>
  <c r="G39" i="3" s="1"/>
  <c r="L38" i="3"/>
  <c r="K38" i="3"/>
  <c r="J38" i="3"/>
  <c r="H38" i="3"/>
  <c r="F38" i="3"/>
  <c r="G38" i="3" s="1"/>
  <c r="L37" i="3"/>
  <c r="K37" i="3"/>
  <c r="J37" i="3"/>
  <c r="H37" i="3"/>
  <c r="F37" i="3"/>
  <c r="G37" i="3" s="1"/>
  <c r="L36" i="3"/>
  <c r="K36" i="3"/>
  <c r="J36" i="3"/>
  <c r="H36" i="3"/>
  <c r="F36" i="3"/>
  <c r="G36" i="3" s="1"/>
  <c r="L35" i="3"/>
  <c r="K35" i="3"/>
  <c r="J35" i="3"/>
  <c r="H35" i="3"/>
  <c r="F35" i="3"/>
  <c r="G35" i="3" s="1"/>
  <c r="L34" i="3"/>
  <c r="K34" i="3"/>
  <c r="J34" i="3"/>
  <c r="H34" i="3"/>
  <c r="F34" i="3"/>
  <c r="G34" i="3" s="1"/>
  <c r="L33" i="3"/>
  <c r="K33" i="3"/>
  <c r="J33" i="3"/>
  <c r="H33" i="3"/>
  <c r="F33" i="3"/>
  <c r="L32" i="3"/>
  <c r="K32" i="3"/>
  <c r="J32" i="3"/>
  <c r="H32" i="3"/>
  <c r="F32" i="3"/>
  <c r="L31" i="3"/>
  <c r="K31" i="3"/>
  <c r="J31" i="3"/>
  <c r="H31" i="3"/>
  <c r="F31" i="3"/>
  <c r="G31" i="3" s="1"/>
  <c r="L30" i="3"/>
  <c r="K30" i="3"/>
  <c r="J30" i="3"/>
  <c r="H30" i="3"/>
  <c r="F30" i="3"/>
  <c r="G30" i="3" s="1"/>
  <c r="L29" i="3"/>
  <c r="K29" i="3"/>
  <c r="J29" i="3"/>
  <c r="H29" i="3"/>
  <c r="F29" i="3"/>
  <c r="G29" i="3" s="1"/>
  <c r="L28" i="3"/>
  <c r="K28" i="3"/>
  <c r="J28" i="3"/>
  <c r="H28" i="3"/>
  <c r="F28" i="3"/>
  <c r="G28" i="3" s="1"/>
  <c r="L27" i="3"/>
  <c r="K27" i="3"/>
  <c r="J27" i="3"/>
  <c r="H27" i="3"/>
  <c r="F27" i="3"/>
  <c r="L26" i="3"/>
  <c r="K26" i="3"/>
  <c r="J26" i="3"/>
  <c r="H26" i="3"/>
  <c r="F26" i="3"/>
  <c r="L25" i="3"/>
  <c r="K25" i="3"/>
  <c r="J25" i="3"/>
  <c r="H25" i="3"/>
  <c r="F25" i="3"/>
  <c r="G25" i="3" s="1"/>
  <c r="L24" i="3"/>
  <c r="K24" i="3"/>
  <c r="J24" i="3"/>
  <c r="H24" i="3"/>
  <c r="F24" i="3"/>
  <c r="G24" i="3" s="1"/>
  <c r="L23" i="3"/>
  <c r="K23" i="3"/>
  <c r="J23" i="3"/>
  <c r="H23" i="3"/>
  <c r="F23" i="3"/>
  <c r="G23" i="3" s="1"/>
  <c r="L22" i="3"/>
  <c r="K22" i="3"/>
  <c r="J22" i="3"/>
  <c r="H22" i="3"/>
  <c r="F22" i="3"/>
  <c r="G22" i="3" s="1"/>
  <c r="L21" i="3"/>
  <c r="K21" i="3"/>
  <c r="J21" i="3"/>
  <c r="H21" i="3"/>
  <c r="F21" i="3"/>
  <c r="L20" i="3"/>
  <c r="K20" i="3"/>
  <c r="J20" i="3"/>
  <c r="H20" i="3"/>
  <c r="F20" i="3"/>
  <c r="L19" i="3"/>
  <c r="K19" i="3"/>
  <c r="J19" i="3"/>
  <c r="H19" i="3"/>
  <c r="F19" i="3"/>
  <c r="L18" i="3"/>
  <c r="K18" i="3"/>
  <c r="J18" i="3"/>
  <c r="H18" i="3"/>
  <c r="F18" i="3"/>
  <c r="G18" i="3" s="1"/>
  <c r="L17" i="3"/>
  <c r="K17" i="3"/>
  <c r="J17" i="3"/>
  <c r="H17" i="3"/>
  <c r="F17" i="3"/>
  <c r="G17" i="3" s="1"/>
  <c r="L16" i="3"/>
  <c r="K16" i="3"/>
  <c r="J16" i="3"/>
  <c r="H16" i="3"/>
  <c r="F16" i="3"/>
  <c r="G16" i="3" s="1"/>
  <c r="L15" i="3"/>
  <c r="K15" i="3"/>
  <c r="J15" i="3"/>
  <c r="H15" i="3"/>
  <c r="F15" i="3"/>
  <c r="G15" i="3" s="1"/>
  <c r="L14" i="3"/>
  <c r="K14" i="3"/>
  <c r="J14" i="3"/>
  <c r="H14" i="3"/>
  <c r="F14" i="3"/>
  <c r="G14" i="3" s="1"/>
  <c r="L13" i="3"/>
  <c r="K13" i="3"/>
  <c r="J13" i="3"/>
  <c r="H13" i="3"/>
  <c r="F13" i="3"/>
  <c r="G13" i="3" s="1"/>
  <c r="L12" i="3"/>
  <c r="K12" i="3"/>
  <c r="J12" i="3"/>
  <c r="H12" i="3"/>
  <c r="F12" i="3"/>
  <c r="G12" i="3" s="1"/>
  <c r="L11" i="3"/>
  <c r="K11" i="3"/>
  <c r="J11" i="3"/>
  <c r="H11" i="3"/>
  <c r="F11" i="3"/>
  <c r="G11" i="3" s="1"/>
  <c r="L10" i="3"/>
  <c r="K10" i="3"/>
  <c r="J10" i="3"/>
  <c r="H10" i="3"/>
  <c r="F10" i="3"/>
  <c r="G10" i="3" s="1"/>
  <c r="L9" i="3"/>
  <c r="K9" i="3"/>
  <c r="J9" i="3"/>
  <c r="H9" i="3"/>
  <c r="F9" i="3"/>
  <c r="G9" i="3" s="1"/>
  <c r="L8" i="3"/>
  <c r="K8" i="3"/>
  <c r="J8" i="3"/>
  <c r="H8" i="3"/>
  <c r="F8" i="3"/>
  <c r="L7" i="3"/>
  <c r="K7" i="3"/>
  <c r="J7" i="3"/>
  <c r="H7" i="3"/>
  <c r="F7" i="3"/>
  <c r="L6" i="3"/>
  <c r="K6" i="3"/>
  <c r="J6" i="3"/>
  <c r="H6" i="3"/>
  <c r="F6" i="3"/>
  <c r="G6" i="3" s="1"/>
  <c r="L5" i="3"/>
  <c r="K5" i="3"/>
  <c r="J5" i="3"/>
  <c r="H5" i="3"/>
  <c r="F5" i="3"/>
  <c r="G5" i="3" s="1"/>
  <c r="L4" i="3"/>
  <c r="K4" i="3"/>
  <c r="J4" i="3"/>
  <c r="H4" i="3"/>
  <c r="F4" i="3"/>
  <c r="G4" i="3" s="1"/>
  <c r="B18" i="2"/>
  <c r="C5" i="1" s="1"/>
  <c r="C7" i="11" s="1"/>
  <c r="G8" i="1"/>
  <c r="E8" i="1"/>
  <c r="E6" i="1"/>
  <c r="E4" i="1"/>
  <c r="J43" i="4" l="1"/>
  <c r="H41" i="3"/>
  <c r="K41" i="3"/>
  <c r="K17" i="6"/>
  <c r="K18" i="6"/>
  <c r="K26" i="7"/>
  <c r="K42" i="7"/>
  <c r="K18" i="7"/>
  <c r="E5" i="1"/>
  <c r="G7" i="3"/>
  <c r="G19" i="3"/>
  <c r="G26" i="3"/>
  <c r="G32" i="3"/>
  <c r="G44" i="3"/>
  <c r="H4" i="4"/>
  <c r="H16" i="4"/>
  <c r="H28" i="4"/>
  <c r="K39" i="6"/>
  <c r="G21" i="3"/>
  <c r="G27" i="3"/>
  <c r="G33" i="3"/>
  <c r="K19" i="6"/>
  <c r="G43" i="3"/>
  <c r="G49" i="3"/>
  <c r="O3" i="4"/>
  <c r="H11" i="4"/>
  <c r="H23" i="4"/>
  <c r="H35" i="4"/>
  <c r="K27" i="6"/>
  <c r="R27" i="6"/>
  <c r="S27" i="6" s="1"/>
  <c r="K30" i="6"/>
  <c r="K44" i="6"/>
  <c r="K53" i="6"/>
  <c r="K55" i="6"/>
  <c r="K51" i="7"/>
  <c r="K54" i="7"/>
  <c r="C19" i="11"/>
  <c r="C14" i="11"/>
  <c r="C13" i="11" s="1"/>
  <c r="D13" i="11" s="1"/>
  <c r="E13" i="11" s="1"/>
  <c r="G20" i="3"/>
  <c r="K17" i="7"/>
  <c r="K19" i="7"/>
  <c r="H25" i="8"/>
  <c r="G45" i="3"/>
  <c r="H8" i="4"/>
  <c r="H20" i="4"/>
  <c r="H32" i="4"/>
  <c r="I43" i="4"/>
  <c r="K43" i="4" s="1"/>
  <c r="K8" i="6"/>
  <c r="K43" i="7"/>
  <c r="D5" i="1"/>
  <c r="I41" i="3" s="1"/>
  <c r="G8" i="3"/>
  <c r="G43" i="4"/>
  <c r="K65" i="6"/>
  <c r="J41" i="7"/>
  <c r="I39" i="7"/>
  <c r="J39" i="7" s="1"/>
  <c r="K21" i="7"/>
  <c r="K28" i="6"/>
  <c r="K78" i="7"/>
  <c r="H51" i="8"/>
  <c r="J41" i="3"/>
  <c r="G46" i="3"/>
  <c r="K7" i="6"/>
  <c r="H9" i="8"/>
  <c r="H35" i="8"/>
  <c r="K27" i="7"/>
  <c r="K88" i="7"/>
  <c r="H16" i="8"/>
  <c r="F25" i="9"/>
  <c r="E25" i="9"/>
  <c r="D25" i="9"/>
  <c r="K68" i="7"/>
  <c r="H18" i="8"/>
  <c r="H3" i="9"/>
  <c r="H30" i="9"/>
  <c r="H39" i="9"/>
  <c r="K38" i="7"/>
  <c r="R85" i="7"/>
  <c r="S85" i="7" s="1"/>
  <c r="K85" i="7"/>
  <c r="H32" i="9"/>
  <c r="K15" i="10"/>
  <c r="G15" i="10"/>
  <c r="L15" i="10" s="1"/>
  <c r="E15" i="10"/>
  <c r="J15" i="10"/>
  <c r="I15" i="10"/>
  <c r="K8" i="7"/>
  <c r="K53" i="7"/>
  <c r="K77" i="7"/>
  <c r="H8" i="8"/>
  <c r="H52" i="8"/>
  <c r="H15" i="10"/>
  <c r="K28" i="7"/>
  <c r="K89" i="7"/>
  <c r="H27" i="8"/>
  <c r="H42" i="8"/>
  <c r="H29" i="9"/>
  <c r="K43" i="6"/>
  <c r="K52" i="6"/>
  <c r="K23" i="7"/>
  <c r="H22" i="8"/>
  <c r="H44" i="8"/>
  <c r="H2" i="9"/>
  <c r="F33" i="9"/>
  <c r="F34" i="9" s="1"/>
  <c r="K64" i="6"/>
  <c r="K37" i="7"/>
  <c r="K67" i="7"/>
  <c r="J44" i="9"/>
  <c r="F44" i="9" s="1"/>
  <c r="F45" i="9" s="1"/>
  <c r="F46" i="9" s="1"/>
  <c r="H31" i="9"/>
  <c r="F14" i="10"/>
  <c r="K54" i="6"/>
  <c r="H34" i="8"/>
  <c r="H18" i="10"/>
  <c r="G18" i="10"/>
  <c r="L18" i="10" s="1"/>
  <c r="E18" i="10"/>
  <c r="F21" i="10"/>
  <c r="E23" i="10"/>
  <c r="K23" i="10"/>
  <c r="J23" i="10"/>
  <c r="I23" i="10"/>
  <c r="G23" i="10"/>
  <c r="L23" i="10" s="1"/>
  <c r="I55" i="9"/>
  <c r="G55" i="9"/>
  <c r="I18" i="10"/>
  <c r="F20" i="10"/>
  <c r="H23" i="10"/>
  <c r="K15" i="7"/>
  <c r="H11" i="9"/>
  <c r="J14" i="9"/>
  <c r="O14" i="9" s="1"/>
  <c r="H38" i="9"/>
  <c r="J18" i="10"/>
  <c r="K62" i="6"/>
  <c r="I17" i="10"/>
  <c r="G17" i="10"/>
  <c r="E17" i="10"/>
  <c r="K18" i="10"/>
  <c r="K57" i="7"/>
  <c r="G14" i="9"/>
  <c r="E55" i="9"/>
  <c r="H20" i="10"/>
  <c r="L20" i="10" s="1"/>
  <c r="M20" i="10" s="1"/>
  <c r="N20" i="10" s="1"/>
  <c r="F55" i="9"/>
  <c r="H17" i="10"/>
  <c r="I20" i="10"/>
  <c r="L14" i="9"/>
  <c r="H55" i="9"/>
  <c r="J17" i="10"/>
  <c r="G19" i="10"/>
  <c r="L19" i="10" s="1"/>
  <c r="E19" i="10"/>
  <c r="J20" i="10"/>
  <c r="J55" i="9"/>
  <c r="J16" i="10"/>
  <c r="G16" i="10"/>
  <c r="E16" i="10"/>
  <c r="K17" i="10"/>
  <c r="K20" i="10"/>
  <c r="F22" i="10"/>
  <c r="H46" i="8"/>
  <c r="H19" i="10"/>
  <c r="E24" i="10"/>
  <c r="G24" i="10"/>
  <c r="K21" i="10"/>
  <c r="J22" i="10"/>
  <c r="H24" i="10"/>
  <c r="I24" i="10"/>
  <c r="J24" i="10"/>
  <c r="L17" i="10" l="1"/>
  <c r="F16" i="10"/>
  <c r="F15" i="10"/>
  <c r="M15" i="10"/>
  <c r="N15" i="10" s="1"/>
  <c r="H43" i="4"/>
  <c r="L43" i="4"/>
  <c r="M43" i="4" s="1"/>
  <c r="C21" i="11"/>
  <c r="C20" i="11"/>
  <c r="F24" i="10"/>
  <c r="M23" i="10"/>
  <c r="N23" i="10" s="1"/>
  <c r="F23" i="10"/>
  <c r="K39" i="7"/>
  <c r="G41" i="3"/>
  <c r="L24" i="10"/>
  <c r="M24" i="10" s="1"/>
  <c r="N24" i="10" s="1"/>
  <c r="F17" i="10"/>
  <c r="M17" i="10"/>
  <c r="N17" i="10" s="1"/>
  <c r="F18" i="10"/>
  <c r="M18" i="10"/>
  <c r="N18" i="10" s="1"/>
  <c r="K41" i="7"/>
  <c r="M41" i="3"/>
  <c r="N41" i="3" s="1"/>
  <c r="O41" i="3" s="1"/>
  <c r="F19" i="10"/>
  <c r="M19" i="10"/>
  <c r="N19" i="10" s="1"/>
  <c r="H14" i="9"/>
  <c r="P14" i="9"/>
  <c r="Q14" i="9" s="1"/>
  <c r="J41" i="9"/>
  <c r="O41" i="9" s="1"/>
  <c r="P41" i="9" s="1"/>
  <c r="Q41" i="9" s="1"/>
  <c r="H14" i="10"/>
  <c r="L14" i="10" s="1"/>
  <c r="M14" i="10" s="1"/>
  <c r="N14" i="10" s="1"/>
  <c r="J39" i="9"/>
  <c r="O39" i="9" s="1"/>
  <c r="P39" i="9" s="1"/>
  <c r="Q39" i="9" s="1"/>
  <c r="J53" i="8"/>
  <c r="N53" i="8" s="1"/>
  <c r="O53" i="8" s="1"/>
  <c r="P53" i="8" s="1"/>
  <c r="J41" i="8"/>
  <c r="N41" i="8" s="1"/>
  <c r="O41" i="8" s="1"/>
  <c r="P41" i="8" s="1"/>
  <c r="J29" i="8"/>
  <c r="N29" i="8" s="1"/>
  <c r="O29" i="8" s="1"/>
  <c r="P29" i="8" s="1"/>
  <c r="J16" i="8"/>
  <c r="N16" i="8" s="1"/>
  <c r="O16" i="8" s="1"/>
  <c r="P16" i="8" s="1"/>
  <c r="M91" i="7"/>
  <c r="Q91" i="7" s="1"/>
  <c r="R91" i="7" s="1"/>
  <c r="S91" i="7" s="1"/>
  <c r="M77" i="7"/>
  <c r="Q77" i="7" s="1"/>
  <c r="R77" i="7" s="1"/>
  <c r="S77" i="7" s="1"/>
  <c r="M63" i="7"/>
  <c r="Q63" i="7" s="1"/>
  <c r="R63" i="7" s="1"/>
  <c r="S63" i="7" s="1"/>
  <c r="M15" i="7"/>
  <c r="Q15" i="7" s="1"/>
  <c r="R15" i="7" s="1"/>
  <c r="S15" i="7" s="1"/>
  <c r="M6" i="7"/>
  <c r="Q6" i="7" s="1"/>
  <c r="R6" i="7" s="1"/>
  <c r="S6" i="7" s="1"/>
  <c r="J13" i="9"/>
  <c r="O13" i="9" s="1"/>
  <c r="P13" i="9" s="1"/>
  <c r="Q13" i="9" s="1"/>
  <c r="J56" i="8"/>
  <c r="N56" i="8" s="1"/>
  <c r="O56" i="8" s="1"/>
  <c r="P56" i="8" s="1"/>
  <c r="J47" i="8"/>
  <c r="N47" i="8" s="1"/>
  <c r="O47" i="8" s="1"/>
  <c r="P47" i="8" s="1"/>
  <c r="J30" i="8"/>
  <c r="N30" i="8" s="1"/>
  <c r="O30" i="8" s="1"/>
  <c r="P30" i="8" s="1"/>
  <c r="J22" i="8"/>
  <c r="N22" i="8" s="1"/>
  <c r="O22" i="8" s="1"/>
  <c r="P22" i="8" s="1"/>
  <c r="M71" i="7"/>
  <c r="Q71" i="7" s="1"/>
  <c r="R71" i="7" s="1"/>
  <c r="S71" i="7" s="1"/>
  <c r="M56" i="7"/>
  <c r="Q56" i="7" s="1"/>
  <c r="R56" i="7" s="1"/>
  <c r="S56" i="7" s="1"/>
  <c r="M45" i="7"/>
  <c r="Q45" i="7" s="1"/>
  <c r="R45" i="7" s="1"/>
  <c r="S45" i="7" s="1"/>
  <c r="M24" i="7"/>
  <c r="Q24" i="7" s="1"/>
  <c r="R24" i="7" s="1"/>
  <c r="S24" i="7" s="1"/>
  <c r="M11" i="7"/>
  <c r="Q11" i="7" s="1"/>
  <c r="R11" i="7" s="1"/>
  <c r="S11" i="7" s="1"/>
  <c r="M71" i="6"/>
  <c r="Q71" i="6" s="1"/>
  <c r="R71" i="6" s="1"/>
  <c r="S71" i="6" s="1"/>
  <c r="M59" i="6"/>
  <c r="Q59" i="6" s="1"/>
  <c r="R59" i="6" s="1"/>
  <c r="S59" i="6" s="1"/>
  <c r="M47" i="6"/>
  <c r="Q47" i="6" s="1"/>
  <c r="R47" i="6" s="1"/>
  <c r="S47" i="6" s="1"/>
  <c r="M35" i="6"/>
  <c r="Q35" i="6" s="1"/>
  <c r="R35" i="6" s="1"/>
  <c r="S35" i="6" s="1"/>
  <c r="J57" i="8"/>
  <c r="N57" i="8" s="1"/>
  <c r="O57" i="8" s="1"/>
  <c r="P57" i="8" s="1"/>
  <c r="J39" i="8"/>
  <c r="N39" i="8" s="1"/>
  <c r="O39" i="8" s="1"/>
  <c r="P39" i="8" s="1"/>
  <c r="J31" i="8"/>
  <c r="N31" i="8" s="1"/>
  <c r="O31" i="8" s="1"/>
  <c r="P31" i="8" s="1"/>
  <c r="J13" i="8"/>
  <c r="N13" i="8" s="1"/>
  <c r="O13" i="8" s="1"/>
  <c r="P13" i="8" s="1"/>
  <c r="J5" i="8"/>
  <c r="N5" i="8" s="1"/>
  <c r="O5" i="8" s="1"/>
  <c r="P5" i="8" s="1"/>
  <c r="M73" i="7"/>
  <c r="Q73" i="7" s="1"/>
  <c r="R73" i="7" s="1"/>
  <c r="S73" i="7" s="1"/>
  <c r="M46" i="7"/>
  <c r="Q46" i="7" s="1"/>
  <c r="R46" i="7" s="1"/>
  <c r="S46" i="7" s="1"/>
  <c r="M31" i="7"/>
  <c r="Q31" i="7" s="1"/>
  <c r="R31" i="7" s="1"/>
  <c r="S31" i="7" s="1"/>
  <c r="M12" i="7"/>
  <c r="Q12" i="7" s="1"/>
  <c r="R12" i="7" s="1"/>
  <c r="S12" i="7" s="1"/>
  <c r="M61" i="6"/>
  <c r="Q61" i="6" s="1"/>
  <c r="R61" i="6" s="1"/>
  <c r="S61" i="6" s="1"/>
  <c r="M48" i="6"/>
  <c r="Q48" i="6" s="1"/>
  <c r="R48" i="6" s="1"/>
  <c r="S48" i="6" s="1"/>
  <c r="M38" i="6"/>
  <c r="Q38" i="6" s="1"/>
  <c r="R38" i="6" s="1"/>
  <c r="S38" i="6" s="1"/>
  <c r="J10" i="9"/>
  <c r="O10" i="9" s="1"/>
  <c r="P10" i="9" s="1"/>
  <c r="Q10" i="9" s="1"/>
  <c r="J5" i="9"/>
  <c r="O5" i="9" s="1"/>
  <c r="P5" i="9" s="1"/>
  <c r="Q5" i="9" s="1"/>
  <c r="J48" i="8"/>
  <c r="N48" i="8" s="1"/>
  <c r="O48" i="8" s="1"/>
  <c r="P48" i="8" s="1"/>
  <c r="J40" i="8"/>
  <c r="N40" i="8" s="1"/>
  <c r="O40" i="8" s="1"/>
  <c r="P40" i="8" s="1"/>
  <c r="J32" i="8"/>
  <c r="N32" i="8" s="1"/>
  <c r="O32" i="8" s="1"/>
  <c r="P32" i="8" s="1"/>
  <c r="J23" i="8"/>
  <c r="N23" i="8" s="1"/>
  <c r="O23" i="8" s="1"/>
  <c r="P23" i="8" s="1"/>
  <c r="J14" i="8"/>
  <c r="N14" i="8" s="1"/>
  <c r="O14" i="8" s="1"/>
  <c r="P14" i="8" s="1"/>
  <c r="J6" i="8"/>
  <c r="N6" i="8" s="1"/>
  <c r="O6" i="8" s="1"/>
  <c r="P6" i="8" s="1"/>
  <c r="M86" i="7"/>
  <c r="Q86" i="7" s="1"/>
  <c r="R86" i="7" s="1"/>
  <c r="S86" i="7" s="1"/>
  <c r="M64" i="7"/>
  <c r="Q64" i="7" s="1"/>
  <c r="R64" i="7" s="1"/>
  <c r="S64" i="7" s="1"/>
  <c r="M57" i="7"/>
  <c r="Q57" i="7" s="1"/>
  <c r="R57" i="7" s="1"/>
  <c r="S57" i="7" s="1"/>
  <c r="M47" i="7"/>
  <c r="Q47" i="7" s="1"/>
  <c r="R47" i="7" s="1"/>
  <c r="S47" i="7" s="1"/>
  <c r="M14" i="7"/>
  <c r="Q14" i="7" s="1"/>
  <c r="R14" i="7" s="1"/>
  <c r="S14" i="7" s="1"/>
  <c r="M13" i="7"/>
  <c r="Q13" i="7" s="1"/>
  <c r="R13" i="7" s="1"/>
  <c r="S13" i="7" s="1"/>
  <c r="M49" i="6"/>
  <c r="Q49" i="6" s="1"/>
  <c r="R49" i="6" s="1"/>
  <c r="S49" i="6" s="1"/>
  <c r="M39" i="6"/>
  <c r="Q39" i="6" s="1"/>
  <c r="R39" i="6" s="1"/>
  <c r="S39" i="6" s="1"/>
  <c r="M37" i="6"/>
  <c r="Q37" i="6" s="1"/>
  <c r="R37" i="6" s="1"/>
  <c r="S37" i="6" s="1"/>
  <c r="J58" i="8"/>
  <c r="N58" i="8" s="1"/>
  <c r="O58" i="8" s="1"/>
  <c r="P58" i="8" s="1"/>
  <c r="J49" i="8"/>
  <c r="N49" i="8" s="1"/>
  <c r="O49" i="8" s="1"/>
  <c r="P49" i="8" s="1"/>
  <c r="J33" i="8"/>
  <c r="N33" i="8" s="1"/>
  <c r="O33" i="8" s="1"/>
  <c r="P33" i="8" s="1"/>
  <c r="J15" i="8"/>
  <c r="N15" i="8" s="1"/>
  <c r="O15" i="8" s="1"/>
  <c r="P15" i="8" s="1"/>
  <c r="J7" i="8"/>
  <c r="N7" i="8" s="1"/>
  <c r="O7" i="8" s="1"/>
  <c r="P7" i="8" s="1"/>
  <c r="M74" i="7"/>
  <c r="Q74" i="7" s="1"/>
  <c r="R74" i="7" s="1"/>
  <c r="S74" i="7" s="1"/>
  <c r="M65" i="7"/>
  <c r="Q65" i="7" s="1"/>
  <c r="R65" i="7" s="1"/>
  <c r="S65" i="7" s="1"/>
  <c r="M34" i="7"/>
  <c r="Q34" i="7" s="1"/>
  <c r="R34" i="7" s="1"/>
  <c r="S34" i="7" s="1"/>
  <c r="M33" i="7"/>
  <c r="Q33" i="7" s="1"/>
  <c r="R33" i="7" s="1"/>
  <c r="S33" i="7" s="1"/>
  <c r="M32" i="7"/>
  <c r="Q32" i="7" s="1"/>
  <c r="R32" i="7" s="1"/>
  <c r="S32" i="7" s="1"/>
  <c r="M25" i="7"/>
  <c r="Q25" i="7" s="1"/>
  <c r="R25" i="7" s="1"/>
  <c r="S25" i="7" s="1"/>
  <c r="M7" i="7"/>
  <c r="Q7" i="7" s="1"/>
  <c r="R7" i="7" s="1"/>
  <c r="S7" i="7" s="1"/>
  <c r="M62" i="6"/>
  <c r="Q62" i="6" s="1"/>
  <c r="R62" i="6" s="1"/>
  <c r="S62" i="6" s="1"/>
  <c r="M50" i="6"/>
  <c r="Q50" i="6" s="1"/>
  <c r="R50" i="6" s="1"/>
  <c r="S50" i="6" s="1"/>
  <c r="M41" i="6"/>
  <c r="Q41" i="6" s="1"/>
  <c r="R41" i="6" s="1"/>
  <c r="S41" i="6" s="1"/>
  <c r="J37" i="9"/>
  <c r="O37" i="9" s="1"/>
  <c r="P37" i="9" s="1"/>
  <c r="J4" i="9"/>
  <c r="O4" i="9" s="1"/>
  <c r="P4" i="9" s="1"/>
  <c r="Q4" i="9" s="1"/>
  <c r="J50" i="8"/>
  <c r="N50" i="8" s="1"/>
  <c r="O50" i="8" s="1"/>
  <c r="P50" i="8" s="1"/>
  <c r="J24" i="8"/>
  <c r="N24" i="8" s="1"/>
  <c r="O24" i="8" s="1"/>
  <c r="P24" i="8" s="1"/>
  <c r="M87" i="7"/>
  <c r="Q87" i="7" s="1"/>
  <c r="R87" i="7" s="1"/>
  <c r="S87" i="7" s="1"/>
  <c r="M76" i="7"/>
  <c r="Q76" i="7" s="1"/>
  <c r="R76" i="7" s="1"/>
  <c r="S76" i="7" s="1"/>
  <c r="M66" i="7"/>
  <c r="Q66" i="7" s="1"/>
  <c r="R66" i="7" s="1"/>
  <c r="S66" i="7" s="1"/>
  <c r="M58" i="7"/>
  <c r="Q58" i="7" s="1"/>
  <c r="R58" i="7" s="1"/>
  <c r="S58" i="7" s="1"/>
  <c r="M50" i="7"/>
  <c r="Q50" i="7" s="1"/>
  <c r="R50" i="7" s="1"/>
  <c r="S50" i="7" s="1"/>
  <c r="M49" i="7"/>
  <c r="Q49" i="7" s="1"/>
  <c r="R49" i="7" s="1"/>
  <c r="S49" i="7" s="1"/>
  <c r="M36" i="7"/>
  <c r="Q36" i="7" s="1"/>
  <c r="R36" i="7" s="1"/>
  <c r="S36" i="7" s="1"/>
  <c r="M35" i="7"/>
  <c r="Q35" i="7" s="1"/>
  <c r="R35" i="7" s="1"/>
  <c r="S35" i="7" s="1"/>
  <c r="M26" i="7"/>
  <c r="Q26" i="7" s="1"/>
  <c r="R26" i="7" s="1"/>
  <c r="S26" i="7" s="1"/>
  <c r="M51" i="6"/>
  <c r="Q51" i="6" s="1"/>
  <c r="R51" i="6" s="1"/>
  <c r="S51" i="6" s="1"/>
  <c r="J38" i="9"/>
  <c r="O38" i="9" s="1"/>
  <c r="P38" i="9" s="1"/>
  <c r="Q38" i="9" s="1"/>
  <c r="J32" i="9"/>
  <c r="O32" i="9" s="1"/>
  <c r="P32" i="9" s="1"/>
  <c r="Q32" i="9" s="1"/>
  <c r="J11" i="9"/>
  <c r="O11" i="9" s="1"/>
  <c r="P11" i="9" s="1"/>
  <c r="Q11" i="9" s="1"/>
  <c r="J3" i="9"/>
  <c r="O3" i="9" s="1"/>
  <c r="P3" i="9" s="1"/>
  <c r="Q3" i="9" s="1"/>
  <c r="J42" i="8"/>
  <c r="N42" i="8" s="1"/>
  <c r="O42" i="8" s="1"/>
  <c r="P42" i="8" s="1"/>
  <c r="J34" i="8"/>
  <c r="N34" i="8" s="1"/>
  <c r="O34" i="8" s="1"/>
  <c r="P34" i="8" s="1"/>
  <c r="J25" i="8"/>
  <c r="N25" i="8" s="1"/>
  <c r="O25" i="8" s="1"/>
  <c r="P25" i="8" s="1"/>
  <c r="J8" i="8"/>
  <c r="N8" i="8" s="1"/>
  <c r="O8" i="8" s="1"/>
  <c r="P8" i="8" s="1"/>
  <c r="M88" i="7"/>
  <c r="Q88" i="7" s="1"/>
  <c r="R88" i="7" s="1"/>
  <c r="S88" i="7" s="1"/>
  <c r="M67" i="7"/>
  <c r="Q67" i="7" s="1"/>
  <c r="R67" i="7" s="1"/>
  <c r="S67" i="7" s="1"/>
  <c r="M41" i="7"/>
  <c r="Q41" i="7" s="1"/>
  <c r="R41" i="7" s="1"/>
  <c r="S41" i="7" s="1"/>
  <c r="M39" i="7"/>
  <c r="Q39" i="7" s="1"/>
  <c r="R39" i="7" s="1"/>
  <c r="S39" i="7" s="1"/>
  <c r="M38" i="7"/>
  <c r="Q38" i="7" s="1"/>
  <c r="R38" i="7" s="1"/>
  <c r="S38" i="7" s="1"/>
  <c r="M37" i="7"/>
  <c r="Q37" i="7" s="1"/>
  <c r="R37" i="7" s="1"/>
  <c r="S37" i="7" s="1"/>
  <c r="M27" i="7"/>
  <c r="Q27" i="7" s="1"/>
  <c r="R27" i="7" s="1"/>
  <c r="S27" i="7" s="1"/>
  <c r="M64" i="6"/>
  <c r="Q64" i="6" s="1"/>
  <c r="R64" i="6" s="1"/>
  <c r="S64" i="6" s="1"/>
  <c r="M52" i="6"/>
  <c r="Q52" i="6" s="1"/>
  <c r="R52" i="6" s="1"/>
  <c r="S52" i="6" s="1"/>
  <c r="J31" i="9"/>
  <c r="O31" i="9" s="1"/>
  <c r="P31" i="9" s="1"/>
  <c r="Q31" i="9" s="1"/>
  <c r="J30" i="9"/>
  <c r="O30" i="9" s="1"/>
  <c r="P30" i="9" s="1"/>
  <c r="Q30" i="9" s="1"/>
  <c r="J2" i="9"/>
  <c r="O2" i="9" s="1"/>
  <c r="P2" i="9" s="1"/>
  <c r="J51" i="8"/>
  <c r="N51" i="8" s="1"/>
  <c r="O51" i="8" s="1"/>
  <c r="P51" i="8" s="1"/>
  <c r="J43" i="8"/>
  <c r="N43" i="8" s="1"/>
  <c r="O43" i="8" s="1"/>
  <c r="P43" i="8" s="1"/>
  <c r="J26" i="8"/>
  <c r="N26" i="8" s="1"/>
  <c r="O26" i="8" s="1"/>
  <c r="P26" i="8" s="1"/>
  <c r="J17" i="8"/>
  <c r="N17" i="8" s="1"/>
  <c r="O17" i="8" s="1"/>
  <c r="P17" i="8" s="1"/>
  <c r="M51" i="7"/>
  <c r="Q51" i="7" s="1"/>
  <c r="R51" i="7" s="1"/>
  <c r="S51" i="7" s="1"/>
  <c r="M42" i="7"/>
  <c r="Q42" i="7" s="1"/>
  <c r="R42" i="7" s="1"/>
  <c r="S42" i="7" s="1"/>
  <c r="M8" i="7"/>
  <c r="Q8" i="7" s="1"/>
  <c r="R8" i="7" s="1"/>
  <c r="S8" i="7" s="1"/>
  <c r="M53" i="6"/>
  <c r="Q53" i="6" s="1"/>
  <c r="R53" i="6" s="1"/>
  <c r="S53" i="6" s="1"/>
  <c r="H21" i="10"/>
  <c r="L21" i="10" s="1"/>
  <c r="M21" i="10" s="1"/>
  <c r="N21" i="10" s="1"/>
  <c r="J29" i="9"/>
  <c r="J52" i="8"/>
  <c r="N52" i="8" s="1"/>
  <c r="O52" i="8" s="1"/>
  <c r="P52" i="8" s="1"/>
  <c r="J44" i="8"/>
  <c r="N44" i="8" s="1"/>
  <c r="O44" i="8" s="1"/>
  <c r="P44" i="8" s="1"/>
  <c r="J35" i="8"/>
  <c r="N35" i="8" s="1"/>
  <c r="O35" i="8" s="1"/>
  <c r="P35" i="8" s="1"/>
  <c r="J18" i="8"/>
  <c r="N18" i="8" s="1"/>
  <c r="O18" i="8" s="1"/>
  <c r="P18" i="8" s="1"/>
  <c r="J9" i="8"/>
  <c r="N9" i="8" s="1"/>
  <c r="O9" i="8" s="1"/>
  <c r="P9" i="8" s="1"/>
  <c r="M78" i="7"/>
  <c r="Q78" i="7" s="1"/>
  <c r="R78" i="7" s="1"/>
  <c r="S78" i="7" s="1"/>
  <c r="M68" i="7"/>
  <c r="Q68" i="7" s="1"/>
  <c r="R68" i="7" s="1"/>
  <c r="S68" i="7" s="1"/>
  <c r="M59" i="7"/>
  <c r="Q59" i="7" s="1"/>
  <c r="R59" i="7" s="1"/>
  <c r="S59" i="7" s="1"/>
  <c r="M53" i="7"/>
  <c r="Q53" i="7" s="1"/>
  <c r="R53" i="7" s="1"/>
  <c r="S53" i="7" s="1"/>
  <c r="M18" i="7"/>
  <c r="Q18" i="7" s="1"/>
  <c r="R18" i="7" s="1"/>
  <c r="S18" i="7" s="1"/>
  <c r="M17" i="7"/>
  <c r="Q17" i="7" s="1"/>
  <c r="R17" i="7" s="1"/>
  <c r="S17" i="7" s="1"/>
  <c r="M65" i="6"/>
  <c r="Q65" i="6" s="1"/>
  <c r="R65" i="6" s="1"/>
  <c r="S65" i="6" s="1"/>
  <c r="M54" i="6"/>
  <c r="Q54" i="6" s="1"/>
  <c r="R54" i="6" s="1"/>
  <c r="S54" i="6" s="1"/>
  <c r="J12" i="9"/>
  <c r="O12" i="9" s="1"/>
  <c r="P12" i="9" s="1"/>
  <c r="Q12" i="9" s="1"/>
  <c r="J36" i="8"/>
  <c r="N36" i="8" s="1"/>
  <c r="O36" i="8" s="1"/>
  <c r="P36" i="8" s="1"/>
  <c r="J28" i="8"/>
  <c r="N28" i="8" s="1"/>
  <c r="O28" i="8" s="1"/>
  <c r="P28" i="8" s="1"/>
  <c r="J20" i="8"/>
  <c r="N20" i="8" s="1"/>
  <c r="O20" i="8" s="1"/>
  <c r="P20" i="8" s="1"/>
  <c r="J10" i="8"/>
  <c r="N10" i="8" s="1"/>
  <c r="O10" i="8" s="1"/>
  <c r="P10" i="8" s="1"/>
  <c r="M82" i="7"/>
  <c r="Q82" i="7" s="1"/>
  <c r="R82" i="7" s="1"/>
  <c r="S82" i="7" s="1"/>
  <c r="M69" i="7"/>
  <c r="Q69" i="7" s="1"/>
  <c r="R69" i="7" s="1"/>
  <c r="S69" i="7" s="1"/>
  <c r="M54" i="7"/>
  <c r="Q54" i="7" s="1"/>
  <c r="R54" i="7" s="1"/>
  <c r="S54" i="7" s="1"/>
  <c r="M29" i="7"/>
  <c r="Q29" i="7" s="1"/>
  <c r="R29" i="7" s="1"/>
  <c r="S29" i="7" s="1"/>
  <c r="M9" i="7"/>
  <c r="Q9" i="7" s="1"/>
  <c r="R9" i="7" s="1"/>
  <c r="S9" i="7" s="1"/>
  <c r="M68" i="6"/>
  <c r="Q68" i="6" s="1"/>
  <c r="R68" i="6" s="1"/>
  <c r="S68" i="6" s="1"/>
  <c r="M56" i="6"/>
  <c r="Q56" i="6" s="1"/>
  <c r="R56" i="6" s="1"/>
  <c r="S56" i="6" s="1"/>
  <c r="H22" i="10"/>
  <c r="L22" i="10" s="1"/>
  <c r="M22" i="10" s="1"/>
  <c r="N22" i="10" s="1"/>
  <c r="H16" i="10"/>
  <c r="L16" i="10" s="1"/>
  <c r="M16" i="10" s="1"/>
  <c r="N16" i="10" s="1"/>
  <c r="J40" i="9"/>
  <c r="O40" i="9" s="1"/>
  <c r="P40" i="9" s="1"/>
  <c r="Q40" i="9" s="1"/>
  <c r="J55" i="8"/>
  <c r="N55" i="8" s="1"/>
  <c r="O55" i="8" s="1"/>
  <c r="P55" i="8" s="1"/>
  <c r="J38" i="8"/>
  <c r="N38" i="8" s="1"/>
  <c r="O38" i="8" s="1"/>
  <c r="P38" i="8" s="1"/>
  <c r="J12" i="8"/>
  <c r="N12" i="8" s="1"/>
  <c r="O12" i="8" s="1"/>
  <c r="P12" i="8" s="1"/>
  <c r="M83" i="7"/>
  <c r="Q83" i="7" s="1"/>
  <c r="R83" i="7" s="1"/>
  <c r="S83" i="7" s="1"/>
  <c r="M25" i="6"/>
  <c r="Q25" i="6" s="1"/>
  <c r="R25" i="6" s="1"/>
  <c r="S25" i="6" s="1"/>
  <c r="M12" i="6"/>
  <c r="Q12" i="6" s="1"/>
  <c r="R12" i="6" s="1"/>
  <c r="S12" i="6" s="1"/>
  <c r="I39" i="3"/>
  <c r="M39" i="3" s="1"/>
  <c r="N39" i="3" s="1"/>
  <c r="O39" i="3" s="1"/>
  <c r="M30" i="7"/>
  <c r="Q30" i="7" s="1"/>
  <c r="R30" i="7" s="1"/>
  <c r="S30" i="7" s="1"/>
  <c r="M23" i="7"/>
  <c r="Q23" i="7" s="1"/>
  <c r="R23" i="7" s="1"/>
  <c r="S23" i="7" s="1"/>
  <c r="M57" i="6"/>
  <c r="Q57" i="6" s="1"/>
  <c r="R57" i="6" s="1"/>
  <c r="S57" i="6" s="1"/>
  <c r="M32" i="6"/>
  <c r="Q32" i="6" s="1"/>
  <c r="R32" i="6" s="1"/>
  <c r="S32" i="6" s="1"/>
  <c r="M15" i="6"/>
  <c r="Q15" i="6" s="1"/>
  <c r="R15" i="6" s="1"/>
  <c r="S15" i="6" s="1"/>
  <c r="M14" i="6"/>
  <c r="Q14" i="6" s="1"/>
  <c r="R14" i="6" s="1"/>
  <c r="S14" i="6" s="1"/>
  <c r="J54" i="8"/>
  <c r="N54" i="8" s="1"/>
  <c r="O54" i="8" s="1"/>
  <c r="P54" i="8" s="1"/>
  <c r="J27" i="8"/>
  <c r="N27" i="8" s="1"/>
  <c r="O27" i="8" s="1"/>
  <c r="P27" i="8" s="1"/>
  <c r="M89" i="7"/>
  <c r="Q89" i="7" s="1"/>
  <c r="R89" i="7" s="1"/>
  <c r="S89" i="7" s="1"/>
  <c r="M80" i="7"/>
  <c r="Q80" i="7" s="1"/>
  <c r="R80" i="7" s="1"/>
  <c r="S80" i="7" s="1"/>
  <c r="M43" i="6"/>
  <c r="Q43" i="6" s="1"/>
  <c r="R43" i="6" s="1"/>
  <c r="S43" i="6" s="1"/>
  <c r="M26" i="6"/>
  <c r="Q26" i="6" s="1"/>
  <c r="R26" i="6" s="1"/>
  <c r="S26" i="6" s="1"/>
  <c r="I49" i="4"/>
  <c r="K49" i="4" s="1"/>
  <c r="L49" i="4" s="1"/>
  <c r="M49" i="4" s="1"/>
  <c r="I46" i="4"/>
  <c r="K46" i="4" s="1"/>
  <c r="L46" i="4" s="1"/>
  <c r="M46" i="4" s="1"/>
  <c r="I38" i="4"/>
  <c r="K38" i="4" s="1"/>
  <c r="L38" i="4" s="1"/>
  <c r="M38" i="4" s="1"/>
  <c r="N38" i="4" s="1"/>
  <c r="I34" i="4"/>
  <c r="K34" i="4" s="1"/>
  <c r="L34" i="4" s="1"/>
  <c r="M34" i="4" s="1"/>
  <c r="N34" i="4" s="1"/>
  <c r="I30" i="4"/>
  <c r="K30" i="4" s="1"/>
  <c r="L30" i="4" s="1"/>
  <c r="M30" i="4" s="1"/>
  <c r="N30" i="4" s="1"/>
  <c r="I26" i="4"/>
  <c r="K26" i="4" s="1"/>
  <c r="L26" i="4" s="1"/>
  <c r="M26" i="4" s="1"/>
  <c r="N26" i="4" s="1"/>
  <c r="I22" i="4"/>
  <c r="K22" i="4" s="1"/>
  <c r="L22" i="4" s="1"/>
  <c r="M22" i="4" s="1"/>
  <c r="N22" i="4" s="1"/>
  <c r="I18" i="4"/>
  <c r="K18" i="4" s="1"/>
  <c r="L18" i="4" s="1"/>
  <c r="M18" i="4" s="1"/>
  <c r="N18" i="4" s="1"/>
  <c r="I14" i="4"/>
  <c r="K14" i="4" s="1"/>
  <c r="L14" i="4" s="1"/>
  <c r="M14" i="4" s="1"/>
  <c r="N14" i="4" s="1"/>
  <c r="I10" i="4"/>
  <c r="K10" i="4" s="1"/>
  <c r="L10" i="4" s="1"/>
  <c r="M10" i="4" s="1"/>
  <c r="N10" i="4" s="1"/>
  <c r="I6" i="4"/>
  <c r="K6" i="4" s="1"/>
  <c r="L6" i="4" s="1"/>
  <c r="M6" i="4" s="1"/>
  <c r="N6" i="4" s="1"/>
  <c r="I43" i="3"/>
  <c r="M43" i="3" s="1"/>
  <c r="N43" i="3" s="1"/>
  <c r="O43" i="3" s="1"/>
  <c r="J37" i="8"/>
  <c r="N37" i="8" s="1"/>
  <c r="O37" i="8" s="1"/>
  <c r="P37" i="8" s="1"/>
  <c r="M62" i="7"/>
  <c r="Q62" i="7" s="1"/>
  <c r="R62" i="7" s="1"/>
  <c r="S62" i="7" s="1"/>
  <c r="M43" i="7"/>
  <c r="Q43" i="7" s="1"/>
  <c r="R43" i="7" s="1"/>
  <c r="S43" i="7" s="1"/>
  <c r="M28" i="7"/>
  <c r="Q28" i="7" s="1"/>
  <c r="R28" i="7" s="1"/>
  <c r="S28" i="7" s="1"/>
  <c r="M21" i="7"/>
  <c r="Q21" i="7" s="1"/>
  <c r="R21" i="7" s="1"/>
  <c r="S21" i="7" s="1"/>
  <c r="M55" i="6"/>
  <c r="Q55" i="6" s="1"/>
  <c r="R55" i="6" s="1"/>
  <c r="S55" i="6" s="1"/>
  <c r="M46" i="6"/>
  <c r="Q46" i="6" s="1"/>
  <c r="R46" i="6" s="1"/>
  <c r="S46" i="6" s="1"/>
  <c r="M18" i="6"/>
  <c r="Q18" i="6" s="1"/>
  <c r="R18" i="6" s="1"/>
  <c r="S18" i="6" s="1"/>
  <c r="M17" i="6"/>
  <c r="Q17" i="6" s="1"/>
  <c r="R17" i="6" s="1"/>
  <c r="S17" i="6" s="1"/>
  <c r="M16" i="6"/>
  <c r="Q16" i="6" s="1"/>
  <c r="R16" i="6" s="1"/>
  <c r="S16" i="6" s="1"/>
  <c r="I44" i="3"/>
  <c r="M44" i="3" s="1"/>
  <c r="N44" i="3" s="1"/>
  <c r="O44" i="3" s="1"/>
  <c r="M55" i="7"/>
  <c r="Q55" i="7" s="1"/>
  <c r="R55" i="7" s="1"/>
  <c r="S55" i="7" s="1"/>
  <c r="M10" i="7"/>
  <c r="Q10" i="7" s="1"/>
  <c r="R10" i="7" s="1"/>
  <c r="S10" i="7" s="1"/>
  <c r="M33" i="6"/>
  <c r="Q33" i="6" s="1"/>
  <c r="R33" i="6" s="1"/>
  <c r="S33" i="6" s="1"/>
  <c r="M70" i="7"/>
  <c r="Q70" i="7" s="1"/>
  <c r="R70" i="7" s="1"/>
  <c r="S70" i="7" s="1"/>
  <c r="M60" i="7"/>
  <c r="Q60" i="7" s="1"/>
  <c r="R60" i="7" s="1"/>
  <c r="S60" i="7" s="1"/>
  <c r="M19" i="6"/>
  <c r="Q19" i="6" s="1"/>
  <c r="R19" i="6" s="1"/>
  <c r="S19" i="6" s="1"/>
  <c r="J21" i="8"/>
  <c r="N21" i="8" s="1"/>
  <c r="O21" i="8" s="1"/>
  <c r="P21" i="8" s="1"/>
  <c r="J11" i="8"/>
  <c r="N11" i="8" s="1"/>
  <c r="O11" i="8" s="1"/>
  <c r="P11" i="8" s="1"/>
  <c r="M44" i="7"/>
  <c r="Q44" i="7" s="1"/>
  <c r="R44" i="7" s="1"/>
  <c r="S44" i="7" s="1"/>
  <c r="M22" i="7"/>
  <c r="Q22" i="7" s="1"/>
  <c r="R22" i="7" s="1"/>
  <c r="S22" i="7" s="1"/>
  <c r="M19" i="7"/>
  <c r="Q19" i="7" s="1"/>
  <c r="R19" i="7" s="1"/>
  <c r="S19" i="7" s="1"/>
  <c r="M70" i="6"/>
  <c r="Q70" i="6" s="1"/>
  <c r="R70" i="6" s="1"/>
  <c r="S70" i="6" s="1"/>
  <c r="M61" i="7"/>
  <c r="Q61" i="7" s="1"/>
  <c r="R61" i="7" s="1"/>
  <c r="S61" i="7" s="1"/>
  <c r="M45" i="6"/>
  <c r="Q45" i="6" s="1"/>
  <c r="R45" i="6" s="1"/>
  <c r="S45" i="6" s="1"/>
  <c r="M42" i="6"/>
  <c r="Q42" i="6" s="1"/>
  <c r="R42" i="6" s="1"/>
  <c r="S42" i="6" s="1"/>
  <c r="M24" i="6"/>
  <c r="Q24" i="6" s="1"/>
  <c r="R24" i="6" s="1"/>
  <c r="S24" i="6" s="1"/>
  <c r="M23" i="6"/>
  <c r="Q23" i="6" s="1"/>
  <c r="R23" i="6" s="1"/>
  <c r="S23" i="6" s="1"/>
  <c r="M22" i="6"/>
  <c r="Q22" i="6" s="1"/>
  <c r="R22" i="6" s="1"/>
  <c r="S22" i="6" s="1"/>
  <c r="M28" i="6"/>
  <c r="Q28" i="6" s="1"/>
  <c r="R28" i="6" s="1"/>
  <c r="S28" i="6" s="1"/>
  <c r="I29" i="4"/>
  <c r="K29" i="4" s="1"/>
  <c r="L29" i="4" s="1"/>
  <c r="M29" i="4" s="1"/>
  <c r="N29" i="4" s="1"/>
  <c r="I17" i="4"/>
  <c r="K17" i="4" s="1"/>
  <c r="L17" i="4" s="1"/>
  <c r="M17" i="4" s="1"/>
  <c r="N17" i="4" s="1"/>
  <c r="I5" i="4"/>
  <c r="K5" i="4" s="1"/>
  <c r="L5" i="4" s="1"/>
  <c r="M5" i="4" s="1"/>
  <c r="N5" i="4" s="1"/>
  <c r="I47" i="3"/>
  <c r="M47" i="3" s="1"/>
  <c r="N47" i="3" s="1"/>
  <c r="O47" i="3" s="1"/>
  <c r="I29" i="3"/>
  <c r="M29" i="3" s="1"/>
  <c r="N29" i="3" s="1"/>
  <c r="O29" i="3" s="1"/>
  <c r="I23" i="3"/>
  <c r="M23" i="3" s="1"/>
  <c r="N23" i="3" s="1"/>
  <c r="O23" i="3" s="1"/>
  <c r="I13" i="3"/>
  <c r="M13" i="3" s="1"/>
  <c r="N13" i="3" s="1"/>
  <c r="O13" i="3" s="1"/>
  <c r="I4" i="3"/>
  <c r="M4" i="3" s="1"/>
  <c r="N4" i="3" s="1"/>
  <c r="O4" i="3" s="1"/>
  <c r="I14" i="3"/>
  <c r="M14" i="3" s="1"/>
  <c r="N14" i="3" s="1"/>
  <c r="O14" i="3" s="1"/>
  <c r="I6" i="3"/>
  <c r="M6" i="3" s="1"/>
  <c r="N6" i="3" s="1"/>
  <c r="O6" i="3" s="1"/>
  <c r="M34" i="6"/>
  <c r="Q34" i="6" s="1"/>
  <c r="R34" i="6" s="1"/>
  <c r="S34" i="6" s="1"/>
  <c r="M20" i="6"/>
  <c r="Q20" i="6" s="1"/>
  <c r="R20" i="6" s="1"/>
  <c r="S20" i="6" s="1"/>
  <c r="I47" i="4"/>
  <c r="K47" i="4" s="1"/>
  <c r="L47" i="4" s="1"/>
  <c r="M47" i="4" s="1"/>
  <c r="I39" i="4"/>
  <c r="K39" i="4" s="1"/>
  <c r="L39" i="4" s="1"/>
  <c r="M39" i="4" s="1"/>
  <c r="N39" i="4" s="1"/>
  <c r="I27" i="4"/>
  <c r="K27" i="4" s="1"/>
  <c r="L27" i="4" s="1"/>
  <c r="M27" i="4" s="1"/>
  <c r="N27" i="4" s="1"/>
  <c r="I15" i="4"/>
  <c r="K15" i="4" s="1"/>
  <c r="L15" i="4" s="1"/>
  <c r="M15" i="4" s="1"/>
  <c r="N15" i="4" s="1"/>
  <c r="M8" i="6"/>
  <c r="Q8" i="6" s="1"/>
  <c r="R8" i="6" s="1"/>
  <c r="S8" i="6" s="1"/>
  <c r="I45" i="4"/>
  <c r="K45" i="4" s="1"/>
  <c r="L45" i="4" s="1"/>
  <c r="M45" i="4" s="1"/>
  <c r="I35" i="3"/>
  <c r="M35" i="3" s="1"/>
  <c r="N35" i="3" s="1"/>
  <c r="O35" i="3" s="1"/>
  <c r="I30" i="3"/>
  <c r="M30" i="3" s="1"/>
  <c r="N30" i="3" s="1"/>
  <c r="O30" i="3" s="1"/>
  <c r="I24" i="3"/>
  <c r="M24" i="3" s="1"/>
  <c r="N24" i="3" s="1"/>
  <c r="O24" i="3" s="1"/>
  <c r="I15" i="3"/>
  <c r="M15" i="3" s="1"/>
  <c r="N15" i="3" s="1"/>
  <c r="O15" i="3" s="1"/>
  <c r="I5" i="3"/>
  <c r="M5" i="3" s="1"/>
  <c r="N5" i="3" s="1"/>
  <c r="O5" i="3" s="1"/>
  <c r="I28" i="3"/>
  <c r="M28" i="3" s="1"/>
  <c r="N28" i="3" s="1"/>
  <c r="O28" i="3" s="1"/>
  <c r="I32" i="4"/>
  <c r="K32" i="4" s="1"/>
  <c r="L32" i="4" s="1"/>
  <c r="M32" i="4" s="1"/>
  <c r="N32" i="4" s="1"/>
  <c r="I20" i="4"/>
  <c r="K20" i="4" s="1"/>
  <c r="L20" i="4" s="1"/>
  <c r="M20" i="4" s="1"/>
  <c r="N20" i="4" s="1"/>
  <c r="I8" i="4"/>
  <c r="K8" i="4" s="1"/>
  <c r="L8" i="4" s="1"/>
  <c r="M8" i="4" s="1"/>
  <c r="N8" i="4" s="1"/>
  <c r="I42" i="3"/>
  <c r="M42" i="3" s="1"/>
  <c r="N42" i="3" s="1"/>
  <c r="O42" i="3" s="1"/>
  <c r="I16" i="3"/>
  <c r="M16" i="3" s="1"/>
  <c r="N16" i="3" s="1"/>
  <c r="O16" i="3" s="1"/>
  <c r="M7" i="6"/>
  <c r="Q7" i="6" s="1"/>
  <c r="R7" i="6" s="1"/>
  <c r="S7" i="6" s="1"/>
  <c r="I22" i="3"/>
  <c r="M22" i="3" s="1"/>
  <c r="N22" i="3" s="1"/>
  <c r="O22" i="3" s="1"/>
  <c r="I36" i="4"/>
  <c r="K36" i="4" s="1"/>
  <c r="L36" i="4" s="1"/>
  <c r="M36" i="4" s="1"/>
  <c r="N36" i="4" s="1"/>
  <c r="J45" i="8"/>
  <c r="N45" i="8" s="1"/>
  <c r="O45" i="8" s="1"/>
  <c r="P45" i="8" s="1"/>
  <c r="M44" i="6"/>
  <c r="Q44" i="6" s="1"/>
  <c r="R44" i="6" s="1"/>
  <c r="S44" i="6" s="1"/>
  <c r="I37" i="4"/>
  <c r="K37" i="4" s="1"/>
  <c r="L37" i="4" s="1"/>
  <c r="M37" i="4" s="1"/>
  <c r="N37" i="4" s="1"/>
  <c r="I25" i="4"/>
  <c r="K25" i="4" s="1"/>
  <c r="L25" i="4" s="1"/>
  <c r="M25" i="4" s="1"/>
  <c r="N25" i="4" s="1"/>
  <c r="I13" i="4"/>
  <c r="K13" i="4" s="1"/>
  <c r="L13" i="4" s="1"/>
  <c r="M13" i="4" s="1"/>
  <c r="N13" i="4" s="1"/>
  <c r="I49" i="3"/>
  <c r="M49" i="3" s="1"/>
  <c r="N49" i="3" s="1"/>
  <c r="O49" i="3" s="1"/>
  <c r="I36" i="3"/>
  <c r="M36" i="3" s="1"/>
  <c r="N36" i="3" s="1"/>
  <c r="O36" i="3" s="1"/>
  <c r="I31" i="3"/>
  <c r="M31" i="3" s="1"/>
  <c r="N31" i="3" s="1"/>
  <c r="O31" i="3" s="1"/>
  <c r="I25" i="3"/>
  <c r="M25" i="3" s="1"/>
  <c r="N25" i="3" s="1"/>
  <c r="O25" i="3" s="1"/>
  <c r="I17" i="3"/>
  <c r="M17" i="3" s="1"/>
  <c r="N17" i="3" s="1"/>
  <c r="O17" i="3" s="1"/>
  <c r="I18" i="3"/>
  <c r="M18" i="3" s="1"/>
  <c r="N18" i="3" s="1"/>
  <c r="O18" i="3" s="1"/>
  <c r="I7" i="3"/>
  <c r="M7" i="3" s="1"/>
  <c r="N7" i="3" s="1"/>
  <c r="O7" i="3" s="1"/>
  <c r="M30" i="6"/>
  <c r="Q30" i="6" s="1"/>
  <c r="R30" i="6" s="1"/>
  <c r="S30" i="6" s="1"/>
  <c r="M21" i="6"/>
  <c r="Q21" i="6" s="1"/>
  <c r="R21" i="6" s="1"/>
  <c r="S21" i="6" s="1"/>
  <c r="M9" i="6"/>
  <c r="Q9" i="6" s="1"/>
  <c r="R9" i="6" s="1"/>
  <c r="S9" i="6" s="1"/>
  <c r="I35" i="4"/>
  <c r="K35" i="4" s="1"/>
  <c r="L35" i="4" s="1"/>
  <c r="M35" i="4" s="1"/>
  <c r="N35" i="4" s="1"/>
  <c r="I23" i="4"/>
  <c r="K23" i="4" s="1"/>
  <c r="L23" i="4" s="1"/>
  <c r="M23" i="4" s="1"/>
  <c r="N23" i="4" s="1"/>
  <c r="I11" i="4"/>
  <c r="K11" i="4" s="1"/>
  <c r="L11" i="4" s="1"/>
  <c r="M11" i="4" s="1"/>
  <c r="N11" i="4" s="1"/>
  <c r="I10" i="3"/>
  <c r="M10" i="3" s="1"/>
  <c r="N10" i="3" s="1"/>
  <c r="O10" i="3" s="1"/>
  <c r="I46" i="3"/>
  <c r="M46" i="3" s="1"/>
  <c r="N46" i="3" s="1"/>
  <c r="O46" i="3" s="1"/>
  <c r="I34" i="3"/>
  <c r="M34" i="3" s="1"/>
  <c r="N34" i="3" s="1"/>
  <c r="O34" i="3" s="1"/>
  <c r="M11" i="6"/>
  <c r="Q11" i="6" s="1"/>
  <c r="R11" i="6" s="1"/>
  <c r="S11" i="6" s="1"/>
  <c r="I12" i="3"/>
  <c r="M12" i="3" s="1"/>
  <c r="N12" i="3" s="1"/>
  <c r="O12" i="3" s="1"/>
  <c r="J19" i="8"/>
  <c r="N19" i="8" s="1"/>
  <c r="O19" i="8" s="1"/>
  <c r="P19" i="8" s="1"/>
  <c r="M66" i="6"/>
  <c r="Q66" i="6" s="1"/>
  <c r="R66" i="6" s="1"/>
  <c r="S66" i="6" s="1"/>
  <c r="I51" i="4"/>
  <c r="K51" i="4" s="1"/>
  <c r="L51" i="4" s="1"/>
  <c r="M51" i="4" s="1"/>
  <c r="N51" i="4" s="1"/>
  <c r="I37" i="3"/>
  <c r="M37" i="3" s="1"/>
  <c r="N37" i="3" s="1"/>
  <c r="O37" i="3" s="1"/>
  <c r="I32" i="3"/>
  <c r="M32" i="3" s="1"/>
  <c r="N32" i="3" s="1"/>
  <c r="O32" i="3" s="1"/>
  <c r="I26" i="3"/>
  <c r="M26" i="3" s="1"/>
  <c r="N26" i="3" s="1"/>
  <c r="O26" i="3" s="1"/>
  <c r="I19" i="3"/>
  <c r="M19" i="3" s="1"/>
  <c r="N19" i="3" s="1"/>
  <c r="O19" i="3" s="1"/>
  <c r="M20" i="7"/>
  <c r="Q20" i="7" s="1"/>
  <c r="R20" i="7" s="1"/>
  <c r="S20" i="7" s="1"/>
  <c r="I48" i="4"/>
  <c r="K48" i="4" s="1"/>
  <c r="L48" i="4" s="1"/>
  <c r="M48" i="4" s="1"/>
  <c r="I28" i="4"/>
  <c r="K28" i="4" s="1"/>
  <c r="L28" i="4" s="1"/>
  <c r="M28" i="4" s="1"/>
  <c r="N28" i="4" s="1"/>
  <c r="I16" i="4"/>
  <c r="K16" i="4" s="1"/>
  <c r="L16" i="4" s="1"/>
  <c r="M16" i="4" s="1"/>
  <c r="N16" i="4" s="1"/>
  <c r="I4" i="4"/>
  <c r="K4" i="4" s="1"/>
  <c r="L4" i="4" s="1"/>
  <c r="M4" i="4" s="1"/>
  <c r="N4" i="4" s="1"/>
  <c r="I38" i="3"/>
  <c r="M38" i="3" s="1"/>
  <c r="N38" i="3" s="1"/>
  <c r="O38" i="3" s="1"/>
  <c r="I20" i="3"/>
  <c r="M20" i="3" s="1"/>
  <c r="N20" i="3" s="1"/>
  <c r="O20" i="3" s="1"/>
  <c r="I8" i="3"/>
  <c r="M8" i="3" s="1"/>
  <c r="N8" i="3" s="1"/>
  <c r="O8" i="3" s="1"/>
  <c r="I44" i="4"/>
  <c r="K44" i="4" s="1"/>
  <c r="L44" i="4" s="1"/>
  <c r="M44" i="4" s="1"/>
  <c r="I33" i="4"/>
  <c r="K33" i="4" s="1"/>
  <c r="L33" i="4" s="1"/>
  <c r="M33" i="4" s="1"/>
  <c r="N33" i="4" s="1"/>
  <c r="I21" i="4"/>
  <c r="K21" i="4" s="1"/>
  <c r="L21" i="4" s="1"/>
  <c r="M21" i="4" s="1"/>
  <c r="N21" i="4" s="1"/>
  <c r="I9" i="4"/>
  <c r="K9" i="4" s="1"/>
  <c r="L9" i="4" s="1"/>
  <c r="M9" i="4" s="1"/>
  <c r="N9" i="4" s="1"/>
  <c r="I45" i="3"/>
  <c r="M45" i="3" s="1"/>
  <c r="N45" i="3" s="1"/>
  <c r="O45" i="3" s="1"/>
  <c r="I33" i="3"/>
  <c r="M33" i="3" s="1"/>
  <c r="N33" i="3" s="1"/>
  <c r="O33" i="3" s="1"/>
  <c r="I27" i="3"/>
  <c r="M27" i="3" s="1"/>
  <c r="N27" i="3" s="1"/>
  <c r="O27" i="3" s="1"/>
  <c r="I21" i="3"/>
  <c r="M21" i="3" s="1"/>
  <c r="N21" i="3" s="1"/>
  <c r="O21" i="3" s="1"/>
  <c r="I9" i="3"/>
  <c r="M9" i="3" s="1"/>
  <c r="N9" i="3" s="1"/>
  <c r="O9" i="3" s="1"/>
  <c r="I11" i="3"/>
  <c r="M11" i="3" s="1"/>
  <c r="N11" i="3" s="1"/>
  <c r="O11" i="3" s="1"/>
  <c r="I24" i="4"/>
  <c r="K24" i="4" s="1"/>
  <c r="L24" i="4" s="1"/>
  <c r="M24" i="4" s="1"/>
  <c r="N24" i="4" s="1"/>
  <c r="I12" i="4"/>
  <c r="K12" i="4" s="1"/>
  <c r="L12" i="4" s="1"/>
  <c r="M12" i="4" s="1"/>
  <c r="N12" i="4" s="1"/>
  <c r="J46" i="8"/>
  <c r="N46" i="8" s="1"/>
  <c r="O46" i="8" s="1"/>
  <c r="P46" i="8" s="1"/>
  <c r="M58" i="6"/>
  <c r="Q58" i="6" s="1"/>
  <c r="R58" i="6" s="1"/>
  <c r="S58" i="6" s="1"/>
  <c r="M31" i="6"/>
  <c r="Q31" i="6" s="1"/>
  <c r="R31" i="6" s="1"/>
  <c r="S31" i="6" s="1"/>
  <c r="M10" i="6"/>
  <c r="Q10" i="6" s="1"/>
  <c r="R10" i="6" s="1"/>
  <c r="S10" i="6" s="1"/>
  <c r="I31" i="4"/>
  <c r="K31" i="4" s="1"/>
  <c r="L31" i="4" s="1"/>
  <c r="M31" i="4" s="1"/>
  <c r="N31" i="4" s="1"/>
  <c r="I19" i="4"/>
  <c r="K19" i="4" s="1"/>
  <c r="L19" i="4" s="1"/>
  <c r="M19" i="4" s="1"/>
  <c r="N19" i="4" s="1"/>
  <c r="I7" i="4"/>
  <c r="K7" i="4" s="1"/>
  <c r="L7" i="4" s="1"/>
  <c r="M7" i="4" s="1"/>
  <c r="N7" i="4" s="1"/>
  <c r="N3" i="4" l="1"/>
  <c r="P3" i="4" s="1"/>
  <c r="O29" i="9"/>
  <c r="J33" i="9"/>
  <c r="J34" i="9" s="1"/>
  <c r="C22" i="11"/>
  <c r="E50" i="9"/>
  <c r="Q37" i="9"/>
  <c r="Q2" i="9"/>
  <c r="D19" i="9"/>
  <c r="D23" i="9" s="1"/>
  <c r="D26" i="9" l="1"/>
  <c r="F26" i="9"/>
  <c r="E26" i="9"/>
  <c r="O33" i="9"/>
  <c r="O34" i="9" s="1"/>
  <c r="P29" i="9"/>
  <c r="Q29" i="9" l="1"/>
  <c r="P33" i="9"/>
  <c r="P34" i="9" s="1"/>
  <c r="E48" i="9"/>
  <c r="E56" i="9" l="1"/>
  <c r="E52" i="9"/>
  <c r="G56" i="9" l="1"/>
  <c r="E53" i="9"/>
  <c r="I56" i="9"/>
  <c r="F56" i="9"/>
  <c r="H56" i="9"/>
</calcChain>
</file>

<file path=xl/comments1.xml><?xml version="1.0" encoding="utf-8"?>
<comments xmlns="http://schemas.openxmlformats.org/spreadsheetml/2006/main">
  <authors>
    <author/>
  </authors>
  <commentList>
    <comment ref="C17" authorId="0" shapeId="0">
      <text>
        <r>
          <rPr>
            <sz val="12"/>
            <color rgb="FF000000"/>
            <rFont val="Arial"/>
            <family val="2"/>
            <scheme val="minor"/>
          </rPr>
          <t>======
ID#AAAAGOY67Yc
邱煜庭    (2020-02-19 04:25:53)
建議售價 = （銷售費用+產品成本）/（1-期待利潤）</t>
        </r>
      </text>
    </comment>
    <comment ref="C18" authorId="0" shapeId="0">
      <text>
        <r>
          <rPr>
            <sz val="12"/>
            <color rgb="FF000000"/>
            <rFont val="Arial"/>
            <family val="2"/>
            <scheme val="minor"/>
          </rPr>
          <t>======
ID#AAAAGOY67Yk
邱煜庭    (2020-02-19 04:26:35)
預期銷售費用 = 建議售價 x 營業費用占比</t>
        </r>
      </text>
    </comment>
    <comment ref="C19" authorId="0" shapeId="0">
      <text>
        <r>
          <rPr>
            <sz val="12"/>
            <color rgb="FF000000"/>
            <rFont val="Arial"/>
            <family val="2"/>
            <scheme val="minor"/>
          </rPr>
          <t>======
ID#AAAAGOY67Y0
邱煜庭    (2020-02-19 04:28:31)
目標營業額 = 固定費用 / （建議售價 - 預期銷售費用 - 產品成本）/建議售價</t>
        </r>
      </text>
    </comment>
    <comment ref="C20" authorId="0" shapeId="0">
      <text>
        <r>
          <rPr>
            <sz val="12"/>
            <color rgb="FF000000"/>
            <rFont val="Arial"/>
            <family val="2"/>
            <scheme val="minor"/>
          </rPr>
          <t>======
ID#AAAAGOY67Y4
邱煜庭    (2020-02-19 04:28:57)
目標銷量 = 目標營業額 / 建議售價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vDxgXndRbvNG60exjYMWe+jSfg=="/>
    </ext>
  </extLst>
</comments>
</file>

<file path=xl/sharedStrings.xml><?xml version="1.0" encoding="utf-8"?>
<sst xmlns="http://schemas.openxmlformats.org/spreadsheetml/2006/main" count="934" uniqueCount="394">
  <si>
    <r>
      <rPr>
        <sz val="14"/>
        <color rgb="FF000000"/>
        <rFont val="蘭亭黑-繁 纖黑"/>
        <family val="3"/>
        <charset val="136"/>
      </rPr>
      <t>請</t>
    </r>
    <r>
      <rPr>
        <sz val="14"/>
        <color rgb="FFFF0000"/>
        <rFont val="蘭亭黑-繁 纖黑"/>
        <family val="3"/>
        <charset val="136"/>
      </rPr>
      <t>填寫黃底欄位</t>
    </r>
    <r>
      <rPr>
        <sz val="14"/>
        <color rgb="FF000000"/>
        <rFont val="蘭亭黑-繁 纖黑"/>
        <family val="3"/>
        <charset val="136"/>
      </rPr>
      <t>，其餘欄位勿動</t>
    </r>
  </si>
  <si>
    <r>
      <rPr>
        <sz val="14"/>
        <color rgb="FF000000"/>
        <rFont val="蘭亭黑-繁 纖黑"/>
        <family val="3"/>
        <charset val="136"/>
      </rPr>
      <t>可透過歷史數據計算佔比（例：前一年度），新品牌則以產業均值、</t>
    </r>
    <r>
      <rPr>
        <sz val="14"/>
        <color rgb="FFFF0000"/>
        <rFont val="蘭亭黑-繁 纖黑"/>
        <family val="3"/>
        <charset val="136"/>
      </rPr>
      <t>預估營業額</t>
    </r>
    <r>
      <rPr>
        <sz val="14"/>
        <color rgb="FF000000"/>
        <rFont val="蘭亭黑-繁 纖黑"/>
        <family val="3"/>
        <charset val="136"/>
      </rPr>
      <t>計算</t>
    </r>
  </si>
  <si>
    <t>項目</t>
  </si>
  <si>
    <t>說明</t>
  </si>
  <si>
    <t>全年度金額</t>
  </si>
  <si>
    <t>佔比</t>
  </si>
  <si>
    <t>單月</t>
  </si>
  <si>
    <t>總年度業績</t>
  </si>
  <si>
    <t>前一年度業績（含通路）
如無歷史業績，則填寫目標業績</t>
  </si>
  <si>
    <t>n/a</t>
  </si>
  <si>
    <t>營業費用</t>
  </si>
  <si>
    <t>網站、房租水電、人事、營業設備 (攤提/折舊)</t>
  </si>
  <si>
    <t>行銷費用</t>
  </si>
  <si>
    <t>廣告、口碑、代言、電子報、簡訊等 (均值30%)</t>
  </si>
  <si>
    <t>金流費用佔比</t>
  </si>
  <si>
    <t>刷卡、第三方、代收等 (均值約2%)</t>
  </si>
  <si>
    <t>運費成本占比</t>
  </si>
  <si>
    <r>
      <rPr>
        <sz val="14"/>
        <color rgb="FF000000"/>
        <rFont val="蘭亭黑-繁 纖黑"/>
        <family val="3"/>
        <charset val="136"/>
      </rPr>
      <t xml:space="preserve">計算一：( 免運訂單數/總訂單數 ) * (運費/客單)
計算二：( 免運訂單數*運費 ) / 營收
計算三：運費成本/免運門檻 </t>
    </r>
    <r>
      <rPr>
        <sz val="8"/>
        <color rgb="FFFF0000"/>
        <rFont val="蘭亭黑-繁 纖黑"/>
        <family val="3"/>
        <charset val="136"/>
      </rPr>
      <t>*無過往數據時使用</t>
    </r>
  </si>
  <si>
    <t>定倍率均質</t>
  </si>
  <si>
    <t>平均售價/平均產品成本</t>
  </si>
  <si>
    <t>超取運費 150</t>
  </si>
  <si>
    <t>平均運費成本</t>
  </si>
  <si>
    <t>(物流費+包材費) x (1+退貨率)</t>
  </si>
  <si>
    <t>宅配運費 210</t>
  </si>
  <si>
    <t>冷凍/冷藏宅配</t>
  </si>
  <si>
    <t>大榮</t>
  </si>
  <si>
    <t>1.半才：150</t>
  </si>
  <si>
    <t>2.一才：210</t>
  </si>
  <si>
    <t>3.二才：270</t>
  </si>
  <si>
    <t>4.三才：330</t>
  </si>
  <si>
    <t>黑貓</t>
  </si>
  <si>
    <t>1.60公分：160</t>
  </si>
  <si>
    <t>2.90公分：225</t>
  </si>
  <si>
    <t>3.120公分：290</t>
  </si>
  <si>
    <t>121-150公分</t>
  </si>
  <si>
    <t>包材$40</t>
  </si>
  <si>
    <t>保麗龍30+緩衝物 10</t>
  </si>
  <si>
    <r>
      <rPr>
        <b/>
        <sz val="12"/>
        <color theme="1"/>
        <rFont val="Arial"/>
        <family val="2"/>
      </rPr>
      <t>成本/</t>
    </r>
    <r>
      <rPr>
        <b/>
        <sz val="12"/>
        <color rgb="FFFF0000"/>
        <rFont val="Arial"/>
        <family val="2"/>
      </rPr>
      <t>年</t>
    </r>
  </si>
  <si>
    <t>內容</t>
  </si>
  <si>
    <t>備註</t>
  </si>
  <si>
    <t>保險費</t>
  </si>
  <si>
    <t>產品投保責任險</t>
  </si>
  <si>
    <t xml:space="preserve"> </t>
  </si>
  <si>
    <t>產品條碼</t>
  </si>
  <si>
    <t>條碼使用期限3年，3年後需繳交17000元</t>
  </si>
  <si>
    <t>記帳士費用</t>
  </si>
  <si>
    <t>外請記帳士協助每月報帳事宜</t>
  </si>
  <si>
    <r>
      <rPr>
        <sz val="11"/>
        <color theme="1"/>
        <rFont val="Arial"/>
        <family val="2"/>
      </rPr>
      <t>鐵比倫花園1200/</t>
    </r>
    <r>
      <rPr>
        <sz val="11"/>
        <color rgb="FFFF0000"/>
        <rFont val="Arial"/>
        <family val="2"/>
      </rPr>
      <t>月</t>
    </r>
    <r>
      <rPr>
        <sz val="11"/>
        <color theme="1"/>
        <rFont val="Arial"/>
        <family val="2"/>
      </rPr>
      <t>、鐵比倫有限公司6000/</t>
    </r>
    <r>
      <rPr>
        <sz val="11"/>
        <color rgb="FFFF0000"/>
        <rFont val="Arial"/>
        <family val="2"/>
      </rPr>
      <t>年</t>
    </r>
  </si>
  <si>
    <t>油資</t>
  </si>
  <si>
    <t>概括平均300/月</t>
  </si>
  <si>
    <t>埔里地區目前親送的廠商，包含酒廠、農會、九族、日月町</t>
  </si>
  <si>
    <t>人事費</t>
  </si>
  <si>
    <t>正職*2+PT</t>
  </si>
  <si>
    <t>-正職*2(我都先算5萬)
50000*2*12 = 1,200,000 
-PT/年=200000
1200000+200000 = 1,400,000</t>
  </si>
  <si>
    <t>房租 (倉庫)</t>
  </si>
  <si>
    <t>5000/月</t>
  </si>
  <si>
    <t>工廠是自己的，旁邊倉庫是租借的</t>
  </si>
  <si>
    <t>運費</t>
  </si>
  <si>
    <t>新竹物流運費</t>
  </si>
  <si>
    <t>此為114年總運費金額</t>
  </si>
  <si>
    <t>官網</t>
  </si>
  <si>
    <t>QDM 年費</t>
  </si>
  <si>
    <t>雜支</t>
  </si>
  <si>
    <t>車輛保養維修、辦公用具採買、生產用消耗品...等</t>
  </si>
  <si>
    <t>設備攤提</t>
  </si>
  <si>
    <t>水電費</t>
  </si>
  <si>
    <t>此為114年總水電費金額</t>
  </si>
  <si>
    <t>產品成本：讓產品可直接販售產生的所有成本 (原料/外包裝/製作人事/製造設備攤提折舊..等）</t>
  </si>
  <si>
    <t>產品</t>
  </si>
  <si>
    <t>銷售費用</t>
  </si>
  <si>
    <t>通路/規格</t>
  </si>
  <si>
    <t>MOQ</t>
  </si>
  <si>
    <t>品名</t>
  </si>
  <si>
    <t>售價</t>
  </si>
  <si>
    <t>批價</t>
  </si>
  <si>
    <t>基本折數</t>
  </si>
  <si>
    <t>產品成本</t>
  </si>
  <si>
    <t>商品毛利</t>
  </si>
  <si>
    <t>商品毛利率</t>
  </si>
  <si>
    <t>運費負擔</t>
  </si>
  <si>
    <t>金流費用</t>
  </si>
  <si>
    <t>發票5%</t>
  </si>
  <si>
    <t>費用小計</t>
  </si>
  <si>
    <t>淨利</t>
  </si>
  <si>
    <t>淨利率</t>
  </si>
  <si>
    <t>ODM/貼牌</t>
  </si>
  <si>
    <t>品牌方提供產品規格、設計圖、配方，代工廠依此生產。</t>
  </si>
  <si>
    <t>批發-台糖
(單顆包裝夾鏈袋260g)
客戶：花蓮糖廠</t>
  </si>
  <si>
    <t>長期合作，看他們貨量，有叫就送沒有固定</t>
  </si>
  <si>
    <t xml:space="preserve">原味黑糖 </t>
  </si>
  <si>
    <t>薑汁黑糖</t>
  </si>
  <si>
    <t>桂圓黑糖</t>
  </si>
  <si>
    <t>玫瑰四物黑糖</t>
  </si>
  <si>
    <t>桂圓紅棗薑黑糖</t>
  </si>
  <si>
    <t>冬瓜</t>
  </si>
  <si>
    <t>批發-台糖
(手切夾鏈袋380g)
客戶：花蓮糖廠</t>
  </si>
  <si>
    <t>批發-農會
(手切夾鏈袋380g)</t>
  </si>
  <si>
    <t>36包(一箱)</t>
  </si>
  <si>
    <r>
      <rPr>
        <sz val="12"/>
        <color theme="1"/>
        <rFont val="Microsoft JhengHei"/>
        <family val="2"/>
        <charset val="136"/>
      </rPr>
      <t>貼牌客戶</t>
    </r>
    <r>
      <rPr>
        <b/>
        <sz val="12"/>
        <color theme="1"/>
        <rFont val="Microsoft JhengHei"/>
        <family val="2"/>
        <charset val="136"/>
      </rPr>
      <t>-埔里農會
(手切夾鏈袋380g)</t>
    </r>
  </si>
  <si>
    <t>批發-
(手切夾鏈袋380g)</t>
  </si>
  <si>
    <t>手切(每台斤)</t>
  </si>
  <si>
    <t>40台斤(一箱)</t>
  </si>
  <si>
    <t>單顆包(每台斤）</t>
  </si>
  <si>
    <t>25台斤(一箱)</t>
  </si>
  <si>
    <t>桂圓紅棗薑</t>
  </si>
  <si>
    <t>蜜類-350ml</t>
  </si>
  <si>
    <t>黑糖蜜</t>
  </si>
  <si>
    <t>蜜類-150ml</t>
  </si>
  <si>
    <t>黑糖檸檬</t>
  </si>
  <si>
    <t>百香果黑糖</t>
  </si>
  <si>
    <t>梅精黑糖</t>
  </si>
  <si>
    <t>通路上架</t>
  </si>
  <si>
    <t>日月町罐裝(160g）</t>
  </si>
  <si>
    <t>日月町禮盒組</t>
  </si>
  <si>
    <t>2入任搭組合</t>
  </si>
  <si>
    <t>OEM：客戶提供產品規格、設計圖、配方，我們依照客戶需求生產。</t>
  </si>
  <si>
    <t>科技中藥廠</t>
  </si>
  <si>
    <t>黑糖薑母茶</t>
  </si>
  <si>
    <t>競品</t>
  </si>
  <si>
    <t>就是愛海鮮</t>
  </si>
  <si>
    <t>海陸奢華霸王組8~10人
贈玫瑰鹽一罐(市價89元)</t>
  </si>
  <si>
    <t>真美味</t>
  </si>
  <si>
    <t>五星級海陸烤肉組(5-8人份)</t>
  </si>
  <si>
    <t>達米肉舖</t>
  </si>
  <si>
    <t>超值燒肉烤肉組</t>
  </si>
  <si>
    <t>愛上吃肉</t>
  </si>
  <si>
    <t>中秋烤肉海陸豪華14件組(約5-7人/份)</t>
  </si>
  <si>
    <t>客戶/通路</t>
  </si>
  <si>
    <t>合作方式/MOQ</t>
  </si>
  <si>
    <t>2025訂購數量</t>
  </si>
  <si>
    <t>商品貢獻淨利</t>
  </si>
  <si>
    <t>營業額</t>
  </si>
  <si>
    <t>批發-台糖
(單顆包裝夾鏈袋260g)</t>
  </si>
  <si>
    <t>批發-台糖
(手切夾鏈袋380g)</t>
  </si>
  <si>
    <r>
      <rPr>
        <sz val="12"/>
        <color theme="1"/>
        <rFont val="Microsoft JhengHei"/>
        <family val="2"/>
        <charset val="136"/>
      </rPr>
      <t>貼牌客戶</t>
    </r>
    <r>
      <rPr>
        <b/>
        <sz val="12"/>
        <color theme="1"/>
        <rFont val="Microsoft JhengHei"/>
        <family val="2"/>
        <charset val="136"/>
      </rPr>
      <t>-埔里農會
(手切夾鏈袋380g)</t>
    </r>
  </si>
  <si>
    <t>蜜類-1890ml</t>
  </si>
  <si>
    <t>目前公司的訂購規則：MOQ、量價</t>
  </si>
  <si>
    <t>售價 (選填)</t>
  </si>
  <si>
    <t>訂購量(單位)</t>
  </si>
  <si>
    <t>折數</t>
  </si>
  <si>
    <t>營業</t>
  </si>
  <si>
    <t>行銷</t>
  </si>
  <si>
    <t>金流</t>
  </si>
  <si>
    <r>
      <rPr>
        <sz val="14"/>
        <color rgb="FF000000"/>
        <rFont val="蘭亭黑-繁 纖黑"/>
        <family val="3"/>
        <charset val="136"/>
      </rPr>
      <t>請填寫</t>
    </r>
    <r>
      <rPr>
        <sz val="14"/>
        <color rgb="FFFF0000"/>
        <rFont val="蘭亭黑-繁 纖黑"/>
        <family val="3"/>
        <charset val="136"/>
      </rPr>
      <t>黃底欄位</t>
    </r>
    <r>
      <rPr>
        <sz val="14"/>
        <color rgb="FF000000"/>
        <rFont val="蘭亭黑-繁 纖黑"/>
        <family val="3"/>
        <charset val="136"/>
      </rPr>
      <t>，其餘欄位勿動，各費用占比請於分頁1調整</t>
    </r>
  </si>
  <si>
    <t>建議免運門檻設置：滿$2500免運；未滿$2500，運費 $180</t>
  </si>
  <si>
    <t>SKU</t>
  </si>
  <si>
    <t>原始定價</t>
  </si>
  <si>
    <t>調整品名</t>
  </si>
  <si>
    <t>建議定價</t>
  </si>
  <si>
    <t>建議售價</t>
  </si>
  <si>
    <t>湯品</t>
  </si>
  <si>
    <t>F10001</t>
  </si>
  <si>
    <t>鹿骨藥膳燉烏雞</t>
  </si>
  <si>
    <t>F10002</t>
  </si>
  <si>
    <t>御皇極品牛肉爐</t>
  </si>
  <si>
    <t>F17002</t>
  </si>
  <si>
    <t>無花果牛肉湯</t>
  </si>
  <si>
    <t>無花果牛肉湯1入</t>
  </si>
  <si>
    <t>F17003</t>
  </si>
  <si>
    <t>沙蔘玉竹雞湯</t>
  </si>
  <si>
    <t>沙蔘玉竹雞湯1入</t>
  </si>
  <si>
    <t>F17004</t>
  </si>
  <si>
    <t>野菇菌雞湯1入</t>
  </si>
  <si>
    <t>F90001</t>
  </si>
  <si>
    <t>煨湯禮盒套組
(野菇菌雞湯x2+無花果牛肉湯1+沙蔘玉竹雞x1)</t>
  </si>
  <si>
    <r>
      <rPr>
        <b/>
        <sz val="12"/>
        <color rgb="FFFF0000"/>
        <rFont val="微軟正黑體, sans-serif"/>
        <family val="3"/>
        <charset val="136"/>
      </rPr>
      <t>超商取貨免運</t>
    </r>
    <r>
      <rPr>
        <b/>
        <sz val="12"/>
        <color rgb="FF000000"/>
        <rFont val="微軟正黑體, sans-serif"/>
        <family val="3"/>
        <charset val="136"/>
      </rPr>
      <t xml:space="preserve">
</t>
    </r>
    <r>
      <rPr>
        <sz val="12"/>
        <color rgb="FF000000"/>
        <rFont val="微軟正黑體, sans-serif"/>
        <family val="3"/>
        <charset val="136"/>
      </rPr>
      <t>煨湯禮盒套組
(野菇菌雞湯x2+無花果牛肉湯1+沙蔘玉竹雞x1)</t>
    </r>
  </si>
  <si>
    <t>牛肉麵系列</t>
  </si>
  <si>
    <t>F15002</t>
  </si>
  <si>
    <t xml:space="preserve">原汁牛筋湯 </t>
  </si>
  <si>
    <t xml:space="preserve">原汁牛肉麵 (牛筋) </t>
  </si>
  <si>
    <t>原汁牛肉麵 (牛筋) 3入</t>
  </si>
  <si>
    <t>原汁牛肉麵 (牛筋) 10入</t>
  </si>
  <si>
    <t>F15001</t>
  </si>
  <si>
    <t>原汁牛腱湯</t>
  </si>
  <si>
    <t>原汁牛腱牛肉麵</t>
  </si>
  <si>
    <t>原汁牛肉麵 (牛腱) 3入</t>
  </si>
  <si>
    <t>原汁牛肉麵 (牛腱) 10入</t>
  </si>
  <si>
    <t>F16001</t>
  </si>
  <si>
    <t>紅燒花腱肉湯</t>
  </si>
  <si>
    <t>紅燒花腱牛肉麵</t>
  </si>
  <si>
    <t>紅燒花腱牛肉麵 3入</t>
  </si>
  <si>
    <t>紅燒牛肉麵 (牛腱) 10入</t>
  </si>
  <si>
    <t>F16002</t>
  </si>
  <si>
    <t>紅燒牛筋肉湯</t>
  </si>
  <si>
    <t>紅燒牛筋牛肉麵</t>
  </si>
  <si>
    <t>紅燒牛筋牛肉麵 3入</t>
  </si>
  <si>
    <t>紅燒牛筋牛肉麵 10入</t>
  </si>
  <si>
    <r>
      <rPr>
        <b/>
        <sz val="12"/>
        <color rgb="FFFF0000"/>
        <rFont val="微軟正黑體, sans-serif"/>
        <family val="3"/>
        <charset val="136"/>
      </rPr>
      <t>超商取貨免運</t>
    </r>
    <r>
      <rPr>
        <b/>
        <sz val="12"/>
        <color theme="1"/>
        <rFont val="微軟正黑體, sans-serif"/>
        <family val="3"/>
        <charset val="136"/>
      </rPr>
      <t xml:space="preserve">
</t>
    </r>
    <r>
      <rPr>
        <sz val="12"/>
        <color theme="1"/>
        <rFont val="微軟正黑體, sans-serif"/>
        <family val="3"/>
        <charset val="136"/>
      </rPr>
      <t>牛肉麵嚐鮮4入組
(4種口味各1)</t>
    </r>
  </si>
  <si>
    <r>
      <rPr>
        <b/>
        <sz val="12"/>
        <color rgb="FFFF0000"/>
        <rFont val="微軟正黑體, sans-serif"/>
        <family val="3"/>
        <charset val="136"/>
      </rPr>
      <t xml:space="preserve">宅配免運
</t>
    </r>
    <r>
      <rPr>
        <b/>
        <sz val="12"/>
        <color theme="1"/>
        <rFont val="微軟正黑體, sans-serif"/>
        <family val="3"/>
        <charset val="136"/>
      </rPr>
      <t>防疫自煮彭湃組</t>
    </r>
    <r>
      <rPr>
        <sz val="12"/>
        <color theme="1"/>
        <rFont val="微軟正黑體, sans-serif"/>
        <family val="3"/>
        <charset val="136"/>
      </rPr>
      <t xml:space="preserve">
牛肉麵嚐鮮4入組+牛三寶滷味拼盤</t>
    </r>
  </si>
  <si>
    <r>
      <rPr>
        <b/>
        <sz val="12"/>
        <color rgb="FFFF0000"/>
        <rFont val="微軟正黑體, sans-serif"/>
        <family val="3"/>
        <charset val="136"/>
      </rPr>
      <t xml:space="preserve">宅配免運
</t>
    </r>
    <r>
      <rPr>
        <b/>
        <sz val="12"/>
        <color theme="1"/>
        <rFont val="微軟正黑體, sans-serif"/>
        <family val="3"/>
        <charset val="136"/>
      </rPr>
      <t>牛肉麵任選6入</t>
    </r>
  </si>
  <si>
    <t>滷味</t>
  </si>
  <si>
    <r>
      <rPr>
        <b/>
        <sz val="12"/>
        <color rgb="FFFF0000"/>
        <rFont val="微軟正黑體, sans-serif"/>
        <family val="3"/>
        <charset val="136"/>
      </rPr>
      <t xml:space="preserve">超商取貨免運
</t>
    </r>
    <r>
      <rPr>
        <b/>
        <sz val="12"/>
        <color theme="1"/>
        <rFont val="微軟正黑體, sans-serif"/>
        <family val="3"/>
        <charset val="136"/>
      </rPr>
      <t>牛三寶滷味拼盤</t>
    </r>
    <r>
      <rPr>
        <sz val="12"/>
        <color theme="1"/>
        <rFont val="微軟正黑體, sans-serif"/>
        <family val="3"/>
        <charset val="136"/>
      </rPr>
      <t xml:space="preserve">
(麻辣滷牛肚+麻辣滷牛筋+藥膳牛腱)</t>
    </r>
  </si>
  <si>
    <t>H10004</t>
  </si>
  <si>
    <t>加購品</t>
  </si>
  <si>
    <t>蒜香黑川毛豆</t>
  </si>
  <si>
    <t>F18001</t>
  </si>
  <si>
    <t>藥膳滷牛腱</t>
  </si>
  <si>
    <t>F18002</t>
  </si>
  <si>
    <t>麻辣滷牛肚</t>
  </si>
  <si>
    <t>F18003</t>
  </si>
  <si>
    <t>麻辣滷牛筋</t>
  </si>
  <si>
    <t>H10003</t>
  </si>
  <si>
    <t>精選煙燻豬頭皮</t>
  </si>
  <si>
    <t>混董剁椒</t>
  </si>
  <si>
    <t>H11001</t>
  </si>
  <si>
    <t>混董剁椒*2</t>
  </si>
  <si>
    <t>H13001</t>
  </si>
  <si>
    <t>匈牙利戰斧豬排</t>
  </si>
  <si>
    <t>H13002</t>
  </si>
  <si>
    <t>孜然戰斧豬排</t>
  </si>
  <si>
    <t>H13003</t>
  </si>
  <si>
    <t>黑胡椒戰斧豬排</t>
  </si>
  <si>
    <t>H13004</t>
  </si>
  <si>
    <t>蔥蒜戰斧豬排</t>
  </si>
  <si>
    <t>H12001</t>
  </si>
  <si>
    <t>百里香無骨牛小排</t>
  </si>
  <si>
    <t>H12002</t>
  </si>
  <si>
    <t>迷迭香無骨牛小排</t>
  </si>
  <si>
    <t>H12003</t>
  </si>
  <si>
    <t>傳統美式無骨牛小排</t>
  </si>
  <si>
    <t>H12004</t>
  </si>
  <si>
    <t>香蒜無骨牛小排</t>
  </si>
  <si>
    <t>H12005</t>
  </si>
  <si>
    <t>中式油蔥無骨牛小排</t>
  </si>
  <si>
    <t>H15001</t>
  </si>
  <si>
    <t>鮮香草豬里肌肉</t>
  </si>
  <si>
    <t>H15002</t>
  </si>
  <si>
    <t>蒜醬豬里肌肉</t>
  </si>
  <si>
    <t>H15003</t>
  </si>
  <si>
    <t>五香豬里肌肉</t>
  </si>
  <si>
    <t>H16001</t>
  </si>
  <si>
    <t>紐澳良松阪豬</t>
  </si>
  <si>
    <t>H16002</t>
  </si>
  <si>
    <t>孜然松阪豬</t>
  </si>
  <si>
    <t>H14001</t>
  </si>
  <si>
    <t>香蒜雞腿排</t>
  </si>
  <si>
    <t>H14002</t>
  </si>
  <si>
    <t>中式油蔥雞腿排</t>
  </si>
  <si>
    <t>H14003</t>
  </si>
  <si>
    <t>孜然雞腿排</t>
  </si>
  <si>
    <t>H14004</t>
  </si>
  <si>
    <t>蒙特婁雞腿排</t>
  </si>
  <si>
    <t>H14005</t>
  </si>
  <si>
    <t>紐澳良雞腿排</t>
  </si>
  <si>
    <t>F14002</t>
  </si>
  <si>
    <t>幸運旺來</t>
  </si>
  <si>
    <t>F14001</t>
  </si>
  <si>
    <t>與檸相遇</t>
  </si>
  <si>
    <t>F20003</t>
  </si>
  <si>
    <t>冷凍熟義大利麵條</t>
  </si>
  <si>
    <t>F20002</t>
  </si>
  <si>
    <t>義式羅勒青醬</t>
  </si>
  <si>
    <t>F20001</t>
  </si>
  <si>
    <t>西西里番茄肉醬</t>
  </si>
  <si>
    <t>F12001</t>
  </si>
  <si>
    <t>古早味肉粽</t>
  </si>
  <si>
    <t>F19001</t>
  </si>
  <si>
    <t>F11001</t>
  </si>
  <si>
    <t>冷凍生麵條</t>
  </si>
  <si>
    <r>
      <rPr>
        <sz val="14"/>
        <color rgb="FF000000"/>
        <rFont val="蘭亭黑-繁 纖黑"/>
        <family val="3"/>
        <charset val="136"/>
      </rPr>
      <t>請填寫</t>
    </r>
    <r>
      <rPr>
        <sz val="14"/>
        <color rgb="FFFF0000"/>
        <rFont val="蘭亭黑-繁 纖黑"/>
        <family val="3"/>
        <charset val="136"/>
      </rPr>
      <t>黃底欄位</t>
    </r>
    <r>
      <rPr>
        <sz val="14"/>
        <color rgb="FF000000"/>
        <rFont val="蘭亭黑-繁 纖黑"/>
        <family val="3"/>
        <charset val="136"/>
      </rPr>
      <t>，其餘欄位勿動，各費用占比請於分頁1調整</t>
    </r>
  </si>
  <si>
    <t>H99_002</t>
  </si>
  <si>
    <t>御皇極品牛肉爐套組</t>
  </si>
  <si>
    <t>H99_001</t>
  </si>
  <si>
    <t>鹿骨藥膳燉烏雞套組</t>
  </si>
  <si>
    <t>野菇菌雞湯</t>
  </si>
  <si>
    <t>團購組合</t>
  </si>
  <si>
    <t>鹿骨藥膳燉烏雞+
御皇極品牛肉爐</t>
  </si>
  <si>
    <t>[超商取貨限定]
煨湯禮盒套組
(野菇菌雞湯x2+無花果牛肉湯1+沙蔘玉竹雞x1)</t>
  </si>
  <si>
    <t>團購試算</t>
  </si>
  <si>
    <t>金獎秘製牛肉麵8入組</t>
  </si>
  <si>
    <t>[超商取貨限定]
金獎秘製牛肉麵4入組
(牛肉麵4入)</t>
  </si>
  <si>
    <t>「超取免運」紅燒花腱牛肉麵</t>
  </si>
  <si>
    <t>「超取免運」
紅燒花腱牛肉麵+毛豆600g</t>
  </si>
  <si>
    <t>「超取免運」
紅燒花腱牛肉麵+麻辣鴨血豆腐</t>
  </si>
  <si>
    <t>免運嚐鮮組(牛肉麵任選8入)</t>
  </si>
  <si>
    <t>免運嚐鮮組(牛肉麵任選6入)</t>
  </si>
  <si>
    <t>[AMA 團購組合]
原汁牛筋* 2+ 原汁牛腱 *2 +紅燒花腱*1 +紅燒牛筋 *1</t>
  </si>
  <si>
    <t>金獎秘製牛肉麵4入組(牛肉麵4入)+剁椒</t>
  </si>
  <si>
    <t>[五倍券組合]
金獎秘製牛肉麵4入組+牛三寶滷味拼盤</t>
  </si>
  <si>
    <t>牛三寶滷味拼盤
(麻辣滷牛肚+麻辣滷牛筋+藥膳牛腱)</t>
  </si>
  <si>
    <t>新組合</t>
  </si>
  <si>
    <t>混董剁椒組</t>
  </si>
  <si>
    <t>單入嚐鮮</t>
  </si>
  <si>
    <r>
      <rPr>
        <sz val="14"/>
        <color rgb="FF000000"/>
        <rFont val="蘭亭黑-繁 纖黑"/>
        <family val="3"/>
        <charset val="136"/>
      </rPr>
      <t>請填寫</t>
    </r>
    <r>
      <rPr>
        <sz val="14"/>
        <color rgb="FFFF0000"/>
        <rFont val="蘭亭黑-繁 纖黑"/>
        <family val="3"/>
        <charset val="136"/>
      </rPr>
      <t>黃底欄位</t>
    </r>
    <r>
      <rPr>
        <sz val="14"/>
        <color rgb="FF000000"/>
        <rFont val="蘭亭黑-繁 纖黑"/>
        <family val="3"/>
        <charset val="136"/>
      </rPr>
      <t>，其餘欄位勿動，各費用占比請於分頁1調整</t>
    </r>
  </si>
  <si>
    <t>定價</t>
  </si>
  <si>
    <t>F90002</t>
  </si>
  <si>
    <t>豐秋海陸禮盒</t>
  </si>
  <si>
    <t>F90003</t>
  </si>
  <si>
    <t>月圓超值禮盒</t>
  </si>
  <si>
    <t>煨湯禮盒套組</t>
  </si>
  <si>
    <t>牛筋牛肚各2</t>
  </si>
  <si>
    <t>牛肉麵4入組</t>
  </si>
  <si>
    <t>原汁牛筋湯</t>
  </si>
  <si>
    <t>原汁牛肉麵</t>
  </si>
  <si>
    <t>原汁牛肉麵10包</t>
  </si>
  <si>
    <t>紅燒牛肉麵</t>
  </si>
  <si>
    <t>F30001</t>
  </si>
  <si>
    <t>秘製沙茶牛腱御便當</t>
  </si>
  <si>
    <t>F30002</t>
  </si>
  <si>
    <t>手作剁椒雞丁御便當</t>
  </si>
  <si>
    <t>超取免運組合</t>
  </si>
  <si>
    <t>目前售價</t>
  </si>
  <si>
    <t>活動價(8折)</t>
  </si>
  <si>
    <t>活動價折數</t>
  </si>
  <si>
    <t>行銷費用(20%)</t>
  </si>
  <si>
    <t>金流費用(2%)</t>
  </si>
  <si>
    <t>分潤 20%</t>
  </si>
  <si>
    <t>紅燒花腱牛肉麵+毛豆600g</t>
  </si>
  <si>
    <t>紅燒花腱牛肉麵+麻辣鴨血豆腐</t>
  </si>
  <si>
    <t xml:space="preserve">紅燒花腱牛肉麵+原汁牛筋牛肉麵 </t>
  </si>
  <si>
    <t>加購商品</t>
  </si>
  <si>
    <t>常態加購價(95折)</t>
  </si>
  <si>
    <t>活動價(85折)</t>
  </si>
  <si>
    <t>毛豆600g</t>
  </si>
  <si>
    <t>活動時間：
預計 3 個月</t>
  </si>
  <si>
    <t>組合商品 平均淨利</t>
  </si>
  <si>
    <t>加購商品購買機率 (10%)</t>
  </si>
  <si>
    <t>加購商品 平均淨利</t>
  </si>
  <si>
    <t>組合商品平均客單價</t>
  </si>
  <si>
    <t>每組商品淨利總合</t>
  </si>
  <si>
    <t>活動限量組數(獲取新客名單)</t>
  </si>
  <si>
    <t>專案銷售總合</t>
  </si>
  <si>
    <t>專案淨利總合</t>
  </si>
  <si>
    <t>再行銷回購組，拉高客單</t>
  </si>
  <si>
    <t>活動價(87折)</t>
  </si>
  <si>
    <t>活動價</t>
  </si>
  <si>
    <t>行銷費用(10%)</t>
  </si>
  <si>
    <t>牛肉麵各口味 6 入組</t>
  </si>
  <si>
    <t>牛肉麵*3+煨湯*3</t>
  </si>
  <si>
    <t>麻辣鴨血 6 入組 (各口味*2)</t>
  </si>
  <si>
    <t>牛肉麵*2+麻辣鴨血豬牛*1+豬頭皮＋毛豆</t>
  </si>
  <si>
    <t>總合</t>
  </si>
  <si>
    <t>平均值</t>
  </si>
  <si>
    <t>活動價(9折)</t>
  </si>
  <si>
    <t>牛三寶滷味拼盤</t>
  </si>
  <si>
    <t xml:space="preserve">毛豆 600g *3 </t>
  </si>
  <si>
    <t>豬頭皮*3</t>
  </si>
  <si>
    <t>微利率＝(客單價-變動成本率)/客單價</t>
  </si>
  <si>
    <t>變動費用平均值
=運費+金流+發票+營業</t>
  </si>
  <si>
    <t>損益平衡點銷售營業額＝固定費/微利率</t>
  </si>
  <si>
    <t>廣告行銷費用＝edm+sms 等費用</t>
  </si>
  <si>
    <t>損平銷售數量＝營業額 / 客單價</t>
  </si>
  <si>
    <t>固定費用=上一波的虧損</t>
  </si>
  <si>
    <t>加購品購買機率 (10%)</t>
  </si>
  <si>
    <t>加購品平均淨利</t>
  </si>
  <si>
    <t>平均客單價</t>
  </si>
  <si>
    <t>淨利總合</t>
  </si>
  <si>
    <t>活動限量組數</t>
  </si>
  <si>
    <r>
      <rPr>
        <sz val="14"/>
        <color rgb="FF000000"/>
        <rFont val="蘭亭黑-繁 纖黑"/>
        <family val="3"/>
        <charset val="136"/>
      </rPr>
      <t>請填寫</t>
    </r>
    <r>
      <rPr>
        <sz val="14"/>
        <color rgb="FFFF0000"/>
        <rFont val="蘭亭黑-繁 纖黑"/>
        <family val="3"/>
        <charset val="136"/>
      </rPr>
      <t>黃底欄位</t>
    </r>
    <r>
      <rPr>
        <sz val="14"/>
        <color rgb="FF000000"/>
        <rFont val="蘭亭黑-繁 纖黑"/>
        <family val="3"/>
        <charset val="136"/>
      </rPr>
      <t>，其餘欄位勿動，各費用占比請於分頁1調整</t>
    </r>
  </si>
  <si>
    <t>全館規則</t>
  </si>
  <si>
    <t>金額</t>
  </si>
  <si>
    <t>免運門檻</t>
  </si>
  <si>
    <t>官網/平台之免運門檻</t>
  </si>
  <si>
    <t>運費成本</t>
  </si>
  <si>
    <t>運費+運送包材費用</t>
  </si>
  <si>
    <t>一次運費最高件數</t>
  </si>
  <si>
    <t>一個箱子可以裝幾件</t>
  </si>
  <si>
    <t>產品組合</t>
  </si>
  <si>
    <t>資料</t>
  </si>
  <si>
    <t>產品單價</t>
  </si>
  <si>
    <t>一組幾個</t>
  </si>
  <si>
    <t>單項產品成本</t>
  </si>
  <si>
    <t>運費規則</t>
  </si>
  <si>
    <t>A</t>
  </si>
  <si>
    <t>A=原全館規則,  B=無條件免運</t>
  </si>
  <si>
    <t>產品折數計算</t>
  </si>
  <si>
    <r>
      <rPr>
        <sz val="14"/>
        <color rgb="FFFF0000"/>
        <rFont val="蘭亭黑-繁 纖黑"/>
        <family val="3"/>
        <charset val="136"/>
      </rPr>
      <t>此分頁不提供給客戶</t>
    </r>
    <r>
      <rPr>
        <sz val="14"/>
        <color rgb="FF000000"/>
        <rFont val="蘭亭黑-繁 纖黑"/>
        <family val="3"/>
        <charset val="136"/>
      </rPr>
      <t>，僅供AM試算使用，按下分頁旁的三角形「隱藏工作表」</t>
    </r>
  </si>
  <si>
    <t>適合產品少的客戶，或募資專案使用（產品多的如果能要到均值，也可以概估一下）</t>
  </si>
  <si>
    <r>
      <rPr>
        <sz val="14"/>
        <color rgb="FFFF0000"/>
        <rFont val="蘭亭黑-繁 纖黑"/>
        <family val="3"/>
        <charset val="136"/>
      </rPr>
      <t>請填寫黃底欄位</t>
    </r>
    <r>
      <rPr>
        <sz val="14"/>
        <color rgb="FF000000"/>
        <rFont val="蘭亭黑-繁 纖黑"/>
        <family val="3"/>
        <charset val="136"/>
      </rPr>
      <t>，其餘欄位勿動</t>
    </r>
  </si>
  <si>
    <t>可透過歷史數據計算佔比（例：前一年度），新品牌則以產業均值、預估營業額計算</t>
  </si>
  <si>
    <t>數據</t>
  </si>
  <si>
    <t>固定成本</t>
  </si>
  <si>
    <t>平均（目標）客單價</t>
  </si>
  <si>
    <t>行銷費用+金流+運費</t>
  </si>
  <si>
    <t>平均產品成本</t>
  </si>
  <si>
    <t>總產品成本/銷售數量</t>
  </si>
  <si>
    <t>平均定倍率</t>
  </si>
  <si>
    <t>總業績/總產品成本</t>
  </si>
  <si>
    <t>微利率</t>
  </si>
  <si>
    <t>(客單-銷售費用-產品成本)/客單</t>
  </si>
  <si>
    <t>損平銷量</t>
  </si>
  <si>
    <t>損平營業額/平均客單價</t>
  </si>
  <si>
    <t>損平營業額</t>
  </si>
  <si>
    <t>固定成本/維利率</t>
  </si>
  <si>
    <t>期待利潤</t>
  </si>
  <si>
    <t>預期銷售費用</t>
  </si>
  <si>
    <t>目標營業額</t>
  </si>
  <si>
    <t>目標銷量</t>
  </si>
  <si>
    <t>獲利</t>
  </si>
  <si>
    <t>平均訂單獲利</t>
  </si>
  <si>
    <t>260g/包</t>
  </si>
  <si>
    <t>260g/包</t>
    <phoneticPr fontId="55" type="noConversion"/>
  </si>
  <si>
    <t>350ml/罐</t>
    <phoneticPr fontId="55" type="noConversion"/>
  </si>
  <si>
    <t>150ml/罐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</si>
</sst>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%"/>
    <numFmt numFmtId="177" formatCode="0.0"/>
    <numFmt numFmtId="178" formatCode="0_ "/>
    <numFmt numFmtId="179" formatCode="0_ ;[Red]\-0\ "/>
    <numFmt numFmtId="180" formatCode="[$NT$-404]#,##0"/>
    <numFmt numFmtId="181" formatCode="#,##0_ "/>
  </numFmts>
  <fonts count="56">
    <font>
      <sz val="12"/>
      <color rgb="FF000000"/>
      <name val="Arial"/>
      <scheme val="minor"/>
    </font>
    <font>
      <sz val="14"/>
      <color rgb="FF000000"/>
      <name val="蘭亭黑-繁 纖黑"/>
      <family val="3"/>
      <charset val="136"/>
    </font>
    <font>
      <sz val="14"/>
      <color rgb="FFFFFFFF"/>
      <name val="蘭亭黑-繁 纖黑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</font>
    <font>
      <sz val="12"/>
      <color rgb="FF000000"/>
      <name val="蘭亭黑-繁 纖黑"/>
      <family val="3"/>
      <charset val="136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4"/>
      <color rgb="FF000000"/>
      <name val="蘭亭黑-繁 纖黑"/>
      <family val="3"/>
      <charset val="136"/>
    </font>
    <font>
      <sz val="14"/>
      <color theme="1"/>
      <name val="蘭亭黑-繁 纖黑"/>
      <family val="3"/>
      <charset val="136"/>
    </font>
    <font>
      <b/>
      <sz val="14"/>
      <color rgb="FFFFFFFF"/>
      <name val="蘭亭黑-繁 纖黑"/>
      <family val="3"/>
      <charset val="136"/>
    </font>
    <font>
      <sz val="12"/>
      <name val="Arial"/>
      <family val="2"/>
    </font>
    <font>
      <b/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蘭亭黑-繁 纖黑"/>
      <family val="3"/>
      <charset val="136"/>
    </font>
    <font>
      <sz val="14"/>
      <color rgb="FFFF0000"/>
      <name val="蘭亭黑-繁 纖黑"/>
      <family val="3"/>
      <charset val="136"/>
    </font>
    <font>
      <b/>
      <sz val="12"/>
      <color rgb="FFFF0000"/>
      <name val="Microsoft JhengHei"/>
      <family val="2"/>
      <charset val="136"/>
    </font>
    <font>
      <sz val="12"/>
      <color rgb="FFFF0000"/>
      <name val="Arial"/>
      <family val="2"/>
      <scheme val="minor"/>
    </font>
    <font>
      <u/>
      <sz val="14"/>
      <color rgb="FF1155CC"/>
      <name val="蘭亭黑-繁 纖黑"/>
      <family val="3"/>
      <charset val="136"/>
    </font>
    <font>
      <u/>
      <sz val="14"/>
      <color rgb="FF1155CC"/>
      <name val="蘭亭黑-繁 纖黑"/>
      <family val="3"/>
      <charset val="136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Arial"/>
      <family val="2"/>
    </font>
    <font>
      <sz val="14"/>
      <color rgb="FFFFFFFF"/>
      <name val="Arial"/>
      <family val="2"/>
    </font>
    <font>
      <sz val="14"/>
      <color rgb="FFFF0000"/>
      <name val="Arial"/>
      <family val="2"/>
    </font>
    <font>
      <b/>
      <sz val="14"/>
      <color rgb="FF000000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2"/>
      <color theme="1"/>
      <name val="Arial"/>
      <family val="2"/>
    </font>
    <font>
      <strike/>
      <sz val="14"/>
      <color rgb="FF000000"/>
      <name val="Microsoft JhengHei"/>
      <family val="2"/>
      <charset val="136"/>
    </font>
    <font>
      <strike/>
      <sz val="12"/>
      <color rgb="FF000000"/>
      <name val="Microsoft JhengHei"/>
      <family val="2"/>
      <charset val="136"/>
    </font>
    <font>
      <strike/>
      <sz val="14"/>
      <color theme="1"/>
      <name val="蘭亭黑-繁 纖黑"/>
      <family val="3"/>
      <charset val="136"/>
    </font>
    <font>
      <b/>
      <sz val="14"/>
      <color rgb="FFFF0000"/>
      <name val="蘭亭黑-繁 纖黑"/>
      <family val="3"/>
      <charset val="136"/>
    </font>
    <font>
      <b/>
      <sz val="12"/>
      <color rgb="FFFF0000"/>
      <name val="Calibri"/>
      <family val="2"/>
    </font>
    <font>
      <strike/>
      <sz val="12"/>
      <color theme="1"/>
      <name val="Calibri"/>
      <family val="2"/>
    </font>
    <font>
      <sz val="14"/>
      <color theme="1"/>
      <name val="Arial"/>
      <family val="2"/>
    </font>
    <font>
      <b/>
      <sz val="14"/>
      <color theme="9"/>
      <name val="Calibri"/>
      <family val="2"/>
    </font>
    <font>
      <sz val="8"/>
      <color rgb="FFFF0000"/>
      <name val="蘭亭黑-繁 纖黑"/>
      <family val="3"/>
      <charset val="136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微軟正黑體, sans-serif"/>
      <family val="3"/>
      <charset val="136"/>
    </font>
    <font>
      <b/>
      <sz val="12"/>
      <color rgb="FF000000"/>
      <name val="微軟正黑體, sans-serif"/>
      <family val="3"/>
      <charset val="136"/>
    </font>
    <font>
      <sz val="12"/>
      <color rgb="FF000000"/>
      <name val="微軟正黑體, sans-serif"/>
      <family val="3"/>
      <charset val="136"/>
    </font>
    <font>
      <b/>
      <sz val="12"/>
      <color theme="1"/>
      <name val="微軟正黑體, sans-serif"/>
      <family val="3"/>
      <charset val="136"/>
    </font>
    <font>
      <sz val="12"/>
      <color theme="1"/>
      <name val="微軟正黑體, sans-serif"/>
      <family val="3"/>
      <charset val="136"/>
    </font>
    <font>
      <sz val="12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E598"/>
        <bgColor rgb="FFFFE598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DEEAF6"/>
        <bgColor rgb="FFDEEAF6"/>
      </patternFill>
    </fill>
    <fill>
      <patternFill patternType="solid">
        <fgColor rgb="FFD9EAD3"/>
        <bgColor rgb="FFD9EAD3"/>
      </patternFill>
    </fill>
    <fill>
      <patternFill patternType="solid">
        <fgColor rgb="FF757070"/>
        <bgColor rgb="FF757070"/>
      </patternFill>
    </fill>
    <fill>
      <patternFill patternType="solid">
        <fgColor rgb="FF941100"/>
        <bgColor rgb="FF941100"/>
      </patternFill>
    </fill>
    <fill>
      <patternFill patternType="solid">
        <fgColor rgb="FF945200"/>
        <bgColor rgb="FF945200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385623"/>
        <bgColor rgb="FF385623"/>
      </patternFill>
    </fill>
    <fill>
      <patternFill patternType="solid">
        <fgColor rgb="FFF7CAAC"/>
        <bgColor rgb="FFF7CAAC"/>
      </patternFill>
    </fill>
  </fills>
  <borders count="24">
    <border>
      <left/>
      <right/>
      <top/>
      <bottom/>
      <diagonal/>
    </border>
    <border>
      <left/>
      <right/>
      <top/>
      <bottom style="thin">
        <color rgb="FFDADAD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ADADA"/>
      </right>
      <top/>
      <bottom style="thin">
        <color rgb="FFDADAD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ADADA"/>
      </left>
      <right/>
      <top/>
      <bottom/>
      <diagonal/>
    </border>
    <border>
      <left/>
      <right/>
      <top/>
      <bottom/>
      <diagonal/>
    </border>
    <border>
      <left/>
      <right style="thin">
        <color rgb="FFDADADA"/>
      </right>
      <top/>
      <bottom/>
      <diagonal/>
    </border>
    <border>
      <left style="thin">
        <color rgb="FFDADADA"/>
      </left>
      <right/>
      <top/>
      <bottom/>
      <diagonal/>
    </border>
    <border>
      <left/>
      <right style="thin">
        <color rgb="FFDADADA"/>
      </right>
      <top/>
      <bottom/>
      <diagonal/>
    </border>
    <border>
      <left/>
      <right/>
      <top style="thin">
        <color rgb="FFDADADA"/>
      </top>
      <bottom style="thin">
        <color rgb="FFDADADA"/>
      </bottom>
      <diagonal/>
    </border>
  </borders>
  <cellStyleXfs count="2">
    <xf numFmtId="0" fontId="0" fillId="0" borderId="0"/>
    <xf numFmtId="9" fontId="54" fillId="0" borderId="0" applyFont="0" applyFill="0" applyBorder="0" applyAlignment="0" applyProtection="0">
      <alignment vertical="center"/>
    </xf>
  </cellStyleXfs>
  <cellXfs count="32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3" fontId="9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3" fontId="6" fillId="7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77" fontId="2" fillId="9" borderId="8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/>
    </xf>
    <xf numFmtId="1" fontId="16" fillId="7" borderId="0" xfId="0" applyNumberFormat="1" applyFont="1" applyFill="1" applyAlignment="1">
      <alignment horizontal="center"/>
    </xf>
    <xf numFmtId="178" fontId="11" fillId="7" borderId="0" xfId="0" applyNumberFormat="1" applyFont="1" applyFill="1" applyAlignment="1">
      <alignment horizontal="center" vertical="center"/>
    </xf>
    <xf numFmtId="10" fontId="11" fillId="7" borderId="0" xfId="0" applyNumberFormat="1" applyFont="1" applyFill="1" applyAlignment="1">
      <alignment horizontal="center" vertical="center"/>
    </xf>
    <xf numFmtId="177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" fontId="15" fillId="3" borderId="0" xfId="0" applyNumberFormat="1" applyFont="1" applyFill="1" applyAlignment="1">
      <alignment horizontal="center"/>
    </xf>
    <xf numFmtId="178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11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79" fontId="11" fillId="0" borderId="0" xfId="0" applyNumberFormat="1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1" fontId="15" fillId="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9" fontId="11" fillId="0" borderId="9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10" fontId="11" fillId="0" borderId="9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179" fontId="11" fillId="0" borderId="9" xfId="0" applyNumberFormat="1" applyFont="1" applyBorder="1" applyAlignment="1">
      <alignment horizontal="center" vertical="center"/>
    </xf>
    <xf numFmtId="10" fontId="11" fillId="11" borderId="10" xfId="0" applyNumberFormat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/>
    </xf>
    <xf numFmtId="9" fontId="19" fillId="7" borderId="9" xfId="0" applyNumberFormat="1" applyFont="1" applyFill="1" applyBorder="1" applyAlignment="1">
      <alignment horizontal="center" vertical="center"/>
    </xf>
    <xf numFmtId="178" fontId="11" fillId="7" borderId="9" xfId="0" applyNumberFormat="1" applyFont="1" applyFill="1" applyBorder="1" applyAlignment="1">
      <alignment horizontal="center" vertical="center"/>
    </xf>
    <xf numFmtId="10" fontId="11" fillId="7" borderId="9" xfId="0" applyNumberFormat="1" applyFont="1" applyFill="1" applyBorder="1" applyAlignment="1">
      <alignment horizontal="center" vertical="center"/>
    </xf>
    <xf numFmtId="177" fontId="11" fillId="7" borderId="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179" fontId="11" fillId="7" borderId="9" xfId="0" applyNumberFormat="1" applyFont="1" applyFill="1" applyBorder="1" applyAlignment="1">
      <alignment horizontal="center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11" borderId="9" xfId="0" applyNumberFormat="1" applyFont="1" applyFill="1" applyBorder="1" applyAlignment="1">
      <alignment horizontal="center" vertical="center"/>
    </xf>
    <xf numFmtId="1" fontId="16" fillId="3" borderId="0" xfId="0" applyNumberFormat="1" applyFont="1" applyFill="1" applyAlignment="1">
      <alignment horizontal="center"/>
    </xf>
    <xf numFmtId="0" fontId="17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1" fontId="16" fillId="7" borderId="0" xfId="0" applyNumberFormat="1" applyFont="1" applyFill="1" applyAlignment="1">
      <alignment horizontal="center"/>
    </xf>
    <xf numFmtId="178" fontId="11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1" fontId="16" fillId="3" borderId="0" xfId="0" applyNumberFormat="1" applyFont="1" applyFill="1" applyAlignment="1">
      <alignment horizontal="center"/>
    </xf>
    <xf numFmtId="0" fontId="17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1" fontId="16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11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1" fontId="27" fillId="0" borderId="0" xfId="0" applyNumberFormat="1" applyFont="1"/>
    <xf numFmtId="177" fontId="25" fillId="0" borderId="0" xfId="0" applyNumberFormat="1" applyFont="1"/>
    <xf numFmtId="1" fontId="11" fillId="0" borderId="0" xfId="0" applyNumberFormat="1" applyFont="1" applyAlignment="1">
      <alignment vertical="center"/>
    </xf>
    <xf numFmtId="1" fontId="11" fillId="14" borderId="0" xfId="0" applyNumberFormat="1" applyFont="1" applyFill="1" applyAlignment="1">
      <alignment vertical="center"/>
    </xf>
    <xf numFmtId="1" fontId="11" fillId="14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/>
    </xf>
    <xf numFmtId="1" fontId="24" fillId="0" borderId="0" xfId="0" applyNumberFormat="1" applyFont="1"/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8" fillId="15" borderId="7" xfId="0" applyFont="1" applyFill="1" applyBorder="1" applyAlignment="1">
      <alignment horizontal="center"/>
    </xf>
    <xf numFmtId="0" fontId="28" fillId="15" borderId="8" xfId="0" applyFont="1" applyFill="1" applyBorder="1" applyAlignment="1">
      <alignment horizontal="center"/>
    </xf>
    <xf numFmtId="0" fontId="28" fillId="15" borderId="9" xfId="0" applyFont="1" applyFill="1" applyBorder="1" applyAlignment="1">
      <alignment horizontal="center"/>
    </xf>
    <xf numFmtId="1" fontId="29" fillId="8" borderId="9" xfId="0" applyNumberFormat="1" applyFont="1" applyFill="1" applyBorder="1" applyAlignment="1">
      <alignment horizontal="center" wrapText="1"/>
    </xf>
    <xf numFmtId="0" fontId="29" fillId="8" borderId="9" xfId="0" applyFont="1" applyFill="1" applyBorder="1" applyAlignment="1">
      <alignment horizontal="center"/>
    </xf>
    <xf numFmtId="1" fontId="29" fillId="9" borderId="9" xfId="0" applyNumberFormat="1" applyFont="1" applyFill="1" applyBorder="1" applyAlignment="1">
      <alignment horizontal="center"/>
    </xf>
    <xf numFmtId="0" fontId="29" fillId="9" borderId="9" xfId="0" applyFont="1" applyFill="1" applyBorder="1" applyAlignment="1">
      <alignment horizontal="center"/>
    </xf>
    <xf numFmtId="0" fontId="29" fillId="9" borderId="9" xfId="0" applyFont="1" applyFill="1" applyBorder="1" applyAlignment="1">
      <alignment horizontal="center"/>
    </xf>
    <xf numFmtId="0" fontId="29" fillId="10" borderId="9" xfId="0" applyFont="1" applyFill="1" applyBorder="1" applyAlignment="1">
      <alignment horizontal="center"/>
    </xf>
    <xf numFmtId="4" fontId="30" fillId="11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/>
    </xf>
    <xf numFmtId="1" fontId="2" fillId="8" borderId="9" xfId="0" applyNumberFormat="1" applyFont="1" applyFill="1" applyBorder="1" applyAlignment="1">
      <alignment horizontal="center" vertical="center" wrapText="1"/>
    </xf>
    <xf numFmtId="1" fontId="2" fillId="9" borderId="9" xfId="0" applyNumberFormat="1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32" fillId="16" borderId="0" xfId="0" applyFont="1" applyFill="1" applyAlignment="1">
      <alignment horizontal="center" vertical="center"/>
    </xf>
    <xf numFmtId="1" fontId="32" fillId="3" borderId="0" xfId="0" applyNumberFormat="1" applyFont="1" applyFill="1" applyAlignment="1">
      <alignment horizontal="center" vertical="center"/>
    </xf>
    <xf numFmtId="10" fontId="11" fillId="3" borderId="9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0" fontId="11" fillId="17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4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 wrapText="1"/>
    </xf>
    <xf numFmtId="1" fontId="34" fillId="3" borderId="0" xfId="0" applyNumberFormat="1" applyFont="1" applyFill="1" applyAlignment="1">
      <alignment horizontal="center" vertical="center"/>
    </xf>
    <xf numFmtId="0" fontId="34" fillId="16" borderId="0" xfId="0" applyFont="1" applyFill="1" applyAlignment="1">
      <alignment horizontal="center" vertical="center"/>
    </xf>
    <xf numFmtId="1" fontId="11" fillId="17" borderId="9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6" fillId="16" borderId="0" xfId="0" applyFont="1" applyFill="1" applyAlignment="1">
      <alignment vertical="center"/>
    </xf>
    <xf numFmtId="0" fontId="36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0" fontId="36" fillId="16" borderId="0" xfId="0" applyFont="1" applyFill="1" applyAlignment="1">
      <alignment horizontal="center" vertical="center"/>
    </xf>
    <xf numFmtId="9" fontId="38" fillId="0" borderId="9" xfId="0" applyNumberFormat="1" applyFont="1" applyBorder="1" applyAlignment="1">
      <alignment horizontal="center" vertical="center"/>
    </xf>
    <xf numFmtId="1" fontId="36" fillId="3" borderId="0" xfId="0" applyNumberFormat="1" applyFont="1" applyFill="1" applyAlignment="1">
      <alignment horizontal="center" vertical="center"/>
    </xf>
    <xf numFmtId="178" fontId="38" fillId="0" borderId="9" xfId="0" applyNumberFormat="1" applyFont="1" applyBorder="1" applyAlignment="1">
      <alignment horizontal="center" vertical="center"/>
    </xf>
    <xf numFmtId="10" fontId="38" fillId="0" borderId="9" xfId="0" applyNumberFormat="1" applyFont="1" applyBorder="1" applyAlignment="1">
      <alignment horizontal="center" vertical="center"/>
    </xf>
    <xf numFmtId="1" fontId="38" fillId="0" borderId="9" xfId="0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179" fontId="38" fillId="0" borderId="9" xfId="0" applyNumberFormat="1" applyFont="1" applyBorder="1" applyAlignment="1">
      <alignment horizontal="center" vertical="center"/>
    </xf>
    <xf numFmtId="10" fontId="38" fillId="3" borderId="9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1" fontId="25" fillId="0" borderId="0" xfId="0" applyNumberFormat="1" applyFont="1"/>
    <xf numFmtId="0" fontId="37" fillId="3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1" fontId="39" fillId="15" borderId="9" xfId="0" applyNumberFormat="1" applyFont="1" applyFill="1" applyBorder="1" applyAlignment="1">
      <alignment horizontal="center" vertical="center"/>
    </xf>
    <xf numFmtId="179" fontId="11" fillId="15" borderId="9" xfId="0" applyNumberFormat="1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0" fontId="11" fillId="3" borderId="0" xfId="0" applyNumberFormat="1" applyFont="1" applyFill="1" applyAlignment="1">
      <alignment horizontal="center" vertical="center"/>
    </xf>
    <xf numFmtId="1" fontId="15" fillId="3" borderId="0" xfId="0" applyNumberFormat="1" applyFont="1" applyFill="1" applyAlignment="1">
      <alignment horizontal="center"/>
    </xf>
    <xf numFmtId="0" fontId="15" fillId="18" borderId="0" xfId="0" applyFont="1" applyFill="1" applyAlignment="1">
      <alignment horizontal="center"/>
    </xf>
    <xf numFmtId="1" fontId="15" fillId="18" borderId="0" xfId="0" applyNumberFormat="1" applyFont="1" applyFill="1" applyAlignment="1">
      <alignment horizontal="center"/>
    </xf>
    <xf numFmtId="9" fontId="11" fillId="18" borderId="9" xfId="0" applyNumberFormat="1" applyFont="1" applyFill="1" applyBorder="1" applyAlignment="1">
      <alignment horizontal="center" vertical="center"/>
    </xf>
    <xf numFmtId="178" fontId="11" fillId="18" borderId="9" xfId="0" applyNumberFormat="1" applyFont="1" applyFill="1" applyBorder="1" applyAlignment="1">
      <alignment horizontal="center" vertical="center"/>
    </xf>
    <xf numFmtId="10" fontId="11" fillId="18" borderId="9" xfId="0" applyNumberFormat="1" applyFont="1" applyFill="1" applyBorder="1" applyAlignment="1">
      <alignment horizontal="center" vertical="center"/>
    </xf>
    <xf numFmtId="1" fontId="11" fillId="18" borderId="9" xfId="0" applyNumberFormat="1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center" vertical="center"/>
    </xf>
    <xf numFmtId="179" fontId="11" fillId="18" borderId="9" xfId="0" applyNumberFormat="1" applyFont="1" applyFill="1" applyBorder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6" fillId="3" borderId="0" xfId="0" applyFont="1" applyFill="1" applyAlignment="1">
      <alignment horizontal="center"/>
    </xf>
    <xf numFmtId="9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10" fontId="25" fillId="0" borderId="0" xfId="0" applyNumberFormat="1" applyFont="1"/>
    <xf numFmtId="0" fontId="25" fillId="0" borderId="0" xfId="0" applyFont="1"/>
    <xf numFmtId="0" fontId="25" fillId="0" borderId="2" xfId="0" applyFont="1" applyBorder="1" applyAlignment="1">
      <alignment horizontal="center"/>
    </xf>
    <xf numFmtId="177" fontId="25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25" fillId="0" borderId="2" xfId="0" applyFont="1" applyBorder="1"/>
    <xf numFmtId="0" fontId="11" fillId="15" borderId="2" xfId="0" applyFont="1" applyFill="1" applyBorder="1" applyAlignment="1">
      <alignment horizontal="center" vertical="center"/>
    </xf>
    <xf numFmtId="180" fontId="25" fillId="0" borderId="2" xfId="0" applyNumberFormat="1" applyFont="1" applyBorder="1" applyAlignment="1">
      <alignment horizontal="center"/>
    </xf>
    <xf numFmtId="180" fontId="25" fillId="0" borderId="2" xfId="0" applyNumberFormat="1" applyFont="1" applyBorder="1"/>
    <xf numFmtId="180" fontId="25" fillId="15" borderId="2" xfId="0" applyNumberFormat="1" applyFont="1" applyFill="1" applyBorder="1"/>
    <xf numFmtId="1" fontId="25" fillId="0" borderId="0" xfId="0" applyNumberFormat="1" applyFont="1" applyAlignment="1">
      <alignment horizontal="center"/>
    </xf>
    <xf numFmtId="0" fontId="25" fillId="19" borderId="0" xfId="0" applyFont="1" applyFill="1" applyAlignment="1">
      <alignment horizontal="center"/>
    </xf>
    <xf numFmtId="10" fontId="25" fillId="0" borderId="2" xfId="0" applyNumberFormat="1" applyFont="1" applyBorder="1"/>
    <xf numFmtId="3" fontId="25" fillId="15" borderId="0" xfId="0" applyNumberFormat="1" applyFont="1" applyFill="1"/>
    <xf numFmtId="177" fontId="25" fillId="0" borderId="2" xfId="0" applyNumberFormat="1" applyFont="1" applyBorder="1"/>
    <xf numFmtId="176" fontId="25" fillId="0" borderId="2" xfId="0" applyNumberFormat="1" applyFont="1" applyBorder="1" applyAlignment="1">
      <alignment horizontal="center"/>
    </xf>
    <xf numFmtId="180" fontId="25" fillId="20" borderId="2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81" fontId="1" fillId="3" borderId="9" xfId="0" applyNumberFormat="1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1" fontId="11" fillId="0" borderId="9" xfId="0" applyNumberFormat="1" applyFont="1" applyBorder="1" applyAlignment="1">
      <alignment horizontal="center" vertical="center"/>
    </xf>
    <xf numFmtId="9" fontId="11" fillId="3" borderId="9" xfId="0" applyNumberFormat="1" applyFont="1" applyFill="1" applyBorder="1" applyAlignment="1">
      <alignment horizontal="center" vertical="center"/>
    </xf>
    <xf numFmtId="10" fontId="11" fillId="22" borderId="9" xfId="0" applyNumberFormat="1" applyFont="1" applyFill="1" applyBorder="1" applyAlignment="1">
      <alignment horizontal="center" vertical="center"/>
    </xf>
    <xf numFmtId="0" fontId="42" fillId="0" borderId="2" xfId="0" applyFont="1" applyBorder="1"/>
    <xf numFmtId="180" fontId="1" fillId="0" borderId="2" xfId="0" applyNumberFormat="1" applyFont="1" applyBorder="1" applyAlignment="1">
      <alignment horizontal="center" vertical="center"/>
    </xf>
    <xf numFmtId="180" fontId="1" fillId="3" borderId="2" xfId="0" applyNumberFormat="1" applyFont="1" applyFill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180" fontId="26" fillId="0" borderId="2" xfId="0" applyNumberFormat="1" applyFont="1" applyBorder="1" applyAlignment="1">
      <alignment horizontal="center"/>
    </xf>
    <xf numFmtId="9" fontId="42" fillId="3" borderId="2" xfId="0" applyNumberFormat="1" applyFont="1" applyFill="1" applyBorder="1" applyAlignment="1">
      <alignment horizontal="center"/>
    </xf>
    <xf numFmtId="180" fontId="43" fillId="0" borderId="2" xfId="0" applyNumberFormat="1" applyFont="1" applyBorder="1" applyAlignment="1">
      <alignment horizontal="center"/>
    </xf>
    <xf numFmtId="9" fontId="11" fillId="11" borderId="0" xfId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13" fillId="0" borderId="6" xfId="0" applyFont="1" applyBorder="1"/>
    <xf numFmtId="0" fontId="13" fillId="0" borderId="7" xfId="0" applyFont="1" applyBorder="1"/>
    <xf numFmtId="177" fontId="2" fillId="9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3" fillId="0" borderId="12" xfId="0" applyFont="1" applyBorder="1"/>
    <xf numFmtId="0" fontId="13" fillId="0" borderId="13" xfId="0" applyFont="1" applyBorder="1"/>
    <xf numFmtId="0" fontId="14" fillId="3" borderId="1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14" xfId="0" applyFont="1" applyBorder="1"/>
    <xf numFmtId="0" fontId="10" fillId="15" borderId="0" xfId="0" applyFont="1" applyFill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" fontId="2" fillId="9" borderId="5" xfId="0" applyNumberFormat="1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25" fillId="0" borderId="0" xfId="0" applyFont="1"/>
    <xf numFmtId="0" fontId="25" fillId="0" borderId="11" xfId="0" applyFont="1" applyBorder="1" applyAlignment="1">
      <alignment vertical="center"/>
    </xf>
    <xf numFmtId="0" fontId="25" fillId="15" borderId="15" xfId="0" applyFont="1" applyFill="1" applyBorder="1" applyAlignment="1">
      <alignment horizontal="center"/>
    </xf>
    <xf numFmtId="0" fontId="13" fillId="0" borderId="16" xfId="0" applyFont="1" applyBorder="1"/>
    <xf numFmtId="0" fontId="13" fillId="0" borderId="17" xfId="0" applyFont="1" applyBorder="1"/>
    <xf numFmtId="0" fontId="1" fillId="0" borderId="21" xfId="0" applyFont="1" applyBorder="1" applyAlignment="1">
      <alignment horizontal="center" vertical="center" wrapText="1"/>
    </xf>
    <xf numFmtId="0" fontId="13" fillId="0" borderId="22" xfId="0" applyFont="1" applyBorder="1"/>
    <xf numFmtId="0" fontId="2" fillId="2" borderId="18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13" fillId="0" borderId="20" xfId="0" applyFont="1" applyBorder="1"/>
    <xf numFmtId="0" fontId="2" fillId="2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left"/>
    </xf>
  </cellXfs>
  <cellStyles count="2">
    <cellStyle name="一般" xfId="0" builtinId="0"/>
    <cellStyle name="百分比" xfId="1" builtinId="5"/>
  </cellStyles>
  <dxfs count="13"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-meat.com/products-detail/%E4%B8%AD%E7%A7%8B%E7%AF%80%E5%84%AA%E6%83%A0%E7%83%A4%E8%82%89%E7%B5%84-p.93" TargetMode="External"/><Relationship Id="rId2" Type="http://schemas.openxmlformats.org/officeDocument/2006/relationships/hyperlink" Target="https://www.ihergo.com/mobile/store/fast-i3fresh/product/no2278706.271?utm_source=google&amp;utm_medium=cpc" TargetMode="External"/><Relationship Id="rId1" Type="http://schemas.openxmlformats.org/officeDocument/2006/relationships/hyperlink" Target="https://www.94iseafood.tw/F-%E6%B5%B7%E9%99%B8%E5%A5%A2%E8%8F%AF%E9%9C%B8%E7%8E%8B%E7%B5%84" TargetMode="External"/><Relationship Id="rId4" Type="http://schemas.openxmlformats.org/officeDocument/2006/relationships/hyperlink" Target="https://24h.pchome.com.tw/prod/DBCY1Z-A900BKD6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-meat.com/products-detail/%E4%B8%AD%E7%A7%8B%E7%AF%80%E5%84%AA%E6%83%A0%E7%83%A4%E8%82%89%E7%B5%84-p.93" TargetMode="External"/><Relationship Id="rId2" Type="http://schemas.openxmlformats.org/officeDocument/2006/relationships/hyperlink" Target="https://www.ihergo.com/mobile/store/fast-i3fresh/product/no2278706.271?utm_source=google&amp;utm_medium=cpc" TargetMode="External"/><Relationship Id="rId1" Type="http://schemas.openxmlformats.org/officeDocument/2006/relationships/hyperlink" Target="https://www.94iseafood.tw/F-%E6%B5%B7%E9%99%B8%E5%A5%A2%E8%8F%AF%E9%9C%B8%E7%8E%8B%E7%B5%84" TargetMode="External"/><Relationship Id="rId4" Type="http://schemas.openxmlformats.org/officeDocument/2006/relationships/hyperlink" Target="https://24h.pchome.com.tw/prod/DBCY1Z-A900BKD6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Views>
    <sheetView workbookViewId="0">
      <selection sqref="A1:E1"/>
    </sheetView>
  </sheetViews>
  <sheetFormatPr defaultColWidth="10.109375" defaultRowHeight="15" customHeight="1"/>
  <cols>
    <col min="1" max="1" width="14.44140625" customWidth="1"/>
    <col min="2" max="2" width="43.44140625" customWidth="1"/>
    <col min="3" max="3" width="13.33203125" customWidth="1"/>
    <col min="4" max="4" width="15.33203125" customWidth="1"/>
    <col min="5" max="5" width="13.5546875" customWidth="1"/>
    <col min="7" max="7" width="17.44140625" customWidth="1"/>
    <col min="8" max="8" width="4.44140625" customWidth="1"/>
    <col min="9" max="24" width="6" customWidth="1"/>
    <col min="25" max="27" width="7.88671875" customWidth="1"/>
  </cols>
  <sheetData>
    <row r="1" spans="1:24" ht="19.5" customHeight="1">
      <c r="A1" s="277" t="s">
        <v>0</v>
      </c>
      <c r="B1" s="278"/>
      <c r="C1" s="278"/>
      <c r="D1" s="278"/>
      <c r="E1" s="27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9.5" customHeight="1">
      <c r="A2" s="279" t="s">
        <v>1</v>
      </c>
      <c r="B2" s="278"/>
      <c r="C2" s="278"/>
      <c r="D2" s="278"/>
      <c r="E2" s="278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9.5" customHeight="1">
      <c r="A3" s="6" t="s">
        <v>2</v>
      </c>
      <c r="B3" s="6" t="s">
        <v>3</v>
      </c>
      <c r="C3" s="6" t="s">
        <v>4</v>
      </c>
      <c r="D3" s="6" t="s">
        <v>5</v>
      </c>
      <c r="E3" s="4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39">
      <c r="A4" s="7" t="s">
        <v>7</v>
      </c>
      <c r="B4" s="8" t="s">
        <v>8</v>
      </c>
      <c r="C4" s="9">
        <v>3000000</v>
      </c>
      <c r="D4" s="10" t="s">
        <v>9</v>
      </c>
      <c r="E4" s="4">
        <f t="shared" ref="E4:E5" si="0">C4/12</f>
        <v>250000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4" customHeight="1">
      <c r="A5" s="7" t="s">
        <v>10</v>
      </c>
      <c r="B5" s="8" t="s">
        <v>11</v>
      </c>
      <c r="C5" s="11">
        <f>營業成本項目!B18</f>
        <v>1553948</v>
      </c>
      <c r="D5" s="12">
        <f>C5/C4</f>
        <v>0.5179826666666667</v>
      </c>
      <c r="E5" s="4">
        <f t="shared" si="0"/>
        <v>129495.66666666667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4" customHeight="1">
      <c r="A6" s="7" t="s">
        <v>12</v>
      </c>
      <c r="B6" s="8" t="s">
        <v>13</v>
      </c>
      <c r="C6" s="10" t="s">
        <v>9</v>
      </c>
      <c r="D6" s="13"/>
      <c r="E6" s="4">
        <f>C4*D6/12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4" customHeight="1">
      <c r="A7" s="7" t="s">
        <v>14</v>
      </c>
      <c r="B7" s="8" t="s">
        <v>15</v>
      </c>
      <c r="C7" s="10" t="s">
        <v>9</v>
      </c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78">
      <c r="A8" s="7" t="s">
        <v>16</v>
      </c>
      <c r="B8" s="8" t="s">
        <v>17</v>
      </c>
      <c r="C8" s="10" t="s">
        <v>9</v>
      </c>
      <c r="D8" s="14">
        <v>0</v>
      </c>
      <c r="E8" s="4">
        <f>330/2500</f>
        <v>0.13200000000000001</v>
      </c>
      <c r="F8" s="4"/>
      <c r="G8" s="4">
        <f>500/0.2</f>
        <v>2500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9.5" customHeight="1">
      <c r="A9" s="15"/>
      <c r="B9" s="16"/>
      <c r="C9" s="15"/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4" customHeight="1">
      <c r="A10" s="7" t="s">
        <v>18</v>
      </c>
      <c r="B10" s="8" t="s">
        <v>19</v>
      </c>
      <c r="C10" s="17">
        <v>2</v>
      </c>
      <c r="D10" s="15"/>
      <c r="E10" s="4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4" customHeight="1">
      <c r="A11" s="7" t="s">
        <v>21</v>
      </c>
      <c r="B11" s="8" t="s">
        <v>22</v>
      </c>
      <c r="C11" s="17">
        <v>330</v>
      </c>
      <c r="D11" s="15"/>
      <c r="E11" s="4" t="s">
        <v>23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6.25" customHeight="1"/>
    <row r="13" spans="1:24" ht="19.5" customHeight="1">
      <c r="A13" s="4"/>
      <c r="B13" s="4"/>
      <c r="C13" s="15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9.5" customHeight="1">
      <c r="A14" s="4"/>
      <c r="B14" s="18" t="s">
        <v>24</v>
      </c>
      <c r="C14" s="19"/>
      <c r="D14" s="19"/>
      <c r="E14" s="19"/>
      <c r="F14" s="1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9.5" customHeight="1">
      <c r="A15" s="4"/>
      <c r="B15" s="20" t="s">
        <v>25</v>
      </c>
      <c r="C15" s="19" t="s">
        <v>26</v>
      </c>
      <c r="D15" s="19" t="s">
        <v>27</v>
      </c>
      <c r="E15" s="19" t="s">
        <v>28</v>
      </c>
      <c r="F15" s="19" t="s">
        <v>29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9.5" customHeight="1">
      <c r="A16" s="4"/>
      <c r="B16" s="20" t="s">
        <v>30</v>
      </c>
      <c r="C16" s="19" t="s">
        <v>31</v>
      </c>
      <c r="D16" s="19" t="s">
        <v>32</v>
      </c>
      <c r="E16" s="21" t="s">
        <v>33</v>
      </c>
      <c r="F16" s="19" t="s">
        <v>34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9.5" customHeight="1">
      <c r="A17" s="4"/>
      <c r="B17" s="22" t="s">
        <v>35</v>
      </c>
      <c r="C17" s="22"/>
      <c r="D17" s="22" t="s">
        <v>36</v>
      </c>
      <c r="E17" s="22"/>
      <c r="F17" s="2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9.5" customHeight="1">
      <c r="A18" s="4"/>
      <c r="B18" s="4"/>
      <c r="C18" s="15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9.5" customHeight="1">
      <c r="A19" s="4"/>
      <c r="B19" s="4"/>
      <c r="C19" s="15"/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9.5" customHeight="1">
      <c r="A20" s="4"/>
      <c r="B20" s="4"/>
      <c r="C20" s="15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9.5" customHeight="1">
      <c r="A21" s="4"/>
      <c r="B21" s="4"/>
      <c r="C21" s="15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9.5" customHeight="1">
      <c r="A22" s="4"/>
      <c r="B22" s="4"/>
      <c r="C22" s="15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9.5" customHeight="1">
      <c r="A23" s="4"/>
      <c r="B23" s="4"/>
      <c r="C23" s="15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9.5" customHeight="1">
      <c r="A24" s="4"/>
      <c r="B24" s="4"/>
      <c r="C24" s="15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9.5" customHeight="1">
      <c r="A25" s="4"/>
      <c r="B25" s="4"/>
      <c r="C25" s="15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9.5" customHeight="1">
      <c r="A26" s="4"/>
      <c r="B26" s="4"/>
      <c r="C26" s="15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9.5" customHeight="1">
      <c r="A27" s="4"/>
      <c r="B27" s="4"/>
      <c r="C27" s="15"/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9.5" customHeight="1">
      <c r="A28" s="4"/>
      <c r="B28" s="4"/>
      <c r="C28" s="15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9.5" customHeight="1">
      <c r="A29" s="4"/>
      <c r="B29" s="4"/>
      <c r="C29" s="15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9.5" customHeight="1">
      <c r="A30" s="4"/>
      <c r="B30" s="4"/>
      <c r="C30" s="15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9.5" customHeight="1">
      <c r="A31" s="4"/>
      <c r="B31" s="4"/>
      <c r="C31" s="15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9.5" customHeight="1">
      <c r="A32" s="4"/>
      <c r="B32" s="4"/>
      <c r="C32" s="15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9.5" customHeight="1">
      <c r="A33" s="4"/>
      <c r="B33" s="4"/>
      <c r="C33" s="15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9.5" customHeight="1">
      <c r="A34" s="4"/>
      <c r="B34" s="4"/>
      <c r="C34" s="15"/>
      <c r="D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9.5" customHeight="1">
      <c r="A35" s="4"/>
      <c r="B35" s="4"/>
      <c r="C35" s="15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9.5" customHeight="1">
      <c r="A36" s="4"/>
      <c r="B36" s="4"/>
      <c r="C36" s="15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9.5" customHeight="1">
      <c r="A37" s="4"/>
      <c r="B37" s="4"/>
      <c r="C37" s="15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9.5" customHeight="1">
      <c r="A38" s="4"/>
      <c r="B38" s="4"/>
      <c r="C38" s="15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9.5" customHeight="1">
      <c r="A39" s="4"/>
      <c r="B39" s="4"/>
      <c r="C39" s="15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9.5" customHeight="1">
      <c r="A40" s="4"/>
      <c r="B40" s="4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9.5" customHeight="1">
      <c r="A41" s="4"/>
      <c r="B41" s="4"/>
      <c r="C41" s="15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9.5" customHeight="1">
      <c r="A42" s="4"/>
      <c r="B42" s="4"/>
      <c r="C42" s="15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9.5" customHeight="1">
      <c r="A43" s="4"/>
      <c r="B43" s="4"/>
      <c r="C43" s="15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9.5" customHeight="1">
      <c r="A44" s="4"/>
      <c r="B44" s="4"/>
      <c r="C44" s="15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9.5" customHeight="1">
      <c r="A45" s="4"/>
      <c r="B45" s="4"/>
      <c r="C45" s="15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9.5" customHeight="1">
      <c r="A46" s="4"/>
      <c r="B46" s="4"/>
      <c r="C46" s="15"/>
      <c r="D46" s="1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9.5" customHeight="1">
      <c r="A47" s="4"/>
      <c r="B47" s="4"/>
      <c r="C47" s="15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9.5" customHeight="1">
      <c r="A48" s="4"/>
      <c r="B48" s="4"/>
      <c r="C48" s="15"/>
      <c r="D48" s="1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9.5" customHeight="1">
      <c r="A49" s="4"/>
      <c r="B49" s="4"/>
      <c r="C49" s="15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9.5" customHeight="1">
      <c r="A50" s="4"/>
      <c r="B50" s="4"/>
      <c r="C50" s="15"/>
      <c r="D50" s="1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9.5" customHeight="1">
      <c r="A51" s="4"/>
      <c r="B51" s="4"/>
      <c r="C51" s="15"/>
      <c r="D51" s="1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9.5" customHeight="1">
      <c r="A52" s="4"/>
      <c r="B52" s="4"/>
      <c r="C52" s="15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9.5" customHeight="1">
      <c r="A53" s="4"/>
      <c r="B53" s="4"/>
      <c r="C53" s="15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9.5" customHeight="1">
      <c r="A54" s="4"/>
      <c r="B54" s="4"/>
      <c r="C54" s="15"/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9.5" customHeight="1">
      <c r="A55" s="4"/>
      <c r="B55" s="4"/>
      <c r="C55" s="15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9.5" customHeight="1">
      <c r="A56" s="4"/>
      <c r="B56" s="4"/>
      <c r="C56" s="15"/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9.5" customHeight="1">
      <c r="A57" s="4"/>
      <c r="B57" s="4"/>
      <c r="C57" s="15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9.5" customHeight="1">
      <c r="A58" s="4"/>
      <c r="B58" s="4"/>
      <c r="C58" s="15"/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9.5" customHeight="1">
      <c r="A59" s="4"/>
      <c r="B59" s="4"/>
      <c r="C59" s="15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9.5" customHeight="1">
      <c r="A60" s="4"/>
      <c r="B60" s="4"/>
      <c r="C60" s="15"/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9.5" customHeight="1">
      <c r="A61" s="4"/>
      <c r="B61" s="4"/>
      <c r="C61" s="15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9.5" customHeight="1">
      <c r="A62" s="4"/>
      <c r="B62" s="4"/>
      <c r="C62" s="15"/>
      <c r="D62" s="1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9.5" customHeight="1">
      <c r="A63" s="4"/>
      <c r="B63" s="4"/>
      <c r="C63" s="15"/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9.5" customHeight="1">
      <c r="A64" s="4"/>
      <c r="B64" s="4"/>
      <c r="C64" s="15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9.5" customHeight="1">
      <c r="A65" s="4"/>
      <c r="B65" s="4"/>
      <c r="C65" s="15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9.5" customHeight="1">
      <c r="A66" s="4"/>
      <c r="B66" s="4"/>
      <c r="C66" s="15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9.5" customHeight="1">
      <c r="A67" s="4"/>
      <c r="B67" s="4"/>
      <c r="C67" s="15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9.5" customHeight="1">
      <c r="A68" s="4"/>
      <c r="B68" s="4"/>
      <c r="C68" s="15"/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9.5" customHeight="1">
      <c r="A69" s="4"/>
      <c r="B69" s="4"/>
      <c r="C69" s="15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9.5" customHeight="1">
      <c r="A70" s="4"/>
      <c r="B70" s="4"/>
      <c r="C70" s="15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9.5" customHeight="1">
      <c r="A71" s="4"/>
      <c r="B71" s="4"/>
      <c r="C71" s="15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9.5" customHeight="1">
      <c r="A72" s="4"/>
      <c r="B72" s="4"/>
      <c r="C72" s="15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9.5" customHeight="1">
      <c r="A73" s="4"/>
      <c r="B73" s="4"/>
      <c r="C73" s="15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9.5" customHeight="1">
      <c r="A74" s="4"/>
      <c r="B74" s="4"/>
      <c r="C74" s="15"/>
      <c r="D74" s="1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9.5" customHeight="1">
      <c r="A75" s="4"/>
      <c r="B75" s="4"/>
      <c r="C75" s="15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9.5" customHeight="1">
      <c r="A76" s="4"/>
      <c r="B76" s="4"/>
      <c r="C76" s="15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9.5" customHeight="1">
      <c r="A77" s="4"/>
      <c r="B77" s="4"/>
      <c r="C77" s="15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9.5" customHeight="1">
      <c r="A78" s="4"/>
      <c r="B78" s="4"/>
      <c r="C78" s="15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9.5" customHeight="1">
      <c r="A79" s="4"/>
      <c r="B79" s="4"/>
      <c r="C79" s="15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9.5" customHeight="1">
      <c r="A80" s="4"/>
      <c r="B80" s="4"/>
      <c r="C80" s="15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9.5" customHeight="1">
      <c r="A81" s="4"/>
      <c r="B81" s="4"/>
      <c r="C81" s="15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9.5" customHeight="1">
      <c r="A82" s="4"/>
      <c r="B82" s="4"/>
      <c r="C82" s="15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9.5" customHeight="1">
      <c r="A83" s="4"/>
      <c r="B83" s="4"/>
      <c r="C83" s="15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9.5" customHeight="1">
      <c r="A84" s="4"/>
      <c r="B84" s="4"/>
      <c r="C84" s="15"/>
      <c r="D84" s="1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9.5" customHeight="1">
      <c r="A85" s="4"/>
      <c r="B85" s="4"/>
      <c r="C85" s="15"/>
      <c r="D85" s="1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9.5" customHeight="1">
      <c r="A86" s="4"/>
      <c r="B86" s="4"/>
      <c r="C86" s="15"/>
      <c r="D86" s="1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9.5" customHeight="1">
      <c r="A87" s="4"/>
      <c r="B87" s="4"/>
      <c r="C87" s="15"/>
      <c r="D87" s="1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9.5" customHeight="1">
      <c r="A88" s="4"/>
      <c r="B88" s="4"/>
      <c r="C88" s="15"/>
      <c r="D88" s="1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9.5" customHeight="1">
      <c r="A89" s="4"/>
      <c r="B89" s="4"/>
      <c r="C89" s="15"/>
      <c r="D89" s="1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9.5" customHeight="1">
      <c r="A90" s="4"/>
      <c r="B90" s="4"/>
      <c r="C90" s="15"/>
      <c r="D90" s="1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9.5" customHeight="1">
      <c r="A91" s="4"/>
      <c r="B91" s="4"/>
      <c r="C91" s="15"/>
      <c r="D91" s="1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9.5" customHeight="1">
      <c r="A92" s="4"/>
      <c r="B92" s="4"/>
      <c r="C92" s="15"/>
      <c r="D92" s="1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9.5" customHeight="1">
      <c r="A93" s="4"/>
      <c r="B93" s="4"/>
      <c r="C93" s="15"/>
      <c r="D93" s="1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9.5" customHeight="1">
      <c r="A94" s="4"/>
      <c r="B94" s="4"/>
      <c r="C94" s="15"/>
      <c r="D94" s="1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9.5" customHeight="1">
      <c r="A95" s="4"/>
      <c r="B95" s="4"/>
      <c r="C95" s="15"/>
      <c r="D95" s="1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9.5" customHeight="1">
      <c r="A96" s="4"/>
      <c r="B96" s="4"/>
      <c r="C96" s="15"/>
      <c r="D96" s="1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9.5" customHeight="1">
      <c r="A97" s="4"/>
      <c r="B97" s="4"/>
      <c r="C97" s="15"/>
      <c r="D97" s="1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9.5" customHeight="1">
      <c r="A98" s="4"/>
      <c r="B98" s="4"/>
      <c r="C98" s="15"/>
      <c r="D98" s="1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9.5" customHeight="1">
      <c r="A99" s="4"/>
      <c r="B99" s="4"/>
      <c r="C99" s="15"/>
      <c r="D99" s="1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9.5" customHeight="1">
      <c r="A100" s="4"/>
      <c r="B100" s="4"/>
      <c r="C100" s="15"/>
      <c r="D100" s="1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9.5" customHeight="1">
      <c r="A101" s="4"/>
      <c r="B101" s="4"/>
      <c r="C101" s="15"/>
      <c r="D101" s="1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9.5" customHeight="1">
      <c r="A102" s="4"/>
      <c r="B102" s="4"/>
      <c r="C102" s="15"/>
      <c r="D102" s="1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9.5" customHeight="1">
      <c r="A103" s="4"/>
      <c r="B103" s="4"/>
      <c r="C103" s="15"/>
      <c r="D103" s="1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9.5" customHeight="1">
      <c r="A104" s="4"/>
      <c r="B104" s="4"/>
      <c r="C104" s="15"/>
      <c r="D104" s="1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9.5" customHeight="1">
      <c r="A105" s="4"/>
      <c r="B105" s="4"/>
      <c r="C105" s="15"/>
      <c r="D105" s="1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9.5" customHeight="1">
      <c r="A106" s="4"/>
      <c r="B106" s="4"/>
      <c r="C106" s="15"/>
      <c r="D106" s="1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9.5" customHeight="1">
      <c r="A107" s="4"/>
      <c r="B107" s="4"/>
      <c r="C107" s="15"/>
      <c r="D107" s="1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9.5" customHeight="1">
      <c r="A108" s="4"/>
      <c r="B108" s="4"/>
      <c r="C108" s="15"/>
      <c r="D108" s="1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9.5" customHeight="1">
      <c r="A109" s="4"/>
      <c r="B109" s="4"/>
      <c r="C109" s="15"/>
      <c r="D109" s="1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9.5" customHeight="1">
      <c r="A110" s="4"/>
      <c r="B110" s="4"/>
      <c r="C110" s="15"/>
      <c r="D110" s="1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9.5" customHeight="1">
      <c r="A111" s="4"/>
      <c r="B111" s="4"/>
      <c r="C111" s="15"/>
      <c r="D111" s="1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9.5" customHeight="1">
      <c r="A112" s="4"/>
      <c r="B112" s="4"/>
      <c r="C112" s="15"/>
      <c r="D112" s="1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9.5" customHeight="1">
      <c r="A113" s="4"/>
      <c r="B113" s="4"/>
      <c r="C113" s="15"/>
      <c r="D113" s="1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9.5" customHeight="1">
      <c r="A114" s="4"/>
      <c r="B114" s="4"/>
      <c r="C114" s="15"/>
      <c r="D114" s="1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9.5" customHeight="1">
      <c r="A115" s="4"/>
      <c r="B115" s="4"/>
      <c r="C115" s="15"/>
      <c r="D115" s="1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9.5" customHeight="1">
      <c r="A116" s="4"/>
      <c r="B116" s="4"/>
      <c r="C116" s="15"/>
      <c r="D116" s="1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9.5" customHeight="1">
      <c r="A117" s="4"/>
      <c r="B117" s="4"/>
      <c r="C117" s="15"/>
      <c r="D117" s="1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9.5" customHeight="1">
      <c r="A118" s="4"/>
      <c r="B118" s="4"/>
      <c r="C118" s="15"/>
      <c r="D118" s="1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9.5" customHeight="1">
      <c r="A119" s="4"/>
      <c r="B119" s="4"/>
      <c r="C119" s="15"/>
      <c r="D119" s="1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9.5" customHeight="1">
      <c r="A120" s="4"/>
      <c r="B120" s="4"/>
      <c r="C120" s="15"/>
      <c r="D120" s="1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9.5" customHeight="1">
      <c r="A121" s="4"/>
      <c r="B121" s="4"/>
      <c r="C121" s="15"/>
      <c r="D121" s="1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9.5" customHeight="1">
      <c r="A122" s="4"/>
      <c r="B122" s="4"/>
      <c r="C122" s="15"/>
      <c r="D122" s="1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9.5" customHeight="1">
      <c r="A123" s="4"/>
      <c r="B123" s="4"/>
      <c r="C123" s="15"/>
      <c r="D123" s="1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9.5" customHeight="1">
      <c r="A124" s="4"/>
      <c r="B124" s="4"/>
      <c r="C124" s="15"/>
      <c r="D124" s="1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9.5" customHeight="1">
      <c r="A125" s="4"/>
      <c r="B125" s="4"/>
      <c r="C125" s="15"/>
      <c r="D125" s="1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9.5" customHeight="1">
      <c r="A126" s="4"/>
      <c r="B126" s="4"/>
      <c r="C126" s="15"/>
      <c r="D126" s="1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9.5" customHeight="1">
      <c r="A127" s="4"/>
      <c r="B127" s="4"/>
      <c r="C127" s="15"/>
      <c r="D127" s="1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9.5" customHeight="1">
      <c r="A128" s="4"/>
      <c r="B128" s="4"/>
      <c r="C128" s="15"/>
      <c r="D128" s="1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9.5" customHeight="1">
      <c r="A129" s="4"/>
      <c r="B129" s="4"/>
      <c r="C129" s="15"/>
      <c r="D129" s="1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9.5" customHeight="1">
      <c r="A130" s="4"/>
      <c r="B130" s="4"/>
      <c r="C130" s="15"/>
      <c r="D130" s="1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9.5" customHeight="1">
      <c r="A131" s="4"/>
      <c r="B131" s="4"/>
      <c r="C131" s="15"/>
      <c r="D131" s="1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9.5" customHeight="1">
      <c r="A132" s="4"/>
      <c r="B132" s="4"/>
      <c r="C132" s="15"/>
      <c r="D132" s="1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9.5" customHeight="1">
      <c r="A133" s="4"/>
      <c r="B133" s="4"/>
      <c r="C133" s="15"/>
      <c r="D133" s="1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9.5" customHeight="1">
      <c r="A134" s="4"/>
      <c r="B134" s="4"/>
      <c r="C134" s="15"/>
      <c r="D134" s="1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9.5" customHeight="1">
      <c r="A135" s="4"/>
      <c r="B135" s="4"/>
      <c r="C135" s="15"/>
      <c r="D135" s="1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9.5" customHeight="1">
      <c r="A136" s="4"/>
      <c r="B136" s="4"/>
      <c r="C136" s="15"/>
      <c r="D136" s="1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9.5" customHeight="1">
      <c r="A137" s="4"/>
      <c r="B137" s="4"/>
      <c r="C137" s="15"/>
      <c r="D137" s="1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9.5" customHeight="1">
      <c r="A138" s="4"/>
      <c r="B138" s="4"/>
      <c r="C138" s="15"/>
      <c r="D138" s="1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9.5" customHeight="1">
      <c r="A139" s="4"/>
      <c r="B139" s="4"/>
      <c r="C139" s="15"/>
      <c r="D139" s="1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9.5" customHeight="1">
      <c r="A140" s="4"/>
      <c r="B140" s="4"/>
      <c r="C140" s="15"/>
      <c r="D140" s="1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9.5" customHeight="1">
      <c r="A141" s="4"/>
      <c r="B141" s="4"/>
      <c r="C141" s="15"/>
      <c r="D141" s="1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9.5" customHeight="1">
      <c r="A142" s="4"/>
      <c r="B142" s="4"/>
      <c r="C142" s="15"/>
      <c r="D142" s="1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9.5" customHeight="1">
      <c r="A143" s="4"/>
      <c r="B143" s="4"/>
      <c r="C143" s="15"/>
      <c r="D143" s="1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9.5" customHeight="1">
      <c r="A144" s="4"/>
      <c r="B144" s="4"/>
      <c r="C144" s="15"/>
      <c r="D144" s="1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9.5" customHeight="1">
      <c r="A145" s="4"/>
      <c r="B145" s="4"/>
      <c r="C145" s="15"/>
      <c r="D145" s="1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9.5" customHeight="1">
      <c r="A146" s="4"/>
      <c r="B146" s="4"/>
      <c r="C146" s="15"/>
      <c r="D146" s="1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9.5" customHeight="1">
      <c r="A147" s="4"/>
      <c r="B147" s="4"/>
      <c r="C147" s="15"/>
      <c r="D147" s="1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9.5" customHeight="1">
      <c r="A148" s="4"/>
      <c r="B148" s="4"/>
      <c r="C148" s="15"/>
      <c r="D148" s="1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9.5" customHeight="1">
      <c r="A149" s="4"/>
      <c r="B149" s="4"/>
      <c r="C149" s="15"/>
      <c r="D149" s="1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9.5" customHeight="1">
      <c r="A150" s="4"/>
      <c r="B150" s="4"/>
      <c r="C150" s="15"/>
      <c r="D150" s="1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9.5" customHeight="1">
      <c r="A151" s="4"/>
      <c r="B151" s="4"/>
      <c r="C151" s="15"/>
      <c r="D151" s="1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9.5" customHeight="1">
      <c r="A152" s="4"/>
      <c r="B152" s="4"/>
      <c r="C152" s="15"/>
      <c r="D152" s="1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9.5" customHeight="1">
      <c r="A153" s="4"/>
      <c r="B153" s="4"/>
      <c r="C153" s="15"/>
      <c r="D153" s="1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9.5" customHeight="1">
      <c r="A154" s="4"/>
      <c r="B154" s="4"/>
      <c r="C154" s="15"/>
      <c r="D154" s="1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9.5" customHeight="1">
      <c r="A155" s="4"/>
      <c r="B155" s="4"/>
      <c r="C155" s="15"/>
      <c r="D155" s="1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9.5" customHeight="1">
      <c r="A156" s="4"/>
      <c r="B156" s="4"/>
      <c r="C156" s="15"/>
      <c r="D156" s="1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9.5" customHeight="1">
      <c r="A157" s="4"/>
      <c r="B157" s="4"/>
      <c r="C157" s="15"/>
      <c r="D157" s="1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9.5" customHeight="1">
      <c r="A158" s="4"/>
      <c r="B158" s="4"/>
      <c r="C158" s="15"/>
      <c r="D158" s="1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9.5" customHeight="1">
      <c r="A159" s="4"/>
      <c r="B159" s="4"/>
      <c r="C159" s="15"/>
      <c r="D159" s="1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9.5" customHeight="1">
      <c r="A160" s="4"/>
      <c r="B160" s="4"/>
      <c r="C160" s="15"/>
      <c r="D160" s="1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9.5" customHeight="1">
      <c r="A161" s="4"/>
      <c r="B161" s="4"/>
      <c r="C161" s="15"/>
      <c r="D161" s="1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9.5" customHeight="1">
      <c r="A162" s="4"/>
      <c r="B162" s="4"/>
      <c r="C162" s="15"/>
      <c r="D162" s="1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9.5" customHeight="1">
      <c r="A163" s="4"/>
      <c r="B163" s="4"/>
      <c r="C163" s="15"/>
      <c r="D163" s="1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9.5" customHeight="1">
      <c r="A164" s="4"/>
      <c r="B164" s="4"/>
      <c r="C164" s="15"/>
      <c r="D164" s="1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9.5" customHeight="1">
      <c r="A165" s="4"/>
      <c r="B165" s="4"/>
      <c r="C165" s="15"/>
      <c r="D165" s="1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9.5" customHeight="1">
      <c r="A166" s="4"/>
      <c r="B166" s="4"/>
      <c r="C166" s="15"/>
      <c r="D166" s="1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9.5" customHeight="1">
      <c r="A167" s="4"/>
      <c r="B167" s="4"/>
      <c r="C167" s="15"/>
      <c r="D167" s="1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9.5" customHeight="1">
      <c r="A168" s="4"/>
      <c r="B168" s="4"/>
      <c r="C168" s="15"/>
      <c r="D168" s="1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9.5" customHeight="1">
      <c r="A169" s="4"/>
      <c r="B169" s="4"/>
      <c r="C169" s="15"/>
      <c r="D169" s="1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9.5" customHeight="1">
      <c r="A170" s="4"/>
      <c r="B170" s="4"/>
      <c r="C170" s="15"/>
      <c r="D170" s="1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9.5" customHeight="1">
      <c r="A171" s="4"/>
      <c r="B171" s="4"/>
      <c r="C171" s="15"/>
      <c r="D171" s="1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9.5" customHeight="1">
      <c r="A172" s="4"/>
      <c r="B172" s="4"/>
      <c r="C172" s="15"/>
      <c r="D172" s="1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9.5" customHeight="1">
      <c r="A173" s="4"/>
      <c r="B173" s="4"/>
      <c r="C173" s="15"/>
      <c r="D173" s="1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9.5" customHeight="1">
      <c r="A174" s="4"/>
      <c r="B174" s="4"/>
      <c r="C174" s="15"/>
      <c r="D174" s="1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9.5" customHeight="1">
      <c r="A175" s="4"/>
      <c r="B175" s="4"/>
      <c r="C175" s="15"/>
      <c r="D175" s="1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9.5" customHeight="1">
      <c r="A176" s="4"/>
      <c r="B176" s="4"/>
      <c r="C176" s="15"/>
      <c r="D176" s="1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9.5" customHeight="1">
      <c r="A177" s="4"/>
      <c r="B177" s="4"/>
      <c r="C177" s="15"/>
      <c r="D177" s="1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9.5" customHeight="1">
      <c r="A178" s="4"/>
      <c r="B178" s="4"/>
      <c r="C178" s="15"/>
      <c r="D178" s="1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9.5" customHeight="1">
      <c r="A179" s="4"/>
      <c r="B179" s="4"/>
      <c r="C179" s="15"/>
      <c r="D179" s="1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9.5" customHeight="1">
      <c r="A180" s="4"/>
      <c r="B180" s="4"/>
      <c r="C180" s="15"/>
      <c r="D180" s="1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9.5" customHeight="1">
      <c r="A181" s="4"/>
      <c r="B181" s="4"/>
      <c r="C181" s="15"/>
      <c r="D181" s="1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9.5" customHeight="1">
      <c r="A182" s="4"/>
      <c r="B182" s="4"/>
      <c r="C182" s="15"/>
      <c r="D182" s="1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9.5" customHeight="1">
      <c r="A183" s="4"/>
      <c r="B183" s="4"/>
      <c r="C183" s="15"/>
      <c r="D183" s="1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9.5" customHeight="1">
      <c r="A184" s="4"/>
      <c r="B184" s="4"/>
      <c r="C184" s="15"/>
      <c r="D184" s="1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9.5" customHeight="1">
      <c r="A185" s="4"/>
      <c r="B185" s="4"/>
      <c r="C185" s="15"/>
      <c r="D185" s="1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9.5" customHeight="1">
      <c r="A186" s="4"/>
      <c r="B186" s="4"/>
      <c r="C186" s="15"/>
      <c r="D186" s="1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9.5" customHeight="1">
      <c r="A187" s="4"/>
      <c r="B187" s="4"/>
      <c r="C187" s="15"/>
      <c r="D187" s="1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9.5" customHeight="1">
      <c r="A188" s="4"/>
      <c r="B188" s="4"/>
      <c r="C188" s="15"/>
      <c r="D188" s="1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9.5" customHeight="1">
      <c r="A189" s="4"/>
      <c r="B189" s="4"/>
      <c r="C189" s="15"/>
      <c r="D189" s="1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9.5" customHeight="1">
      <c r="A190" s="4"/>
      <c r="B190" s="4"/>
      <c r="C190" s="15"/>
      <c r="D190" s="1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9.5" customHeight="1">
      <c r="A191" s="4"/>
      <c r="B191" s="4"/>
      <c r="C191" s="15"/>
      <c r="D191" s="1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9.5" customHeight="1">
      <c r="A192" s="4"/>
      <c r="B192" s="4"/>
      <c r="C192" s="15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9.5" customHeight="1">
      <c r="A193" s="4"/>
      <c r="B193" s="4"/>
      <c r="C193" s="15"/>
      <c r="D193" s="1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9.5" customHeight="1">
      <c r="A194" s="4"/>
      <c r="B194" s="4"/>
      <c r="C194" s="15"/>
      <c r="D194" s="1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9.5" customHeight="1">
      <c r="A195" s="4"/>
      <c r="B195" s="4"/>
      <c r="C195" s="15"/>
      <c r="D195" s="1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9.5" customHeight="1">
      <c r="A196" s="4"/>
      <c r="B196" s="4"/>
      <c r="C196" s="15"/>
      <c r="D196" s="1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9.5" customHeight="1">
      <c r="A197" s="4"/>
      <c r="B197" s="4"/>
      <c r="C197" s="15"/>
      <c r="D197" s="1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9.5" customHeight="1">
      <c r="A198" s="4"/>
      <c r="B198" s="4"/>
      <c r="C198" s="15"/>
      <c r="D198" s="1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9.5" customHeight="1">
      <c r="A199" s="4"/>
      <c r="B199" s="4"/>
      <c r="C199" s="15"/>
      <c r="D199" s="1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9.5" customHeight="1">
      <c r="A200" s="4"/>
      <c r="B200" s="4"/>
      <c r="C200" s="15"/>
      <c r="D200" s="1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9.5" customHeight="1">
      <c r="A201" s="4"/>
      <c r="B201" s="4"/>
      <c r="C201" s="15"/>
      <c r="D201" s="1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9.5" customHeight="1">
      <c r="A202" s="4"/>
      <c r="B202" s="4"/>
      <c r="C202" s="15"/>
      <c r="D202" s="1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9.5" customHeight="1">
      <c r="A203" s="4"/>
      <c r="B203" s="4"/>
      <c r="C203" s="15"/>
      <c r="D203" s="1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9.5" customHeight="1">
      <c r="A204" s="4"/>
      <c r="B204" s="4"/>
      <c r="C204" s="15"/>
      <c r="D204" s="1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9.5" customHeight="1">
      <c r="A205" s="4"/>
      <c r="B205" s="4"/>
      <c r="C205" s="15"/>
      <c r="D205" s="1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9.5" customHeight="1">
      <c r="A206" s="4"/>
      <c r="B206" s="4"/>
      <c r="C206" s="15"/>
      <c r="D206" s="1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9.5" customHeight="1">
      <c r="A207" s="4"/>
      <c r="B207" s="4"/>
      <c r="C207" s="15"/>
      <c r="D207" s="1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9.5" customHeight="1">
      <c r="A208" s="4"/>
      <c r="B208" s="4"/>
      <c r="C208" s="15"/>
      <c r="D208" s="1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9.5" customHeight="1">
      <c r="A209" s="4"/>
      <c r="B209" s="4"/>
      <c r="C209" s="15"/>
      <c r="D209" s="1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9.5" customHeight="1">
      <c r="A210" s="4"/>
      <c r="B210" s="4"/>
      <c r="C210" s="15"/>
      <c r="D210" s="1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9.5" customHeight="1">
      <c r="A211" s="4"/>
      <c r="B211" s="4"/>
      <c r="C211" s="15"/>
      <c r="D211" s="1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9.5" customHeight="1">
      <c r="A212" s="4"/>
      <c r="B212" s="4"/>
      <c r="C212" s="15"/>
      <c r="D212" s="1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9.5" customHeight="1">
      <c r="A213" s="4"/>
      <c r="B213" s="4"/>
      <c r="C213" s="15"/>
      <c r="D213" s="1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9.5" customHeight="1">
      <c r="A214" s="4"/>
      <c r="B214" s="4"/>
      <c r="C214" s="15"/>
      <c r="D214" s="1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9.5" customHeight="1">
      <c r="A215" s="4"/>
      <c r="B215" s="4"/>
      <c r="C215" s="15"/>
      <c r="D215" s="1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9.5" customHeight="1">
      <c r="A216" s="4"/>
      <c r="B216" s="4"/>
      <c r="C216" s="15"/>
      <c r="D216" s="1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9.5" customHeight="1">
      <c r="A217" s="4"/>
      <c r="B217" s="4"/>
      <c r="C217" s="15"/>
      <c r="D217" s="1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9.5" customHeight="1">
      <c r="A218" s="4"/>
      <c r="B218" s="4"/>
      <c r="C218" s="15"/>
      <c r="D218" s="1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9.5" customHeight="1">
      <c r="A219" s="4"/>
      <c r="B219" s="4"/>
      <c r="C219" s="15"/>
      <c r="D219" s="1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9.5" customHeight="1">
      <c r="A220" s="4"/>
      <c r="B220" s="4"/>
      <c r="C220" s="15"/>
      <c r="D220" s="1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9.5" customHeight="1">
      <c r="A221" s="4"/>
      <c r="B221" s="4"/>
      <c r="C221" s="15"/>
      <c r="D221" s="1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9.5" customHeight="1">
      <c r="A222" s="4"/>
      <c r="B222" s="4"/>
      <c r="C222" s="15"/>
      <c r="D222" s="1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4.25" customHeight="1"/>
    <row r="224" spans="1: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E1"/>
    <mergeCell ref="A2:E2"/>
  </mergeCells>
  <phoneticPr fontId="5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6"/>
  <sheetViews>
    <sheetView workbookViewId="0">
      <selection activeCell="C12" sqref="C12"/>
    </sheetView>
  </sheetViews>
  <sheetFormatPr defaultColWidth="10.109375" defaultRowHeight="15" customHeight="1"/>
  <cols>
    <col min="1" max="1" width="17.88671875" customWidth="1"/>
    <col min="3" max="3" width="26.88671875" customWidth="1"/>
    <col min="4" max="4" width="30.109375" customWidth="1"/>
  </cols>
  <sheetData>
    <row r="1" spans="1:25" ht="22.5" customHeight="1">
      <c r="A1" s="23" t="s">
        <v>2</v>
      </c>
      <c r="B1" s="23" t="s">
        <v>37</v>
      </c>
      <c r="C1" s="23" t="s">
        <v>38</v>
      </c>
      <c r="D1" s="23" t="s">
        <v>39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22.5" customHeight="1">
      <c r="A2" s="25" t="s">
        <v>40</v>
      </c>
      <c r="B2" s="26">
        <v>4000</v>
      </c>
      <c r="C2" s="25" t="s">
        <v>41</v>
      </c>
      <c r="D2" s="27" t="s">
        <v>42</v>
      </c>
      <c r="E2" s="24"/>
      <c r="F2" s="25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22.5" customHeight="1">
      <c r="A3" s="25" t="s">
        <v>43</v>
      </c>
      <c r="B3" s="26">
        <v>5667</v>
      </c>
      <c r="C3" s="24"/>
      <c r="D3" s="28" t="s">
        <v>44</v>
      </c>
      <c r="E3" s="24"/>
      <c r="F3" s="25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22.5" customHeight="1">
      <c r="A4" s="25" t="s">
        <v>45</v>
      </c>
      <c r="B4" s="26">
        <v>20400</v>
      </c>
      <c r="C4" s="25" t="s">
        <v>46</v>
      </c>
      <c r="D4" s="28" t="s">
        <v>47</v>
      </c>
      <c r="E4" s="24"/>
      <c r="F4" s="25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28.5">
      <c r="A5" s="25" t="s">
        <v>48</v>
      </c>
      <c r="B5" s="26">
        <v>3600</v>
      </c>
      <c r="C5" s="25" t="s">
        <v>49</v>
      </c>
      <c r="D5" s="28" t="s">
        <v>50</v>
      </c>
      <c r="E5" s="24"/>
      <c r="F5" s="25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57">
      <c r="A6" s="25" t="s">
        <v>51</v>
      </c>
      <c r="B6" s="26">
        <v>1400000</v>
      </c>
      <c r="C6" s="25" t="s">
        <v>52</v>
      </c>
      <c r="D6" s="28" t="s">
        <v>53</v>
      </c>
      <c r="E6" s="24"/>
      <c r="F6" s="25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22.5" customHeight="1">
      <c r="A7" s="25" t="s">
        <v>54</v>
      </c>
      <c r="B7" s="26">
        <v>60000</v>
      </c>
      <c r="C7" s="25" t="s">
        <v>55</v>
      </c>
      <c r="D7" s="28" t="s">
        <v>56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22.5" customHeight="1">
      <c r="A8" s="25" t="s">
        <v>57</v>
      </c>
      <c r="B8" s="26">
        <v>34574</v>
      </c>
      <c r="C8" s="25" t="s">
        <v>58</v>
      </c>
      <c r="D8" s="28" t="s">
        <v>59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22.5" customHeight="1">
      <c r="A9" s="29" t="s">
        <v>60</v>
      </c>
      <c r="B9" s="30">
        <v>4200</v>
      </c>
      <c r="C9" s="29" t="s">
        <v>61</v>
      </c>
      <c r="D9" s="31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22.5" customHeight="1">
      <c r="A10" s="29" t="s">
        <v>62</v>
      </c>
      <c r="B10" s="30"/>
      <c r="C10" s="32"/>
      <c r="D10" s="31" t="s">
        <v>63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22.5" customHeight="1">
      <c r="A11" s="29" t="s">
        <v>64</v>
      </c>
      <c r="B11" s="33"/>
      <c r="C11" s="32"/>
      <c r="D11" s="3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22.5" customHeight="1">
      <c r="A12" s="29" t="s">
        <v>65</v>
      </c>
      <c r="B12" s="30">
        <v>21507</v>
      </c>
      <c r="C12" s="32"/>
      <c r="D12" s="31" t="s">
        <v>66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22.5" customHeight="1">
      <c r="A13" s="32"/>
      <c r="B13" s="30"/>
      <c r="C13" s="32"/>
      <c r="D13" s="3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22.5" customHeight="1">
      <c r="A14" s="32"/>
      <c r="B14" s="36"/>
      <c r="C14" s="32"/>
      <c r="D14" s="3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22.5" customHeight="1">
      <c r="A15" s="32"/>
      <c r="B15" s="36"/>
      <c r="C15" s="32"/>
      <c r="D15" s="3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22.5" customHeight="1">
      <c r="A16" s="24"/>
      <c r="B16" s="37"/>
      <c r="C16" s="24"/>
      <c r="D16" s="3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22.5" customHeight="1">
      <c r="A17" s="39"/>
      <c r="B17" s="40"/>
      <c r="C17" s="39"/>
      <c r="D17" s="41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5.75">
      <c r="A18" s="24"/>
      <c r="B18" s="37">
        <f>SUM(B2:B16)</f>
        <v>1553948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7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.7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.7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.7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5.7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5.7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.7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5.7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5.7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.7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5.7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15.7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15.7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15.7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5.7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5.7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5.7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5.7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5.7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5.7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5.7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5.7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5.7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5.7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5.7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5.7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5.7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5.7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5.7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.7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.7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15.7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15.7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15.7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15.7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5.7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15.7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15.7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15.7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15.7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15.7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15.7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15.7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15.7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15.7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15.7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15.7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15.7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15.7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15.7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15.7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15.7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15.7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15.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15.7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15.7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15.7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15.7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15.7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15.7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15.7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ht="15.7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ht="15.7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15.7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ht="15.7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ht="15.7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ht="15.7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ht="15.7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ht="15.7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ht="15.7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ht="15.7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ht="15.7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ht="15.7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ht="15.7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ht="15.7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15.7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5.7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15.7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15.7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ht="15.7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ht="15.7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ht="15.7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ht="15.7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ht="15.7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ht="15.7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ht="15.7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ht="15.7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ht="15.7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ht="15.7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ht="15.7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ht="15.7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ht="15.7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ht="15.7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ht="15.7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ht="15.7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ht="15.7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ht="15.7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ht="15.7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ht="15.7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ht="15.7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ht="15.7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ht="15.7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ht="15.7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ht="15.7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ht="15.7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ht="15.7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ht="15.7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ht="15.7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ht="15.7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ht="15.7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ht="15.7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ht="15.7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ht="15.7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ht="15.7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ht="15.7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ht="15.7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ht="15.7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ht="15.7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ht="15.7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ht="15.7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ht="15.7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ht="15.7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ht="15.7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ht="15.7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ht="15.7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ht="15.7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ht="15.7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ht="15.7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ht="15.7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ht="15.7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ht="15.7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ht="15.7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ht="15.7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ht="15.7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ht="15.7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ht="15.7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ht="15.7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ht="15.7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ht="15.7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ht="15.7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ht="15.7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ht="15.7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ht="15.7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ht="15.7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ht="15.7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ht="15.7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ht="15.7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ht="15.7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ht="15.7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ht="15.7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ht="15.7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ht="15.7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ht="15.7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ht="15.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ht="15.7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ht="15.7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ht="15.7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ht="15.7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ht="15.7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ht="15.7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5.7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ht="15.7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ht="15.7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ht="15.7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ht="15.7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ht="15.7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ht="15.7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ht="15.7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ht="15.7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ht="15.7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ht="15.7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ht="15.7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ht="15.7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ht="15.7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ht="15.7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ht="15.7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ht="15.7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ht="15.7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ht="15.7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ht="15.7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ht="15.7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ht="15.7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ht="15.7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ht="15.7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ht="15.7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ht="15.7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ht="15.7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ht="15.7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ht="15.7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ht="15.7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ht="15.7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ht="15.7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ht="15.7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ht="15.7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ht="15.7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ht="15.7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ht="15.7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ht="15.7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ht="15.7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ht="15.7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ht="15.7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ht="15.7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ht="15.7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ht="15.7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ht="15.7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ht="15.7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ht="15.7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ht="15.7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ht="15.7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ht="15.7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ht="15.7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ht="15.7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ht="15.7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ht="15.7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ht="15.7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ht="15.7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ht="15.7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ht="15.7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ht="15.7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ht="15.7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ht="15.7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ht="15.7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ht="15.7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ht="15.7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ht="15.7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ht="15.7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ht="15.7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ht="15.7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ht="15.7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ht="15.7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ht="15.7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ht="15.7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ht="15.7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ht="15.7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ht="15.7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ht="15.7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ht="15.7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ht="15.7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ht="15.7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ht="15.7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ht="15.7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ht="15.7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ht="15.7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ht="15.7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ht="15.7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ht="15.7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ht="15.7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ht="15.7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ht="15.7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ht="15.7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ht="15.7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ht="15.7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ht="15.7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15.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ht="15.7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ht="15.7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ht="15.7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ht="15.7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ht="15.7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ht="15.7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ht="15.7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ht="15.7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ht="15.7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ht="15.7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ht="15.7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ht="15.7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ht="15.7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ht="15.7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ht="15.7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ht="15.7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ht="15.7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ht="15.7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ht="15.7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ht="15.7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ht="15.7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ht="15.7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ht="15.7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ht="15.7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ht="15.7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ht="15.7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ht="15.7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ht="15.7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ht="15.7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ht="15.7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ht="15.7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ht="15.7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ht="15.7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ht="15.7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ht="15.7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ht="15.7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ht="15.7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ht="15.7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ht="15.7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ht="15.7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ht="15.7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ht="15.7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ht="15.7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ht="15.7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ht="15.7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ht="15.7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ht="15.7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ht="15.7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ht="15.7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ht="15.7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ht="15.7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ht="15.7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ht="15.7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ht="15.7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ht="15.7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ht="15.7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ht="15.7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ht="15.7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ht="15.7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ht="15.7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ht="15.7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ht="15.7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ht="15.7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ht="15.7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ht="15.7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ht="15.7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ht="15.7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ht="15.7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ht="15.7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ht="15.7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ht="15.7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ht="15.7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ht="15.7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ht="15.7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ht="15.7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ht="15.7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ht="15.7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ht="15.7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ht="15.7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ht="15.7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ht="15.7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ht="15.7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ht="15.7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ht="15.7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ht="15.7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ht="15.7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ht="15.7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ht="15.7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ht="15.7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ht="15.7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 ht="15.7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 ht="15.7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 ht="15.7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 ht="15.7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 ht="15.7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 ht="15.7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 ht="15.7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 ht="15.7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 ht="15.7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 ht="15.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 ht="15.7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 ht="15.7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 ht="15.7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 ht="15.7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 ht="15.7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 ht="15.7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 ht="15.7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 ht="15.7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 ht="15.7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 ht="15.7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 ht="15.7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 ht="15.7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 ht="15.7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 ht="15.7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 ht="15.7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 ht="15.7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 ht="15.7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 ht="15.7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 ht="15.7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 ht="15.7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 ht="15.7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 ht="15.7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 ht="15.7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 ht="15.7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 ht="15.7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 ht="15.7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 ht="15.7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 ht="15.7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 ht="15.7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 ht="15.7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 ht="15.7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 ht="15.7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 ht="15.7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 ht="15.7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 ht="15.7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 ht="15.7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 ht="15.7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 ht="15.7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 ht="15.7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 ht="15.7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 ht="15.7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 ht="15.7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 ht="15.7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 ht="15.7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 ht="15.7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 ht="15.7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 ht="15.7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 ht="15.7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 ht="15.7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 ht="15.7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 ht="15.7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 ht="15.7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 ht="15.7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 ht="15.7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 ht="15.7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 ht="15.7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 ht="15.7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 ht="15.7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 ht="15.7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 ht="15.7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 ht="15.7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 ht="15.7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 ht="15.7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 ht="15.7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 ht="15.7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 ht="15.7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 ht="15.7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 ht="15.7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 ht="15.7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 ht="15.7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 ht="15.7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 ht="15.7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 ht="15.7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ht="15.7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 ht="15.7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 ht="15.7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 ht="15.7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 ht="15.7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 ht="15.7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 ht="15.7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 ht="15.7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 ht="15.7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 ht="15.7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 ht="15.7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 ht="15.7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 ht="15.7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 ht="15.7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 ht="15.7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 ht="15.7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 ht="15.7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 ht="15.7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 ht="15.7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 ht="15.7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 ht="15.7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 ht="15.7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 ht="15.7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 ht="15.7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 ht="15.7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 ht="15.7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 ht="15.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 ht="15.7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 ht="15.7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 ht="15.7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 ht="15.7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 ht="15.7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 ht="15.7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 ht="15.7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 ht="15.7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 ht="15.7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 ht="15.7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 ht="15.7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 ht="15.7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 ht="15.7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 ht="15.7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 ht="15.7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 ht="15.7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 ht="15.7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 ht="15.7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 ht="15.7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 ht="15.7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 ht="15.7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 ht="15.7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 ht="15.7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 ht="15.7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 ht="15.7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 ht="15.7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 ht="15.7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 ht="15.7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 ht="15.7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 ht="15.7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 ht="15.7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 ht="15.7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 ht="15.7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 ht="15.7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 ht="15.7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 ht="15.7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 ht="15.7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 ht="15.7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 ht="15.7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 ht="15.7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 ht="15.7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 ht="15.7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 ht="15.7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 ht="15.7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 ht="15.7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 ht="15.7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 ht="15.7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 ht="15.7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 ht="15.7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 ht="15.7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 ht="15.7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 ht="15.7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 ht="15.7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 ht="15.7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 ht="15.7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 ht="15.7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 ht="15.7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 ht="15.7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 ht="15.7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 ht="15.7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 ht="15.7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 ht="15.7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 ht="15.7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 ht="15.7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 ht="15.7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 ht="15.7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 ht="15.7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 ht="15.7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 ht="15.7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 ht="15.7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 ht="15.7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 ht="15.7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 ht="15.7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 ht="15.7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 ht="15.7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 ht="15.7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 ht="15.7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 ht="15.7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 ht="15.7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 ht="15.7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 ht="15.7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 ht="15.7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 ht="15.7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 ht="15.7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 ht="15.7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 ht="15.7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ht="15.7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 ht="15.7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 ht="15.7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 ht="15.7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 ht="15.7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 ht="15.7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 ht="15.7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 ht="15.7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 ht="15.7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 ht="15.7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 ht="15.7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 ht="15.7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 ht="15.7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 ht="15.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 ht="15.7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 ht="15.7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 ht="15.7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 ht="15.7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 ht="15.7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 ht="15.7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 ht="15.7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 ht="15.7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 ht="15.7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 ht="15.7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 ht="15.7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 ht="15.7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 ht="15.7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 ht="15.7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 ht="15.7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 ht="15.7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 ht="15.7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 ht="15.7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 ht="15.7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 ht="15.7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 ht="15.7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 ht="15.7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 ht="15.7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 ht="15.7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 ht="15.7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 ht="15.7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 ht="15.7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 ht="15.7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 ht="15.7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 ht="15.7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 ht="15.7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 ht="15.7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 ht="15.7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 ht="15.7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 ht="15.7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 ht="15.7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 ht="15.7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 ht="15.7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 ht="15.7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 ht="15.7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 ht="15.7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 ht="15.7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 ht="15.7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 ht="15.7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 ht="15.7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 ht="15.7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 ht="15.7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 ht="15.7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 ht="15.7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 ht="15.7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 ht="15.7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 ht="15.7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 ht="15.7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 ht="15.7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 ht="15.7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 ht="15.7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 ht="15.7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 ht="15.7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 ht="15.7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 ht="15.7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 ht="15.7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 ht="15.7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 ht="15.7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 ht="15.7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 ht="15.7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 ht="15.7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 ht="15.7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 ht="15.7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 ht="15.7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 ht="15.7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 ht="15.7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 ht="15.7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 ht="15.7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 ht="15.7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 ht="15.7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 ht="15.7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 ht="15.7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 ht="15.7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 ht="15.7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 ht="15.7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 ht="15.7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 ht="15.7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 ht="15.7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 ht="15.7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 ht="15.7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 ht="15.7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 ht="15.7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 ht="15.7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 ht="15.7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 ht="15.7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 ht="15.7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 ht="15.7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 ht="15.7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 ht="15.7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 ht="15.7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 ht="15.7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 ht="15.7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 ht="15.7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 ht="15.7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 ht="15.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 ht="15.7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 ht="15.7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 ht="15.7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 ht="15.7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 ht="15.7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 ht="15.7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 ht="15.7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 ht="15.7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 ht="15.7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 ht="15.7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 ht="15.7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 ht="15.7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 ht="15.7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 ht="15.7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 ht="15.7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 ht="15.7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 ht="15.7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 ht="15.7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 ht="15.7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 ht="15.7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 ht="15.7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 ht="15.7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 ht="15.7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 ht="15.7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 ht="15.7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 ht="15.7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ht="15.7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 ht="15.7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 ht="15.7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 ht="15.7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 ht="15.7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 ht="15.7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 ht="15.7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 ht="15.7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 ht="15.7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 ht="15.7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 ht="15.7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 ht="15.7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 ht="15.7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 ht="15.7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 ht="15.7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 ht="15.7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 ht="15.7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 ht="15.7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 ht="15.7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 ht="15.7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 ht="15.7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 ht="15.7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 ht="15.7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 ht="15.7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 ht="15.7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 ht="15.7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 ht="15.7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 ht="15.7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 ht="15.7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 ht="15.7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 ht="15.7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 ht="15.7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 ht="15.7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 ht="15.7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 ht="15.7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 ht="15.7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ht="15.7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 ht="15.7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 ht="15.7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 ht="15.7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 ht="15.7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 ht="15.7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 ht="15.7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 ht="15.7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 ht="15.7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 ht="15.7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 ht="15.7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 ht="15.7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 ht="15.7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 ht="15.7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 ht="15.7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 ht="15.7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 ht="15.7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 ht="15.7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 ht="15.7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 ht="15.7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 ht="15.7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 ht="15.7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 ht="15.7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 ht="15.7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 ht="15.7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 ht="15.7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 ht="15.7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 ht="15.7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 ht="15.7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 ht="15.7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 ht="15.7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 ht="15.7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 ht="15.7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 ht="15.7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 ht="15.7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 ht="15.7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 ht="15.7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 ht="15.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 ht="15.7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 ht="15.7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 ht="15.7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 ht="15.7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 ht="15.7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 ht="15.7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 ht="15.7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 ht="15.7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 ht="15.7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 ht="15.7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ht="15.7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 ht="15.7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 ht="15.7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 ht="15.7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 ht="15.7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ht="15.7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 ht="15.7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 ht="15.7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 ht="15.7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 ht="15.7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 ht="15.7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 ht="15.7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 ht="15.7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 ht="15.7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 ht="15.7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 ht="15.7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 ht="15.7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 ht="15.7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 ht="15.7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 ht="15.7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 ht="15.7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 ht="15.7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 ht="15.7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 ht="15.7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 ht="15.7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 ht="15.7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 ht="15.7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ht="15.7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 ht="15.7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 ht="15.7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 ht="15.7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 ht="15.7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 ht="15.7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 ht="15.7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 ht="15.7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 ht="15.7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 ht="15.7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ht="15.7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 ht="15.7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 ht="15.7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 ht="15.7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 ht="15.7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 ht="15.7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 ht="15.7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 ht="15.7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 ht="15.7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 ht="15.7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 ht="15.7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 ht="15.7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 ht="15.7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 ht="15.7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 ht="15.7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 ht="15.7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 ht="15.7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 ht="15.7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 ht="15.7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 ht="15.7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 ht="15.7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 ht="15.7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 ht="15.7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 ht="15.7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 ht="15.7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 ht="15.7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 ht="15.7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 ht="15.7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 ht="15.7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 ht="15.7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 ht="15.7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 ht="15.7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 ht="15.7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 ht="15.7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 ht="15.7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 ht="15.7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 ht="15.7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 ht="15.7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 ht="15.7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 ht="15.7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 ht="15.7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 ht="15.7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 ht="15.7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 ht="15.7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 ht="15.7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 ht="15.7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 ht="15.7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 ht="15.7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 ht="15.7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 ht="15.7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 ht="15.7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 ht="15.7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 ht="15.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 ht="15.7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 ht="15.7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 ht="15.7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 ht="15.7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 ht="15.7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 ht="15.7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 ht="15.7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 ht="15.7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 ht="15.7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 ht="15.7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 ht="15.7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 ht="15.7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 ht="15.7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 ht="15.7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 ht="15.7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 ht="15.7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 ht="15.7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 ht="15.7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 ht="15.7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 ht="15.7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 ht="15.7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 ht="15.7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 ht="15.7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 ht="15.7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 ht="15.7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 ht="15.7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 ht="15.7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 ht="15.7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 ht="15.7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 ht="15.7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 ht="15.7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 ht="15.7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 ht="15.7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 ht="15.7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 ht="15.7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 ht="15.7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ht="15.7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 ht="15.7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 ht="15.7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 ht="15.7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 ht="15.7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 ht="15.7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 ht="15.7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 ht="15.7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 ht="15.7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ht="15.7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 ht="15.7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 ht="15.7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 ht="15.7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 ht="15.7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 ht="15.7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 ht="15.7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 ht="15.7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 ht="15.7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 ht="15.7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 ht="15.7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 ht="15.7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 ht="15.7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 ht="15.7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 ht="15.7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 ht="15.7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 ht="15.7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 ht="15.7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 ht="15.7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 ht="15.7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 ht="15.7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 ht="15.7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 ht="15.7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 ht="15.7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 ht="15.7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 ht="15.7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 ht="15.7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 ht="15.7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 ht="15.7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 ht="15.7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 ht="15.7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 ht="15.7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 ht="15.7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 ht="15.7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 ht="15.7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 ht="15.7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 ht="15.7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 ht="15.7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 ht="15.7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 ht="15.7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 ht="15.7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5" ht="15.7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spans="1:25" ht="15.7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spans="1:25" ht="15.7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spans="1:25" ht="15.7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spans="1:25" ht="15.7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spans="1:25" ht="15.7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spans="1:25" ht="15.7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spans="1:25" ht="15.7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spans="1:25" ht="15.7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spans="1:25" ht="15.7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spans="1:25" ht="15.7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spans="1:25" ht="15.7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spans="1:25" ht="15.7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spans="1:25" ht="15.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spans="1:25" ht="15.7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spans="1:25" ht="15.7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spans="1:25" ht="15.7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spans="1:25" ht="15.7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spans="1:25" ht="15.7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spans="1:25" ht="15.7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spans="1:25" ht="15.7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spans="1:25" ht="15.7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spans="1:25" ht="15.7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spans="1:25" ht="15.7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spans="1:25" ht="15.7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spans="1:25" ht="15.7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spans="1:25" ht="15.7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spans="1:25" ht="15.7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spans="1:25" ht="15.7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spans="1:25" ht="15.7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spans="1:25" ht="15.7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spans="1:25" ht="15.7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spans="1:25" ht="15.7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spans="1:25" ht="15.7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spans="1:25" ht="15.7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</sheetData>
  <phoneticPr fontId="5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43"/>
  <sheetViews>
    <sheetView workbookViewId="0">
      <pane ySplit="2" topLeftCell="A15" activePane="bottomLeft" state="frozen"/>
      <selection pane="bottomLeft" activeCell="C37" sqref="C37"/>
    </sheetView>
  </sheetViews>
  <sheetFormatPr defaultColWidth="10.109375" defaultRowHeight="15" customHeight="1"/>
  <cols>
    <col min="1" max="1" width="14.77734375" customWidth="1"/>
    <col min="2" max="2" width="13.6640625" customWidth="1"/>
    <col min="3" max="3" width="22.77734375" customWidth="1"/>
    <col min="4" max="4" width="6" customWidth="1"/>
    <col min="5" max="6" width="8.33203125" customWidth="1"/>
    <col min="8" max="9" width="11.6640625" customWidth="1"/>
    <col min="10" max="11" width="8.33203125" customWidth="1"/>
    <col min="12" max="12" width="7.21875" customWidth="1"/>
    <col min="13" max="13" width="11.6640625" customWidth="1"/>
    <col min="14" max="14" width="5.5546875" customWidth="1"/>
    <col min="15" max="15" width="7.77734375" customWidth="1"/>
    <col min="16" max="34" width="6" customWidth="1"/>
  </cols>
  <sheetData>
    <row r="1" spans="1:34" ht="14.25" customHeight="1">
      <c r="A1" s="289" t="s">
        <v>68</v>
      </c>
      <c r="B1" s="290"/>
      <c r="C1" s="290"/>
      <c r="D1" s="290"/>
      <c r="E1" s="290"/>
      <c r="F1" s="290"/>
      <c r="G1" s="291"/>
      <c r="H1" s="292" t="s">
        <v>69</v>
      </c>
      <c r="I1" s="290"/>
      <c r="J1" s="290"/>
      <c r="K1" s="290"/>
      <c r="L1" s="290"/>
      <c r="M1" s="291"/>
      <c r="N1" s="293"/>
      <c r="O1" s="291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</row>
    <row r="2" spans="1:34" ht="19.5">
      <c r="A2" s="44" t="s">
        <v>70</v>
      </c>
      <c r="B2" s="45" t="s">
        <v>71</v>
      </c>
      <c r="C2" s="46" t="s">
        <v>72</v>
      </c>
      <c r="D2" s="45" t="s">
        <v>74</v>
      </c>
      <c r="E2" s="46" t="s">
        <v>76</v>
      </c>
      <c r="F2" s="46" t="s">
        <v>77</v>
      </c>
      <c r="G2" s="46" t="s">
        <v>78</v>
      </c>
      <c r="H2" s="47" t="s">
        <v>79</v>
      </c>
      <c r="I2" s="48" t="s">
        <v>10</v>
      </c>
      <c r="J2" s="48" t="s">
        <v>12</v>
      </c>
      <c r="K2" s="48" t="s">
        <v>80</v>
      </c>
      <c r="L2" s="48" t="s">
        <v>81</v>
      </c>
      <c r="M2" s="48" t="s">
        <v>82</v>
      </c>
      <c r="N2" s="49" t="s">
        <v>83</v>
      </c>
      <c r="O2" s="49" t="s">
        <v>84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</row>
    <row r="3" spans="1:34" ht="19.5">
      <c r="A3" s="50" t="s">
        <v>85</v>
      </c>
      <c r="B3" s="51" t="s">
        <v>86</v>
      </c>
      <c r="C3" s="52"/>
      <c r="D3" s="52"/>
      <c r="E3" s="53"/>
      <c r="F3" s="54"/>
      <c r="G3" s="55"/>
      <c r="H3" s="56"/>
      <c r="I3" s="57"/>
      <c r="J3" s="57"/>
      <c r="K3" s="57"/>
      <c r="L3" s="57"/>
      <c r="M3" s="56"/>
      <c r="N3" s="54"/>
      <c r="O3" s="5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</row>
    <row r="4" spans="1:34" ht="19.5">
      <c r="A4" s="287" t="s">
        <v>87</v>
      </c>
      <c r="B4" s="282" t="s">
        <v>391</v>
      </c>
      <c r="C4" s="58" t="s">
        <v>89</v>
      </c>
      <c r="D4" s="58">
        <v>140</v>
      </c>
      <c r="E4" s="59">
        <v>25</v>
      </c>
      <c r="F4" s="60">
        <f t="shared" ref="F4:F39" si="0">D4-E4</f>
        <v>115</v>
      </c>
      <c r="G4" s="61">
        <f t="shared" ref="G4:G39" si="1">F4/D4</f>
        <v>0.8214285714285714</v>
      </c>
      <c r="H4" s="62">
        <f>D4*營業基本資訊!$D$8</f>
        <v>0</v>
      </c>
      <c r="I4" s="63">
        <f>D4*營業基本資訊!$D$5</f>
        <v>72.517573333333331</v>
      </c>
      <c r="J4" s="63">
        <f>D4*營業基本資訊!$D$6</f>
        <v>0</v>
      </c>
      <c r="K4" s="63">
        <f>D4*營業基本資訊!$D$7</f>
        <v>0</v>
      </c>
      <c r="L4" s="63">
        <f t="shared" ref="L4:L39" si="2">D4*0.05</f>
        <v>7</v>
      </c>
      <c r="M4" s="62">
        <f t="shared" ref="M4:M39" si="3">SUM(H4:L4)</f>
        <v>79.517573333333331</v>
      </c>
      <c r="N4" s="60">
        <f t="shared" ref="N4:N39" si="4">F4-M4</f>
        <v>35.482426666666669</v>
      </c>
      <c r="O4" s="64">
        <f t="shared" ref="O4:O39" si="5">N4/D4</f>
        <v>0.25344590476190476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pans="1:34" ht="19.5">
      <c r="A5" s="278"/>
      <c r="B5" s="278"/>
      <c r="C5" s="65" t="s">
        <v>90</v>
      </c>
      <c r="D5" s="58">
        <v>140</v>
      </c>
      <c r="E5" s="59">
        <v>28</v>
      </c>
      <c r="F5" s="60">
        <f t="shared" si="0"/>
        <v>112</v>
      </c>
      <c r="G5" s="61">
        <f t="shared" si="1"/>
        <v>0.8</v>
      </c>
      <c r="H5" s="62">
        <f>D5*營業基本資訊!$D$8</f>
        <v>0</v>
      </c>
      <c r="I5" s="63">
        <f>D5*營業基本資訊!$D$5</f>
        <v>72.517573333333331</v>
      </c>
      <c r="J5" s="63">
        <f>D5*營業基本資訊!$D$6</f>
        <v>0</v>
      </c>
      <c r="K5" s="63">
        <f>D5*營業基本資訊!$D$7</f>
        <v>0</v>
      </c>
      <c r="L5" s="63">
        <f t="shared" si="2"/>
        <v>7</v>
      </c>
      <c r="M5" s="62">
        <f t="shared" si="3"/>
        <v>79.517573333333331</v>
      </c>
      <c r="N5" s="66">
        <f t="shared" si="4"/>
        <v>32.482426666666669</v>
      </c>
      <c r="O5" s="64">
        <f t="shared" si="5"/>
        <v>0.23201733333333335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pans="1:34" ht="14.25" customHeight="1">
      <c r="A6" s="278"/>
      <c r="B6" s="278"/>
      <c r="C6" s="65" t="s">
        <v>91</v>
      </c>
      <c r="D6" s="58">
        <v>140</v>
      </c>
      <c r="E6" s="59">
        <v>31</v>
      </c>
      <c r="F6" s="60">
        <f t="shared" si="0"/>
        <v>109</v>
      </c>
      <c r="G6" s="61">
        <f t="shared" si="1"/>
        <v>0.77857142857142858</v>
      </c>
      <c r="H6" s="62">
        <f>D6*營業基本資訊!$D$8</f>
        <v>0</v>
      </c>
      <c r="I6" s="63">
        <f>D6*營業基本資訊!$D$5</f>
        <v>72.517573333333331</v>
      </c>
      <c r="J6" s="63">
        <f>D6*營業基本資訊!$D$6</f>
        <v>0</v>
      </c>
      <c r="K6" s="63">
        <f>D6*營業基本資訊!$D$7</f>
        <v>0</v>
      </c>
      <c r="L6" s="63">
        <f t="shared" si="2"/>
        <v>7</v>
      </c>
      <c r="M6" s="62">
        <f t="shared" si="3"/>
        <v>79.517573333333331</v>
      </c>
      <c r="N6" s="66">
        <f t="shared" si="4"/>
        <v>29.482426666666669</v>
      </c>
      <c r="O6" s="64">
        <f t="shared" si="5"/>
        <v>0.21058876190476192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pans="1:34" ht="14.25" customHeight="1">
      <c r="A7" s="278"/>
      <c r="B7" s="278"/>
      <c r="C7" s="65" t="s">
        <v>92</v>
      </c>
      <c r="D7" s="58">
        <v>140</v>
      </c>
      <c r="E7" s="59">
        <v>28</v>
      </c>
      <c r="F7" s="60">
        <f t="shared" si="0"/>
        <v>112</v>
      </c>
      <c r="G7" s="61">
        <f t="shared" si="1"/>
        <v>0.8</v>
      </c>
      <c r="H7" s="62">
        <f>D7*營業基本資訊!$D$8</f>
        <v>0</v>
      </c>
      <c r="I7" s="63">
        <f>D7*營業基本資訊!$D$5</f>
        <v>72.517573333333331</v>
      </c>
      <c r="J7" s="63">
        <f>D7*營業基本資訊!$D$6</f>
        <v>0</v>
      </c>
      <c r="K7" s="63">
        <f>D7*營業基本資訊!$D$7</f>
        <v>0</v>
      </c>
      <c r="L7" s="63">
        <f t="shared" si="2"/>
        <v>7</v>
      </c>
      <c r="M7" s="62">
        <f t="shared" si="3"/>
        <v>79.517573333333331</v>
      </c>
      <c r="N7" s="66">
        <f t="shared" si="4"/>
        <v>32.482426666666669</v>
      </c>
      <c r="O7" s="64">
        <f t="shared" si="5"/>
        <v>0.23201733333333335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pans="1:34" ht="14.25" customHeight="1">
      <c r="A8" s="278"/>
      <c r="B8" s="278"/>
      <c r="C8" s="65" t="s">
        <v>93</v>
      </c>
      <c r="D8" s="58">
        <v>140</v>
      </c>
      <c r="E8" s="59">
        <v>31</v>
      </c>
      <c r="F8" s="60">
        <f t="shared" si="0"/>
        <v>109</v>
      </c>
      <c r="G8" s="61">
        <f t="shared" si="1"/>
        <v>0.77857142857142858</v>
      </c>
      <c r="H8" s="62">
        <f>D8*營業基本資訊!$D$8</f>
        <v>0</v>
      </c>
      <c r="I8" s="63">
        <f>D8*營業基本資訊!$D$5</f>
        <v>72.517573333333331</v>
      </c>
      <c r="J8" s="63">
        <f>D8*營業基本資訊!$D$6</f>
        <v>0</v>
      </c>
      <c r="K8" s="63">
        <f>D8*營業基本資訊!$D$7</f>
        <v>0</v>
      </c>
      <c r="L8" s="63">
        <f t="shared" si="2"/>
        <v>7</v>
      </c>
      <c r="M8" s="62">
        <f t="shared" si="3"/>
        <v>79.517573333333331</v>
      </c>
      <c r="N8" s="66">
        <f t="shared" si="4"/>
        <v>29.482426666666669</v>
      </c>
      <c r="O8" s="64">
        <f t="shared" si="5"/>
        <v>0.21058876190476192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 ht="14.25" customHeight="1">
      <c r="A9" s="278"/>
      <c r="B9" s="278"/>
      <c r="C9" s="58" t="s">
        <v>94</v>
      </c>
      <c r="D9" s="58">
        <v>140</v>
      </c>
      <c r="E9" s="59">
        <v>28</v>
      </c>
      <c r="F9" s="60">
        <f t="shared" si="0"/>
        <v>112</v>
      </c>
      <c r="G9" s="61">
        <f t="shared" si="1"/>
        <v>0.8</v>
      </c>
      <c r="H9" s="62">
        <f>D9*營業基本資訊!$D$8</f>
        <v>0</v>
      </c>
      <c r="I9" s="63">
        <f>D9*營業基本資訊!$D$5</f>
        <v>72.517573333333331</v>
      </c>
      <c r="J9" s="63">
        <f>D9*營業基本資訊!$D$6</f>
        <v>0</v>
      </c>
      <c r="K9" s="63">
        <f>D9*營業基本資訊!$D$7</f>
        <v>0</v>
      </c>
      <c r="L9" s="63">
        <f t="shared" si="2"/>
        <v>7</v>
      </c>
      <c r="M9" s="62">
        <f t="shared" si="3"/>
        <v>79.517573333333331</v>
      </c>
      <c r="N9" s="66">
        <f t="shared" si="4"/>
        <v>32.482426666666669</v>
      </c>
      <c r="O9" s="64">
        <f t="shared" si="5"/>
        <v>0.23201733333333335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pans="1:34" ht="19.5">
      <c r="A10" s="281" t="s">
        <v>95</v>
      </c>
      <c r="B10" s="282" t="s">
        <v>390</v>
      </c>
      <c r="C10" s="58" t="s">
        <v>89</v>
      </c>
      <c r="D10" s="68">
        <v>117</v>
      </c>
      <c r="E10" s="69">
        <v>22</v>
      </c>
      <c r="F10" s="60">
        <f t="shared" si="0"/>
        <v>95</v>
      </c>
      <c r="G10" s="61">
        <f t="shared" si="1"/>
        <v>0.81196581196581197</v>
      </c>
      <c r="H10" s="62">
        <f>D10*營業基本資訊!$D$8</f>
        <v>0</v>
      </c>
      <c r="I10" s="63">
        <f>D10*營業基本資訊!$D$5</f>
        <v>60.603972000000006</v>
      </c>
      <c r="J10" s="63">
        <f>D10*營業基本資訊!$D$6</f>
        <v>0</v>
      </c>
      <c r="K10" s="63">
        <f>D10*營業基本資訊!$D$7</f>
        <v>0</v>
      </c>
      <c r="L10" s="63">
        <f t="shared" si="2"/>
        <v>5.8500000000000005</v>
      </c>
      <c r="M10" s="62">
        <f t="shared" si="3"/>
        <v>66.453972000000007</v>
      </c>
      <c r="N10" s="66">
        <f t="shared" si="4"/>
        <v>28.546027999999993</v>
      </c>
      <c r="O10" s="64">
        <f t="shared" si="5"/>
        <v>0.24398314529914525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 ht="19.5">
      <c r="A11" s="278"/>
      <c r="B11" s="278"/>
      <c r="C11" s="65" t="s">
        <v>90</v>
      </c>
      <c r="D11" s="68">
        <v>117</v>
      </c>
      <c r="E11" s="69">
        <v>25</v>
      </c>
      <c r="F11" s="60">
        <f t="shared" si="0"/>
        <v>92</v>
      </c>
      <c r="G11" s="61">
        <f t="shared" si="1"/>
        <v>0.78632478632478631</v>
      </c>
      <c r="H11" s="62">
        <f>D11*營業基本資訊!$D$8</f>
        <v>0</v>
      </c>
      <c r="I11" s="63">
        <f>D11*營業基本資訊!$D$5</f>
        <v>60.603972000000006</v>
      </c>
      <c r="J11" s="63">
        <f>D11*營業基本資訊!$D$6</f>
        <v>0</v>
      </c>
      <c r="K11" s="63">
        <f>D11*營業基本資訊!$D$7</f>
        <v>0</v>
      </c>
      <c r="L11" s="63">
        <f t="shared" si="2"/>
        <v>5.8500000000000005</v>
      </c>
      <c r="M11" s="62">
        <f t="shared" si="3"/>
        <v>66.453972000000007</v>
      </c>
      <c r="N11" s="66">
        <f t="shared" si="4"/>
        <v>25.546027999999993</v>
      </c>
      <c r="O11" s="64">
        <f t="shared" si="5"/>
        <v>0.21834211965811959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 ht="19.5">
      <c r="A12" s="278"/>
      <c r="B12" s="278"/>
      <c r="C12" s="65" t="s">
        <v>91</v>
      </c>
      <c r="D12" s="68">
        <v>130</v>
      </c>
      <c r="E12" s="69">
        <v>30</v>
      </c>
      <c r="F12" s="60">
        <f t="shared" si="0"/>
        <v>100</v>
      </c>
      <c r="G12" s="61">
        <f t="shared" si="1"/>
        <v>0.76923076923076927</v>
      </c>
      <c r="H12" s="62">
        <f>D12*營業基本資訊!$D$8</f>
        <v>0</v>
      </c>
      <c r="I12" s="63">
        <f>D12*營業基本資訊!$D$5</f>
        <v>67.337746666666675</v>
      </c>
      <c r="J12" s="63">
        <f>D12*營業基本資訊!$D$6</f>
        <v>0</v>
      </c>
      <c r="K12" s="63">
        <f>D12*營業基本資訊!$D$7</f>
        <v>0</v>
      </c>
      <c r="L12" s="63">
        <f t="shared" si="2"/>
        <v>6.5</v>
      </c>
      <c r="M12" s="62">
        <f t="shared" si="3"/>
        <v>73.837746666666675</v>
      </c>
      <c r="N12" s="66">
        <f t="shared" si="4"/>
        <v>26.162253333333325</v>
      </c>
      <c r="O12" s="64">
        <f t="shared" si="5"/>
        <v>0.2012481025641025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3" spans="1:34" ht="19.5">
      <c r="A13" s="278"/>
      <c r="B13" s="278"/>
      <c r="C13" s="65" t="s">
        <v>92</v>
      </c>
      <c r="D13" s="68">
        <v>130</v>
      </c>
      <c r="E13" s="69">
        <v>24</v>
      </c>
      <c r="F13" s="60">
        <f t="shared" si="0"/>
        <v>106</v>
      </c>
      <c r="G13" s="61">
        <f t="shared" si="1"/>
        <v>0.81538461538461537</v>
      </c>
      <c r="H13" s="62">
        <f>D13*營業基本資訊!$D$8</f>
        <v>0</v>
      </c>
      <c r="I13" s="63">
        <f>D13*營業基本資訊!$D$5</f>
        <v>67.337746666666675</v>
      </c>
      <c r="J13" s="63">
        <f>D13*營業基本資訊!$D$6</f>
        <v>0</v>
      </c>
      <c r="K13" s="63">
        <f>D13*營業基本資訊!$D$7</f>
        <v>0</v>
      </c>
      <c r="L13" s="63">
        <f t="shared" si="2"/>
        <v>6.5</v>
      </c>
      <c r="M13" s="62">
        <f t="shared" si="3"/>
        <v>73.837746666666675</v>
      </c>
      <c r="N13" s="66">
        <f t="shared" si="4"/>
        <v>32.162253333333325</v>
      </c>
      <c r="O13" s="64">
        <f t="shared" si="5"/>
        <v>0.24740194871794866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r="14" spans="1:34" ht="19.5">
      <c r="A14" s="281" t="s">
        <v>96</v>
      </c>
      <c r="B14" s="283" t="s">
        <v>97</v>
      </c>
      <c r="C14" s="58" t="s">
        <v>89</v>
      </c>
      <c r="D14" s="68">
        <v>110</v>
      </c>
      <c r="E14" s="69">
        <v>22</v>
      </c>
      <c r="F14" s="60">
        <f t="shared" si="0"/>
        <v>88</v>
      </c>
      <c r="G14" s="61">
        <f t="shared" si="1"/>
        <v>0.8</v>
      </c>
      <c r="H14" s="62">
        <f>D14*營業基本資訊!$D$8</f>
        <v>0</v>
      </c>
      <c r="I14" s="63">
        <f>D14*營業基本資訊!$D$5</f>
        <v>56.978093333333334</v>
      </c>
      <c r="J14" s="63">
        <f>D14*營業基本資訊!$D$6</f>
        <v>0</v>
      </c>
      <c r="K14" s="63">
        <f>D14*營業基本資訊!$D$7</f>
        <v>0</v>
      </c>
      <c r="L14" s="63">
        <f t="shared" si="2"/>
        <v>5.5</v>
      </c>
      <c r="M14" s="62">
        <f t="shared" si="3"/>
        <v>62.478093333333334</v>
      </c>
      <c r="N14" s="66">
        <f t="shared" si="4"/>
        <v>25.521906666666666</v>
      </c>
      <c r="O14" s="64">
        <f t="shared" si="5"/>
        <v>0.23201733333333333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pans="1:34" ht="14.25" customHeight="1">
      <c r="A15" s="278"/>
      <c r="B15" s="278"/>
      <c r="C15" s="65" t="s">
        <v>90</v>
      </c>
      <c r="D15" s="68">
        <v>110</v>
      </c>
      <c r="E15" s="69">
        <v>25</v>
      </c>
      <c r="F15" s="60">
        <f t="shared" si="0"/>
        <v>85</v>
      </c>
      <c r="G15" s="61">
        <f t="shared" si="1"/>
        <v>0.77272727272727271</v>
      </c>
      <c r="H15" s="62">
        <f>D15*營業基本資訊!$D$8</f>
        <v>0</v>
      </c>
      <c r="I15" s="63">
        <f>D15*營業基本資訊!$D$5</f>
        <v>56.978093333333334</v>
      </c>
      <c r="J15" s="63">
        <f>D15*營業基本資訊!$D$6</f>
        <v>0</v>
      </c>
      <c r="K15" s="63">
        <f>D15*營業基本資訊!$D$7</f>
        <v>0</v>
      </c>
      <c r="L15" s="63">
        <f t="shared" si="2"/>
        <v>5.5</v>
      </c>
      <c r="M15" s="62">
        <f t="shared" si="3"/>
        <v>62.478093333333334</v>
      </c>
      <c r="N15" s="66">
        <f t="shared" si="4"/>
        <v>22.521906666666666</v>
      </c>
      <c r="O15" s="64">
        <f t="shared" si="5"/>
        <v>0.20474460606060604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pans="1:34" ht="14.25" customHeight="1">
      <c r="A16" s="278"/>
      <c r="B16" s="278"/>
      <c r="C16" s="65" t="s">
        <v>91</v>
      </c>
      <c r="D16" s="68">
        <v>122</v>
      </c>
      <c r="E16" s="69">
        <v>30</v>
      </c>
      <c r="F16" s="60">
        <f t="shared" si="0"/>
        <v>92</v>
      </c>
      <c r="G16" s="61">
        <f t="shared" si="1"/>
        <v>0.75409836065573765</v>
      </c>
      <c r="H16" s="62">
        <f>D16*營業基本資訊!$D$8</f>
        <v>0</v>
      </c>
      <c r="I16" s="63">
        <f>D16*營業基本資訊!$D$5</f>
        <v>63.193885333333341</v>
      </c>
      <c r="J16" s="63">
        <f>D16*營業基本資訊!$D$6</f>
        <v>0</v>
      </c>
      <c r="K16" s="63">
        <f>D16*營業基本資訊!$D$7</f>
        <v>0</v>
      </c>
      <c r="L16" s="63">
        <f t="shared" si="2"/>
        <v>6.1000000000000005</v>
      </c>
      <c r="M16" s="62">
        <f t="shared" si="3"/>
        <v>69.293885333333336</v>
      </c>
      <c r="N16" s="66">
        <f t="shared" si="4"/>
        <v>22.706114666666664</v>
      </c>
      <c r="O16" s="64">
        <f t="shared" si="5"/>
        <v>0.18611569398907102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pans="1:34" ht="14.25" customHeight="1">
      <c r="A17" s="278"/>
      <c r="B17" s="278"/>
      <c r="C17" s="65" t="s">
        <v>92</v>
      </c>
      <c r="D17" s="68">
        <v>122</v>
      </c>
      <c r="E17" s="69">
        <v>24</v>
      </c>
      <c r="F17" s="60">
        <f t="shared" si="0"/>
        <v>98</v>
      </c>
      <c r="G17" s="61">
        <f t="shared" si="1"/>
        <v>0.80327868852459017</v>
      </c>
      <c r="H17" s="62">
        <f>D17*營業基本資訊!$D$8</f>
        <v>0</v>
      </c>
      <c r="I17" s="63">
        <f>D17*營業基本資訊!$D$5</f>
        <v>63.193885333333341</v>
      </c>
      <c r="J17" s="63">
        <f>D17*營業基本資訊!$D$6</f>
        <v>0</v>
      </c>
      <c r="K17" s="63">
        <f>D17*營業基本資訊!$D$7</f>
        <v>0</v>
      </c>
      <c r="L17" s="63">
        <f t="shared" si="2"/>
        <v>6.1000000000000005</v>
      </c>
      <c r="M17" s="62">
        <f t="shared" si="3"/>
        <v>69.293885333333336</v>
      </c>
      <c r="N17" s="66">
        <f t="shared" si="4"/>
        <v>28.706114666666664</v>
      </c>
      <c r="O17" s="64">
        <f t="shared" si="5"/>
        <v>0.23529602185792348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pans="1:34" ht="19.5">
      <c r="A18" s="284" t="s">
        <v>98</v>
      </c>
      <c r="B18" s="283" t="s">
        <v>97</v>
      </c>
      <c r="C18" s="58" t="s">
        <v>89</v>
      </c>
      <c r="D18" s="68">
        <v>99</v>
      </c>
      <c r="E18" s="69">
        <v>22</v>
      </c>
      <c r="F18" s="60">
        <f t="shared" si="0"/>
        <v>77</v>
      </c>
      <c r="G18" s="61">
        <f t="shared" si="1"/>
        <v>0.77777777777777779</v>
      </c>
      <c r="H18" s="62">
        <f>D18*營業基本資訊!$D$8</f>
        <v>0</v>
      </c>
      <c r="I18" s="63">
        <f>D18*營業基本資訊!$D$5</f>
        <v>51.280284000000002</v>
      </c>
      <c r="J18" s="63">
        <f>D18*營業基本資訊!$D$6</f>
        <v>0</v>
      </c>
      <c r="K18" s="63">
        <f>D18*營業基本資訊!$D$7</f>
        <v>0</v>
      </c>
      <c r="L18" s="63">
        <f t="shared" si="2"/>
        <v>4.95</v>
      </c>
      <c r="M18" s="62">
        <f t="shared" si="3"/>
        <v>56.230284000000005</v>
      </c>
      <c r="N18" s="66">
        <f t="shared" si="4"/>
        <v>20.769715999999995</v>
      </c>
      <c r="O18" s="64">
        <f t="shared" si="5"/>
        <v>0.20979511111111107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pans="1:34" ht="14.25" customHeight="1">
      <c r="A19" s="278"/>
      <c r="B19" s="278"/>
      <c r="C19" s="65" t="s">
        <v>90</v>
      </c>
      <c r="D19" s="68">
        <v>99</v>
      </c>
      <c r="E19" s="69">
        <v>25</v>
      </c>
      <c r="F19" s="60">
        <f t="shared" si="0"/>
        <v>74</v>
      </c>
      <c r="G19" s="61">
        <f t="shared" si="1"/>
        <v>0.74747474747474751</v>
      </c>
      <c r="H19" s="62">
        <f>D19*營業基本資訊!$D$8</f>
        <v>0</v>
      </c>
      <c r="I19" s="63">
        <f>D19*營業基本資訊!$D$5</f>
        <v>51.280284000000002</v>
      </c>
      <c r="J19" s="63">
        <f>D19*營業基本資訊!$D$6</f>
        <v>0</v>
      </c>
      <c r="K19" s="63">
        <f>D19*營業基本資訊!$D$7</f>
        <v>0</v>
      </c>
      <c r="L19" s="63">
        <f t="shared" si="2"/>
        <v>4.95</v>
      </c>
      <c r="M19" s="62">
        <f t="shared" si="3"/>
        <v>56.230284000000005</v>
      </c>
      <c r="N19" s="66">
        <f t="shared" si="4"/>
        <v>17.769715999999995</v>
      </c>
      <c r="O19" s="64">
        <f t="shared" si="5"/>
        <v>0.17949208080808077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pans="1:34" ht="14.25" customHeight="1">
      <c r="A20" s="278"/>
      <c r="B20" s="278"/>
      <c r="C20" s="65" t="s">
        <v>91</v>
      </c>
      <c r="D20" s="68">
        <v>110</v>
      </c>
      <c r="E20" s="69">
        <v>30</v>
      </c>
      <c r="F20" s="60">
        <f t="shared" si="0"/>
        <v>80</v>
      </c>
      <c r="G20" s="61">
        <f t="shared" si="1"/>
        <v>0.72727272727272729</v>
      </c>
      <c r="H20" s="62">
        <f>D20*營業基本資訊!$D$8</f>
        <v>0</v>
      </c>
      <c r="I20" s="63">
        <f>D20*營業基本資訊!$D$5</f>
        <v>56.978093333333334</v>
      </c>
      <c r="J20" s="63">
        <f>D20*營業基本資訊!$D$6</f>
        <v>0</v>
      </c>
      <c r="K20" s="63">
        <f>D20*營業基本資訊!$D$7</f>
        <v>0</v>
      </c>
      <c r="L20" s="63">
        <f t="shared" si="2"/>
        <v>5.5</v>
      </c>
      <c r="M20" s="62">
        <f t="shared" si="3"/>
        <v>62.478093333333334</v>
      </c>
      <c r="N20" s="66">
        <f t="shared" si="4"/>
        <v>17.521906666666666</v>
      </c>
      <c r="O20" s="64">
        <f t="shared" si="5"/>
        <v>0.1592900606060606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pans="1:34" ht="14.25" customHeight="1">
      <c r="A21" s="278"/>
      <c r="B21" s="278"/>
      <c r="C21" s="65" t="s">
        <v>92</v>
      </c>
      <c r="D21" s="68">
        <v>110</v>
      </c>
      <c r="E21" s="69">
        <v>24</v>
      </c>
      <c r="F21" s="60">
        <f t="shared" si="0"/>
        <v>86</v>
      </c>
      <c r="G21" s="61">
        <f t="shared" si="1"/>
        <v>0.78181818181818186</v>
      </c>
      <c r="H21" s="62">
        <f>D21*營業基本資訊!$D$8</f>
        <v>0</v>
      </c>
      <c r="I21" s="63">
        <f>D21*營業基本資訊!$D$5</f>
        <v>56.978093333333334</v>
      </c>
      <c r="J21" s="63">
        <f>D21*營業基本資訊!$D$6</f>
        <v>0</v>
      </c>
      <c r="K21" s="63">
        <f>D21*營業基本資訊!$D$7</f>
        <v>0</v>
      </c>
      <c r="L21" s="63">
        <f t="shared" si="2"/>
        <v>5.5</v>
      </c>
      <c r="M21" s="62">
        <f t="shared" si="3"/>
        <v>62.478093333333334</v>
      </c>
      <c r="N21" s="66">
        <f t="shared" si="4"/>
        <v>23.521906666666666</v>
      </c>
      <c r="O21" s="64">
        <f t="shared" si="5"/>
        <v>0.21383551515151514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pans="1:34" ht="15.75" customHeight="1">
      <c r="A22" s="281" t="s">
        <v>99</v>
      </c>
      <c r="B22" s="283" t="s">
        <v>97</v>
      </c>
      <c r="C22" s="58" t="s">
        <v>89</v>
      </c>
      <c r="D22" s="68">
        <v>135</v>
      </c>
      <c r="E22" s="69">
        <v>33.299999999999997</v>
      </c>
      <c r="F22" s="60">
        <f t="shared" si="0"/>
        <v>101.7</v>
      </c>
      <c r="G22" s="61">
        <f t="shared" si="1"/>
        <v>0.7533333333333333</v>
      </c>
      <c r="H22" s="62">
        <f>D22*營業基本資訊!$D$8</f>
        <v>0</v>
      </c>
      <c r="I22" s="63">
        <f>D22*營業基本資訊!$D$5</f>
        <v>69.927660000000003</v>
      </c>
      <c r="J22" s="63">
        <f>D22*營業基本資訊!$D$6</f>
        <v>0</v>
      </c>
      <c r="K22" s="63">
        <f>D22*營業基本資訊!$D$7</f>
        <v>0</v>
      </c>
      <c r="L22" s="63">
        <f t="shared" si="2"/>
        <v>6.75</v>
      </c>
      <c r="M22" s="62">
        <f t="shared" si="3"/>
        <v>76.677660000000003</v>
      </c>
      <c r="N22" s="66">
        <f t="shared" si="4"/>
        <v>25.02234</v>
      </c>
      <c r="O22" s="64">
        <f t="shared" si="5"/>
        <v>0.18535066666666666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pans="1:34" ht="15.75" customHeight="1">
      <c r="A23" s="278"/>
      <c r="B23" s="278"/>
      <c r="C23" s="65" t="s">
        <v>90</v>
      </c>
      <c r="D23" s="68">
        <v>135</v>
      </c>
      <c r="E23" s="69">
        <v>36.299999999999997</v>
      </c>
      <c r="F23" s="60">
        <f t="shared" si="0"/>
        <v>98.7</v>
      </c>
      <c r="G23" s="61">
        <f t="shared" si="1"/>
        <v>0.73111111111111116</v>
      </c>
      <c r="H23" s="62">
        <f>D23*營業基本資訊!$D$8</f>
        <v>0</v>
      </c>
      <c r="I23" s="63">
        <f>D23*營業基本資訊!$D$5</f>
        <v>69.927660000000003</v>
      </c>
      <c r="J23" s="63">
        <f>D23*營業基本資訊!$D$6</f>
        <v>0</v>
      </c>
      <c r="K23" s="63">
        <f>D23*營業基本資訊!$D$7</f>
        <v>0</v>
      </c>
      <c r="L23" s="63">
        <f t="shared" si="2"/>
        <v>6.75</v>
      </c>
      <c r="M23" s="62">
        <f t="shared" si="3"/>
        <v>76.677660000000003</v>
      </c>
      <c r="N23" s="66">
        <f t="shared" si="4"/>
        <v>22.02234</v>
      </c>
      <c r="O23" s="64">
        <f t="shared" si="5"/>
        <v>0.16312844444444444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pans="1:34" ht="15.75" customHeight="1">
      <c r="A24" s="278"/>
      <c r="B24" s="278"/>
      <c r="C24" s="65" t="s">
        <v>91</v>
      </c>
      <c r="D24" s="68">
        <v>150</v>
      </c>
      <c r="E24" s="69">
        <v>41.5</v>
      </c>
      <c r="F24" s="60">
        <f t="shared" si="0"/>
        <v>108.5</v>
      </c>
      <c r="G24" s="61">
        <f t="shared" si="1"/>
        <v>0.72333333333333338</v>
      </c>
      <c r="H24" s="62">
        <f>D24*營業基本資訊!$D$8</f>
        <v>0</v>
      </c>
      <c r="I24" s="63">
        <f>D24*營業基本資訊!$D$5</f>
        <v>77.697400000000002</v>
      </c>
      <c r="J24" s="63">
        <f>D24*營業基本資訊!$D$6</f>
        <v>0</v>
      </c>
      <c r="K24" s="63">
        <f>D24*營業基本資訊!$D$7</f>
        <v>0</v>
      </c>
      <c r="L24" s="63">
        <f t="shared" si="2"/>
        <v>7.5</v>
      </c>
      <c r="M24" s="62">
        <f t="shared" si="3"/>
        <v>85.197400000000002</v>
      </c>
      <c r="N24" s="66">
        <f t="shared" si="4"/>
        <v>23.302599999999998</v>
      </c>
      <c r="O24" s="64">
        <f t="shared" si="5"/>
        <v>0.15535066666666666</v>
      </c>
      <c r="P24" s="70"/>
      <c r="Q24" s="71"/>
      <c r="R24" s="71"/>
      <c r="S24" s="72"/>
      <c r="T24" s="73"/>
      <c r="U24" s="74"/>
      <c r="V24" s="69"/>
      <c r="W24" s="75"/>
      <c r="X24" s="76"/>
      <c r="Y24" s="77"/>
      <c r="Z24" s="78"/>
      <c r="AA24" s="78"/>
      <c r="AB24" s="78"/>
      <c r="AC24" s="78"/>
      <c r="AD24" s="77"/>
      <c r="AE24" s="79"/>
      <c r="AF24" s="64"/>
      <c r="AG24" s="43"/>
      <c r="AH24" s="43"/>
    </row>
    <row r="25" spans="1:34" ht="15.75" customHeight="1">
      <c r="A25" s="278"/>
      <c r="B25" s="278"/>
      <c r="C25" s="65" t="s">
        <v>92</v>
      </c>
      <c r="D25" s="68">
        <v>150</v>
      </c>
      <c r="E25" s="69">
        <v>35.299999999999997</v>
      </c>
      <c r="F25" s="60">
        <f t="shared" si="0"/>
        <v>114.7</v>
      </c>
      <c r="G25" s="61">
        <f t="shared" si="1"/>
        <v>0.76466666666666672</v>
      </c>
      <c r="H25" s="62">
        <f>D25*營業基本資訊!$D$8</f>
        <v>0</v>
      </c>
      <c r="I25" s="63">
        <f>D25*營業基本資訊!$D$5</f>
        <v>77.697400000000002</v>
      </c>
      <c r="J25" s="63">
        <f>D25*營業基本資訊!$D$6</f>
        <v>0</v>
      </c>
      <c r="K25" s="63">
        <f>D25*營業基本資訊!$D$7</f>
        <v>0</v>
      </c>
      <c r="L25" s="63">
        <f t="shared" si="2"/>
        <v>7.5</v>
      </c>
      <c r="M25" s="62">
        <f t="shared" si="3"/>
        <v>85.197400000000002</v>
      </c>
      <c r="N25" s="66">
        <f t="shared" si="4"/>
        <v>29.502600000000001</v>
      </c>
      <c r="O25" s="64">
        <f t="shared" si="5"/>
        <v>0.196684</v>
      </c>
      <c r="P25" s="70"/>
      <c r="Q25" s="71"/>
      <c r="R25" s="71"/>
      <c r="S25" s="72"/>
      <c r="T25" s="73"/>
      <c r="U25" s="74"/>
      <c r="V25" s="69"/>
      <c r="W25" s="75"/>
      <c r="X25" s="76"/>
      <c r="Y25" s="77"/>
      <c r="Z25" s="78"/>
      <c r="AA25" s="78"/>
      <c r="AB25" s="78"/>
      <c r="AC25" s="78"/>
      <c r="AD25" s="77"/>
      <c r="AE25" s="79"/>
      <c r="AF25" s="64"/>
      <c r="AG25" s="43"/>
      <c r="AH25" s="43"/>
    </row>
    <row r="26" spans="1:34" ht="15.75" customHeight="1">
      <c r="A26" s="287" t="s">
        <v>100</v>
      </c>
      <c r="B26" s="286" t="s">
        <v>101</v>
      </c>
      <c r="C26" s="58" t="s">
        <v>89</v>
      </c>
      <c r="D26" s="68">
        <v>100</v>
      </c>
      <c r="E26" s="69">
        <v>21</v>
      </c>
      <c r="F26" s="60">
        <f t="shared" si="0"/>
        <v>79</v>
      </c>
      <c r="G26" s="61">
        <f t="shared" si="1"/>
        <v>0.79</v>
      </c>
      <c r="H26" s="62">
        <f>D26*營業基本資訊!$D$8</f>
        <v>0</v>
      </c>
      <c r="I26" s="63">
        <f>D26*營業基本資訊!$D$5</f>
        <v>51.79826666666667</v>
      </c>
      <c r="J26" s="63">
        <f>D26*營業基本資訊!$D$6</f>
        <v>0</v>
      </c>
      <c r="K26" s="63">
        <f>D26*營業基本資訊!$D$7</f>
        <v>0</v>
      </c>
      <c r="L26" s="63">
        <f t="shared" si="2"/>
        <v>5</v>
      </c>
      <c r="M26" s="62">
        <f t="shared" si="3"/>
        <v>56.79826666666667</v>
      </c>
      <c r="N26" s="66">
        <f t="shared" si="4"/>
        <v>22.20173333333333</v>
      </c>
      <c r="O26" s="64">
        <f t="shared" si="5"/>
        <v>0.22201733333333329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pans="1:34" ht="15.75" customHeight="1">
      <c r="A27" s="278"/>
      <c r="B27" s="278"/>
      <c r="C27" s="65" t="s">
        <v>90</v>
      </c>
      <c r="D27" s="68">
        <v>110</v>
      </c>
      <c r="E27" s="69">
        <v>27</v>
      </c>
      <c r="F27" s="60">
        <f t="shared" si="0"/>
        <v>83</v>
      </c>
      <c r="G27" s="61">
        <f t="shared" si="1"/>
        <v>0.75454545454545452</v>
      </c>
      <c r="H27" s="62">
        <f>D27*營業基本資訊!$D$8</f>
        <v>0</v>
      </c>
      <c r="I27" s="63">
        <f>D27*營業基本資訊!$D$5</f>
        <v>56.978093333333334</v>
      </c>
      <c r="J27" s="63">
        <f>D27*營業基本資訊!$D$6</f>
        <v>0</v>
      </c>
      <c r="K27" s="63">
        <f>D27*營業基本資訊!$D$7</f>
        <v>0</v>
      </c>
      <c r="L27" s="63">
        <f t="shared" si="2"/>
        <v>5.5</v>
      </c>
      <c r="M27" s="62">
        <f t="shared" si="3"/>
        <v>62.478093333333334</v>
      </c>
      <c r="N27" s="66">
        <f t="shared" si="4"/>
        <v>20.521906666666666</v>
      </c>
      <c r="O27" s="64">
        <f t="shared" si="5"/>
        <v>0.18656278787878788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 ht="15.75" customHeight="1">
      <c r="A28" s="278"/>
      <c r="B28" s="278"/>
      <c r="C28" s="65" t="s">
        <v>91</v>
      </c>
      <c r="D28" s="68">
        <v>140</v>
      </c>
      <c r="E28" s="69">
        <v>33</v>
      </c>
      <c r="F28" s="60">
        <f t="shared" si="0"/>
        <v>107</v>
      </c>
      <c r="G28" s="61">
        <f t="shared" si="1"/>
        <v>0.76428571428571423</v>
      </c>
      <c r="H28" s="62">
        <f>D28*營業基本資訊!$D$8</f>
        <v>0</v>
      </c>
      <c r="I28" s="63">
        <f>D28*營業基本資訊!$D$5</f>
        <v>72.517573333333331</v>
      </c>
      <c r="J28" s="63">
        <f>D28*營業基本資訊!$D$6</f>
        <v>0</v>
      </c>
      <c r="K28" s="63">
        <f>D28*營業基本資訊!$D$7</f>
        <v>0</v>
      </c>
      <c r="L28" s="63">
        <f t="shared" si="2"/>
        <v>7</v>
      </c>
      <c r="M28" s="62">
        <f t="shared" si="3"/>
        <v>79.517573333333331</v>
      </c>
      <c r="N28" s="66">
        <f t="shared" si="4"/>
        <v>27.482426666666669</v>
      </c>
      <c r="O28" s="64">
        <f t="shared" si="5"/>
        <v>0.19630304761904763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 ht="15.75" customHeight="1">
      <c r="A29" s="278"/>
      <c r="B29" s="278"/>
      <c r="C29" s="65" t="s">
        <v>92</v>
      </c>
      <c r="D29" s="68">
        <v>130</v>
      </c>
      <c r="E29" s="69">
        <v>26</v>
      </c>
      <c r="F29" s="60">
        <f t="shared" si="0"/>
        <v>104</v>
      </c>
      <c r="G29" s="61">
        <f t="shared" si="1"/>
        <v>0.8</v>
      </c>
      <c r="H29" s="62">
        <f>D29*營業基本資訊!$D$8</f>
        <v>0</v>
      </c>
      <c r="I29" s="63">
        <f>D29*營業基本資訊!$D$5</f>
        <v>67.337746666666675</v>
      </c>
      <c r="J29" s="63">
        <f>D29*營業基本資訊!$D$6</f>
        <v>0</v>
      </c>
      <c r="K29" s="63">
        <f>D29*營業基本資訊!$D$7</f>
        <v>0</v>
      </c>
      <c r="L29" s="63">
        <f t="shared" si="2"/>
        <v>6.5</v>
      </c>
      <c r="M29" s="62">
        <f t="shared" si="3"/>
        <v>73.837746666666675</v>
      </c>
      <c r="N29" s="66">
        <f t="shared" si="4"/>
        <v>30.162253333333325</v>
      </c>
      <c r="O29" s="64">
        <f t="shared" si="5"/>
        <v>0.23201733333333327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 ht="15.75" customHeight="1">
      <c r="A30" s="281" t="s">
        <v>102</v>
      </c>
      <c r="B30" s="285" t="s">
        <v>103</v>
      </c>
      <c r="C30" s="58" t="s">
        <v>89</v>
      </c>
      <c r="D30" s="68">
        <v>100</v>
      </c>
      <c r="E30" s="69">
        <v>34</v>
      </c>
      <c r="F30" s="60">
        <f t="shared" si="0"/>
        <v>66</v>
      </c>
      <c r="G30" s="61">
        <f t="shared" si="1"/>
        <v>0.66</v>
      </c>
      <c r="H30" s="62">
        <f>D30*營業基本資訊!$D$8</f>
        <v>0</v>
      </c>
      <c r="I30" s="63">
        <f>D30*營業基本資訊!$D$5</f>
        <v>51.79826666666667</v>
      </c>
      <c r="J30" s="63">
        <f>D30*營業基本資訊!$D$6</f>
        <v>0</v>
      </c>
      <c r="K30" s="63">
        <f>D30*營業基本資訊!$D$7</f>
        <v>0</v>
      </c>
      <c r="L30" s="63">
        <f t="shared" si="2"/>
        <v>5</v>
      </c>
      <c r="M30" s="62">
        <f t="shared" si="3"/>
        <v>56.79826666666667</v>
      </c>
      <c r="N30" s="66">
        <f t="shared" si="4"/>
        <v>9.2017333333333298</v>
      </c>
      <c r="O30" s="64">
        <f t="shared" si="5"/>
        <v>9.2017333333333298E-2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pans="1:34" ht="15.75" customHeight="1">
      <c r="A31" s="278"/>
      <c r="B31" s="278"/>
      <c r="C31" s="65" t="s">
        <v>90</v>
      </c>
      <c r="D31" s="68">
        <v>130</v>
      </c>
      <c r="E31" s="69">
        <v>40</v>
      </c>
      <c r="F31" s="60">
        <f t="shared" si="0"/>
        <v>90</v>
      </c>
      <c r="G31" s="61">
        <f t="shared" si="1"/>
        <v>0.69230769230769229</v>
      </c>
      <c r="H31" s="62">
        <f>D31*營業基本資訊!$D$8</f>
        <v>0</v>
      </c>
      <c r="I31" s="63">
        <f>D31*營業基本資訊!$D$5</f>
        <v>67.337746666666675</v>
      </c>
      <c r="J31" s="63">
        <f>D31*營業基本資訊!$D$6</f>
        <v>0</v>
      </c>
      <c r="K31" s="63">
        <f>D31*營業基本資訊!$D$7</f>
        <v>0</v>
      </c>
      <c r="L31" s="63">
        <f t="shared" si="2"/>
        <v>6.5</v>
      </c>
      <c r="M31" s="62">
        <f t="shared" si="3"/>
        <v>73.837746666666675</v>
      </c>
      <c r="N31" s="66">
        <f t="shared" si="4"/>
        <v>16.162253333333325</v>
      </c>
      <c r="O31" s="64">
        <f t="shared" si="5"/>
        <v>0.12432502564102557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 ht="15.75" customHeight="1">
      <c r="A32" s="278"/>
      <c r="B32" s="278"/>
      <c r="C32" s="65" t="s">
        <v>91</v>
      </c>
      <c r="D32" s="68">
        <v>130</v>
      </c>
      <c r="E32" s="69">
        <v>47</v>
      </c>
      <c r="F32" s="60">
        <f t="shared" si="0"/>
        <v>83</v>
      </c>
      <c r="G32" s="61">
        <f t="shared" si="1"/>
        <v>0.63846153846153841</v>
      </c>
      <c r="H32" s="62">
        <f>D32*營業基本資訊!$D$8</f>
        <v>0</v>
      </c>
      <c r="I32" s="63">
        <f>D32*營業基本資訊!$D$5</f>
        <v>67.337746666666675</v>
      </c>
      <c r="J32" s="63">
        <f>D32*營業基本資訊!$D$6</f>
        <v>0</v>
      </c>
      <c r="K32" s="63">
        <f>D32*營業基本資訊!$D$7</f>
        <v>0</v>
      </c>
      <c r="L32" s="63">
        <f t="shared" si="2"/>
        <v>6.5</v>
      </c>
      <c r="M32" s="62">
        <f t="shared" si="3"/>
        <v>73.837746666666675</v>
      </c>
      <c r="N32" s="66">
        <f t="shared" si="4"/>
        <v>9.1622533333333251</v>
      </c>
      <c r="O32" s="64">
        <f t="shared" si="5"/>
        <v>7.0478871794871736E-2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4" ht="15.75" customHeight="1">
      <c r="A33" s="278"/>
      <c r="B33" s="278"/>
      <c r="C33" s="65" t="s">
        <v>92</v>
      </c>
      <c r="D33" s="68">
        <v>130</v>
      </c>
      <c r="E33" s="69">
        <v>39</v>
      </c>
      <c r="F33" s="60">
        <f t="shared" si="0"/>
        <v>91</v>
      </c>
      <c r="G33" s="61">
        <f t="shared" si="1"/>
        <v>0.7</v>
      </c>
      <c r="H33" s="62">
        <f>D33*營業基本資訊!$D$8</f>
        <v>0</v>
      </c>
      <c r="I33" s="63">
        <f>D33*營業基本資訊!$D$5</f>
        <v>67.337746666666675</v>
      </c>
      <c r="J33" s="63">
        <f>D33*營業基本資訊!$D$6</f>
        <v>0</v>
      </c>
      <c r="K33" s="63">
        <f>D33*營業基本資訊!$D$7</f>
        <v>0</v>
      </c>
      <c r="L33" s="63">
        <f t="shared" si="2"/>
        <v>6.5</v>
      </c>
      <c r="M33" s="62">
        <f t="shared" si="3"/>
        <v>73.837746666666675</v>
      </c>
      <c r="N33" s="66">
        <f t="shared" si="4"/>
        <v>17.162253333333325</v>
      </c>
      <c r="O33" s="64">
        <f t="shared" si="5"/>
        <v>0.13201733333333326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 ht="15.75" customHeight="1">
      <c r="A34" s="278"/>
      <c r="B34" s="278"/>
      <c r="C34" s="82" t="s">
        <v>104</v>
      </c>
      <c r="D34" s="68">
        <v>150</v>
      </c>
      <c r="E34" s="69">
        <v>46</v>
      </c>
      <c r="F34" s="60">
        <f t="shared" si="0"/>
        <v>104</v>
      </c>
      <c r="G34" s="61">
        <f t="shared" si="1"/>
        <v>0.69333333333333336</v>
      </c>
      <c r="H34" s="62">
        <f>D34*營業基本資訊!$D$8</f>
        <v>0</v>
      </c>
      <c r="I34" s="63">
        <f>D34*營業基本資訊!$D$5</f>
        <v>77.697400000000002</v>
      </c>
      <c r="J34" s="63">
        <f>D34*營業基本資訊!$D$6</f>
        <v>0</v>
      </c>
      <c r="K34" s="63">
        <f>D34*營業基本資訊!$D$7</f>
        <v>0</v>
      </c>
      <c r="L34" s="63">
        <f t="shared" si="2"/>
        <v>7.5</v>
      </c>
      <c r="M34" s="62">
        <f t="shared" si="3"/>
        <v>85.197400000000002</v>
      </c>
      <c r="N34" s="66">
        <f t="shared" si="4"/>
        <v>18.802599999999998</v>
      </c>
      <c r="O34" s="64">
        <f t="shared" si="5"/>
        <v>0.12535066666666667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pans="1:34" ht="15.75" customHeight="1">
      <c r="A35" s="278"/>
      <c r="B35" s="278"/>
      <c r="C35" s="82" t="s">
        <v>94</v>
      </c>
      <c r="D35" s="68">
        <v>140</v>
      </c>
      <c r="E35" s="69">
        <v>41</v>
      </c>
      <c r="F35" s="60">
        <f t="shared" si="0"/>
        <v>99</v>
      </c>
      <c r="G35" s="61">
        <f t="shared" si="1"/>
        <v>0.70714285714285718</v>
      </c>
      <c r="H35" s="62">
        <f>D35*營業基本資訊!$D$8</f>
        <v>0</v>
      </c>
      <c r="I35" s="63">
        <f>D35*營業基本資訊!$D$5</f>
        <v>72.517573333333331</v>
      </c>
      <c r="J35" s="63">
        <f>D35*營業基本資訊!$D$6</f>
        <v>0</v>
      </c>
      <c r="K35" s="63">
        <f>D35*營業基本資訊!$D$7</f>
        <v>0</v>
      </c>
      <c r="L35" s="63">
        <f t="shared" si="2"/>
        <v>7</v>
      </c>
      <c r="M35" s="62">
        <f t="shared" si="3"/>
        <v>79.517573333333331</v>
      </c>
      <c r="N35" s="66">
        <f t="shared" si="4"/>
        <v>19.482426666666669</v>
      </c>
      <c r="O35" s="64">
        <f t="shared" si="5"/>
        <v>0.13916019047619049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pans="1:34" ht="15.75" customHeight="1">
      <c r="A36" s="67" t="s">
        <v>105</v>
      </c>
      <c r="B36" s="83" t="s">
        <v>392</v>
      </c>
      <c r="C36" s="82" t="s">
        <v>106</v>
      </c>
      <c r="D36" s="68">
        <v>130</v>
      </c>
      <c r="E36" s="69">
        <v>38.6</v>
      </c>
      <c r="F36" s="60">
        <f t="shared" si="0"/>
        <v>91.4</v>
      </c>
      <c r="G36" s="61">
        <f t="shared" si="1"/>
        <v>0.70307692307692315</v>
      </c>
      <c r="H36" s="62">
        <f>D36*營業基本資訊!$D$8</f>
        <v>0</v>
      </c>
      <c r="I36" s="63">
        <f>D36*營業基本資訊!$D$5</f>
        <v>67.337746666666675</v>
      </c>
      <c r="J36" s="63">
        <f>D36*營業基本資訊!$D$6</f>
        <v>0</v>
      </c>
      <c r="K36" s="63">
        <f>D36*營業基本資訊!$D$7</f>
        <v>0</v>
      </c>
      <c r="L36" s="63">
        <f t="shared" si="2"/>
        <v>6.5</v>
      </c>
      <c r="M36" s="62">
        <f t="shared" si="3"/>
        <v>73.837746666666675</v>
      </c>
      <c r="N36" s="66">
        <f t="shared" si="4"/>
        <v>17.562253333333331</v>
      </c>
      <c r="O36" s="64">
        <f t="shared" si="5"/>
        <v>0.13509425641025638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pans="1:34" ht="15.75" customHeight="1">
      <c r="A37" s="281" t="s">
        <v>107</v>
      </c>
      <c r="B37" s="285" t="s">
        <v>393</v>
      </c>
      <c r="C37" s="82" t="s">
        <v>108</v>
      </c>
      <c r="D37" s="68">
        <v>117</v>
      </c>
      <c r="E37" s="69">
        <v>51.3</v>
      </c>
      <c r="F37" s="60">
        <f t="shared" si="0"/>
        <v>65.7</v>
      </c>
      <c r="G37" s="61">
        <f t="shared" si="1"/>
        <v>0.56153846153846154</v>
      </c>
      <c r="H37" s="62">
        <f>D37*營業基本資訊!$D$8</f>
        <v>0</v>
      </c>
      <c r="I37" s="63">
        <f>D37*營業基本資訊!$D$5</f>
        <v>60.603972000000006</v>
      </c>
      <c r="J37" s="63">
        <f>D37*營業基本資訊!$D$6</f>
        <v>0</v>
      </c>
      <c r="K37" s="63">
        <f>D37*營業基本資訊!$D$7</f>
        <v>0</v>
      </c>
      <c r="L37" s="63">
        <f t="shared" si="2"/>
        <v>5.8500000000000005</v>
      </c>
      <c r="M37" s="62">
        <f t="shared" si="3"/>
        <v>66.453972000000007</v>
      </c>
      <c r="N37" s="66">
        <f t="shared" si="4"/>
        <v>-0.75397200000000453</v>
      </c>
      <c r="O37" s="64">
        <f t="shared" si="5"/>
        <v>-6.4442051282051667E-3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pans="1:34" ht="15.75" customHeight="1">
      <c r="A38" s="278"/>
      <c r="B38" s="285"/>
      <c r="C38" s="82" t="s">
        <v>109</v>
      </c>
      <c r="D38" s="68">
        <v>117</v>
      </c>
      <c r="E38" s="69">
        <v>48</v>
      </c>
      <c r="F38" s="60">
        <f t="shared" si="0"/>
        <v>69</v>
      </c>
      <c r="G38" s="61">
        <f t="shared" si="1"/>
        <v>0.58974358974358976</v>
      </c>
      <c r="H38" s="62">
        <f>D38*營業基本資訊!$D$8</f>
        <v>0</v>
      </c>
      <c r="I38" s="63">
        <f>D38*營業基本資訊!$D$5</f>
        <v>60.603972000000006</v>
      </c>
      <c r="J38" s="63">
        <f>D38*營業基本資訊!$D$6</f>
        <v>0</v>
      </c>
      <c r="K38" s="63">
        <f>D38*營業基本資訊!$D$7</f>
        <v>0</v>
      </c>
      <c r="L38" s="63">
        <f t="shared" si="2"/>
        <v>5.8500000000000005</v>
      </c>
      <c r="M38" s="62">
        <f t="shared" si="3"/>
        <v>66.453972000000007</v>
      </c>
      <c r="N38" s="66">
        <f t="shared" si="4"/>
        <v>2.5460279999999926</v>
      </c>
      <c r="O38" s="64">
        <f t="shared" si="5"/>
        <v>2.1760923076923015E-2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pans="1:34" ht="15.75" customHeight="1">
      <c r="A39" s="278"/>
      <c r="B39" s="285"/>
      <c r="C39" s="82" t="s">
        <v>110</v>
      </c>
      <c r="D39" s="68">
        <v>143</v>
      </c>
      <c r="E39" s="69">
        <v>47</v>
      </c>
      <c r="F39" s="60">
        <f t="shared" si="0"/>
        <v>96</v>
      </c>
      <c r="G39" s="61">
        <f t="shared" si="1"/>
        <v>0.67132867132867136</v>
      </c>
      <c r="H39" s="62">
        <f>D39*營業基本資訊!$D$8</f>
        <v>0</v>
      </c>
      <c r="I39" s="63">
        <f>D39*營業基本資訊!$D$5</f>
        <v>74.071521333333337</v>
      </c>
      <c r="J39" s="63">
        <f>D39*營業基本資訊!$D$6</f>
        <v>0</v>
      </c>
      <c r="K39" s="63">
        <f>D39*營業基本資訊!$D$7</f>
        <v>0</v>
      </c>
      <c r="L39" s="63">
        <f t="shared" si="2"/>
        <v>7.15</v>
      </c>
      <c r="M39" s="62">
        <f t="shared" si="3"/>
        <v>81.221521333333342</v>
      </c>
      <c r="N39" s="66">
        <f t="shared" si="4"/>
        <v>14.778478666666658</v>
      </c>
      <c r="O39" s="64">
        <f t="shared" si="5"/>
        <v>0.1033460046620046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pans="1:34" ht="15.75" customHeight="1">
      <c r="A40" s="90" t="s">
        <v>111</v>
      </c>
      <c r="B40" s="91"/>
      <c r="C40" s="92"/>
      <c r="D40" s="94"/>
      <c r="E40" s="95"/>
      <c r="F40" s="96"/>
      <c r="G40" s="97"/>
      <c r="H40" s="98"/>
      <c r="I40" s="99"/>
      <c r="J40" s="99"/>
      <c r="K40" s="99"/>
      <c r="L40" s="99"/>
      <c r="M40" s="98"/>
      <c r="N40" s="100"/>
      <c r="O40" s="101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pans="1:34" ht="15.75" customHeight="1">
      <c r="A41" s="281" t="s">
        <v>112</v>
      </c>
      <c r="B41" s="83"/>
      <c r="C41" s="58" t="s">
        <v>89</v>
      </c>
      <c r="D41" s="68">
        <v>126</v>
      </c>
      <c r="E41" s="69">
        <v>43</v>
      </c>
      <c r="F41" s="60">
        <f t="shared" ref="F41:F47" si="6">D41-E41</f>
        <v>83</v>
      </c>
      <c r="G41" s="61">
        <f t="shared" ref="G41:G47" si="7">F41/D41</f>
        <v>0.65873015873015872</v>
      </c>
      <c r="H41" s="62">
        <f>D41*營業基本資訊!$D$8</f>
        <v>0</v>
      </c>
      <c r="I41" s="63">
        <f>D41*營業基本資訊!$D$5</f>
        <v>65.265816000000001</v>
      </c>
      <c r="J41" s="63">
        <f>D41*營業基本資訊!$D$6</f>
        <v>0</v>
      </c>
      <c r="K41" s="63">
        <f>D41*營業基本資訊!$D$7</f>
        <v>0</v>
      </c>
      <c r="L41" s="63">
        <f t="shared" ref="L41:L47" si="8">D41*0.05</f>
        <v>6.3000000000000007</v>
      </c>
      <c r="M41" s="62">
        <f t="shared" ref="M41:M47" si="9">SUM(H41:L41)</f>
        <v>71.565815999999998</v>
      </c>
      <c r="N41" s="66">
        <f t="shared" ref="N41:N47" si="10">F41-M41</f>
        <v>11.434184000000002</v>
      </c>
      <c r="O41" s="64">
        <f t="shared" ref="O41:O47" si="11">N41/D41</f>
        <v>9.0747492063492072E-2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pans="1:34" ht="15.75" customHeight="1">
      <c r="A42" s="278"/>
      <c r="B42" s="83"/>
      <c r="C42" s="65" t="s">
        <v>90</v>
      </c>
      <c r="D42" s="68">
        <v>126</v>
      </c>
      <c r="E42" s="69">
        <v>43</v>
      </c>
      <c r="F42" s="60">
        <f t="shared" si="6"/>
        <v>83</v>
      </c>
      <c r="G42" s="61">
        <f t="shared" si="7"/>
        <v>0.65873015873015872</v>
      </c>
      <c r="H42" s="62">
        <f>D42*營業基本資訊!$D$8</f>
        <v>0</v>
      </c>
      <c r="I42" s="63">
        <f>D42*營業基本資訊!$D$5</f>
        <v>65.265816000000001</v>
      </c>
      <c r="J42" s="63">
        <f>D42*營業基本資訊!$D$6</f>
        <v>0</v>
      </c>
      <c r="K42" s="63">
        <f>D42*營業基本資訊!$D$7</f>
        <v>0</v>
      </c>
      <c r="L42" s="63">
        <f t="shared" si="8"/>
        <v>6.3000000000000007</v>
      </c>
      <c r="M42" s="62">
        <f t="shared" si="9"/>
        <v>71.565815999999998</v>
      </c>
      <c r="N42" s="66">
        <f t="shared" si="10"/>
        <v>11.434184000000002</v>
      </c>
      <c r="O42" s="64">
        <f t="shared" si="11"/>
        <v>9.0747492063492072E-2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pans="1:34" ht="15.75" customHeight="1">
      <c r="A43" s="278"/>
      <c r="B43" s="83"/>
      <c r="C43" s="65" t="s">
        <v>91</v>
      </c>
      <c r="D43" s="68">
        <v>126</v>
      </c>
      <c r="E43" s="69">
        <v>43</v>
      </c>
      <c r="F43" s="60">
        <f t="shared" si="6"/>
        <v>83</v>
      </c>
      <c r="G43" s="61">
        <f t="shared" si="7"/>
        <v>0.65873015873015872</v>
      </c>
      <c r="H43" s="62">
        <f>D43*營業基本資訊!$D$8</f>
        <v>0</v>
      </c>
      <c r="I43" s="63">
        <f>D43*營業基本資訊!$D$5</f>
        <v>65.265816000000001</v>
      </c>
      <c r="J43" s="63">
        <f>D43*營業基本資訊!$D$6</f>
        <v>0</v>
      </c>
      <c r="K43" s="63">
        <f>D43*營業基本資訊!$D$7</f>
        <v>0</v>
      </c>
      <c r="L43" s="63">
        <f t="shared" si="8"/>
        <v>6.3000000000000007</v>
      </c>
      <c r="M43" s="62">
        <f t="shared" si="9"/>
        <v>71.565815999999998</v>
      </c>
      <c r="N43" s="66">
        <f t="shared" si="10"/>
        <v>11.434184000000002</v>
      </c>
      <c r="O43" s="64">
        <f t="shared" si="11"/>
        <v>9.0747492063492072E-2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4" spans="1:34" ht="15.75" customHeight="1">
      <c r="A44" s="278"/>
      <c r="B44" s="83"/>
      <c r="C44" s="65" t="s">
        <v>92</v>
      </c>
      <c r="D44" s="68">
        <v>126</v>
      </c>
      <c r="E44" s="69">
        <v>43</v>
      </c>
      <c r="F44" s="60">
        <f t="shared" si="6"/>
        <v>83</v>
      </c>
      <c r="G44" s="61">
        <f t="shared" si="7"/>
        <v>0.65873015873015872</v>
      </c>
      <c r="H44" s="62">
        <f>D44*營業基本資訊!$D$8</f>
        <v>0</v>
      </c>
      <c r="I44" s="63">
        <f>D44*營業基本資訊!$D$5</f>
        <v>65.265816000000001</v>
      </c>
      <c r="J44" s="63">
        <f>D44*營業基本資訊!$D$6</f>
        <v>0</v>
      </c>
      <c r="K44" s="63">
        <f>D44*營業基本資訊!$D$7</f>
        <v>0</v>
      </c>
      <c r="L44" s="63">
        <f t="shared" si="8"/>
        <v>6.3000000000000007</v>
      </c>
      <c r="M44" s="62">
        <f t="shared" si="9"/>
        <v>71.565815999999998</v>
      </c>
      <c r="N44" s="66">
        <f t="shared" si="10"/>
        <v>11.434184000000002</v>
      </c>
      <c r="O44" s="64">
        <f t="shared" si="11"/>
        <v>9.0747492063492072E-2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pans="1:34" ht="15.75" customHeight="1">
      <c r="A45" s="278"/>
      <c r="B45" s="83"/>
      <c r="C45" s="82" t="s">
        <v>104</v>
      </c>
      <c r="D45" s="68">
        <v>126</v>
      </c>
      <c r="E45" s="69">
        <v>43</v>
      </c>
      <c r="F45" s="60">
        <f t="shared" si="6"/>
        <v>83</v>
      </c>
      <c r="G45" s="61">
        <f t="shared" si="7"/>
        <v>0.65873015873015872</v>
      </c>
      <c r="H45" s="62">
        <f>D45*營業基本資訊!$D$8</f>
        <v>0</v>
      </c>
      <c r="I45" s="63">
        <f>D45*營業基本資訊!$D$5</f>
        <v>65.265816000000001</v>
      </c>
      <c r="J45" s="63">
        <f>D45*營業基本資訊!$D$6</f>
        <v>0</v>
      </c>
      <c r="K45" s="63">
        <f>D45*營業基本資訊!$D$7</f>
        <v>0</v>
      </c>
      <c r="L45" s="63">
        <f t="shared" si="8"/>
        <v>6.3000000000000007</v>
      </c>
      <c r="M45" s="62">
        <f t="shared" si="9"/>
        <v>71.565815999999998</v>
      </c>
      <c r="N45" s="66">
        <f t="shared" si="10"/>
        <v>11.434184000000002</v>
      </c>
      <c r="O45" s="64">
        <f t="shared" si="11"/>
        <v>9.0747492063492072E-2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pans="1:34" ht="15.75" customHeight="1">
      <c r="A46" s="278"/>
      <c r="B46" s="83"/>
      <c r="C46" s="82" t="s">
        <v>94</v>
      </c>
      <c r="D46" s="68">
        <v>126</v>
      </c>
      <c r="E46" s="69">
        <v>43</v>
      </c>
      <c r="F46" s="60">
        <f t="shared" si="6"/>
        <v>83</v>
      </c>
      <c r="G46" s="61">
        <f t="shared" si="7"/>
        <v>0.65873015873015872</v>
      </c>
      <c r="H46" s="62">
        <f>D46*營業基本資訊!$D$8</f>
        <v>0</v>
      </c>
      <c r="I46" s="63">
        <f>D46*營業基本資訊!$D$5</f>
        <v>65.265816000000001</v>
      </c>
      <c r="J46" s="63">
        <f>D46*營業基本資訊!$D$6</f>
        <v>0</v>
      </c>
      <c r="K46" s="63">
        <f>D46*營業基本資訊!$D$7</f>
        <v>0</v>
      </c>
      <c r="L46" s="63">
        <f t="shared" si="8"/>
        <v>6.3000000000000007</v>
      </c>
      <c r="M46" s="62">
        <f t="shared" si="9"/>
        <v>71.565815999999998</v>
      </c>
      <c r="N46" s="66">
        <f t="shared" si="10"/>
        <v>11.434184000000002</v>
      </c>
      <c r="O46" s="64">
        <f t="shared" si="11"/>
        <v>9.0747492063492072E-2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pans="1:34" ht="15.75" customHeight="1">
      <c r="A47" s="85" t="s">
        <v>113</v>
      </c>
      <c r="B47" s="83"/>
      <c r="C47" s="82" t="s">
        <v>114</v>
      </c>
      <c r="D47" s="68">
        <v>301</v>
      </c>
      <c r="E47" s="69">
        <v>172</v>
      </c>
      <c r="F47" s="60">
        <f t="shared" si="6"/>
        <v>129</v>
      </c>
      <c r="G47" s="61">
        <f t="shared" si="7"/>
        <v>0.42857142857142855</v>
      </c>
      <c r="H47" s="62">
        <f>D47*營業基本資訊!$D$8</f>
        <v>0</v>
      </c>
      <c r="I47" s="63">
        <f>D47*營業基本資訊!$D$5</f>
        <v>155.91278266666669</v>
      </c>
      <c r="J47" s="63">
        <f>D47*營業基本資訊!$D$6</f>
        <v>0</v>
      </c>
      <c r="K47" s="63">
        <f>D47*營業基本資訊!$D$7</f>
        <v>0</v>
      </c>
      <c r="L47" s="63">
        <f t="shared" si="8"/>
        <v>15.05</v>
      </c>
      <c r="M47" s="62">
        <f t="shared" si="9"/>
        <v>170.9627826666667</v>
      </c>
      <c r="N47" s="66">
        <f t="shared" si="10"/>
        <v>-41.962782666666698</v>
      </c>
      <c r="O47" s="276">
        <f t="shared" si="11"/>
        <v>-0.1394112380952382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pans="1:34" ht="15.75" customHeight="1">
      <c r="A48" s="104" t="s">
        <v>115</v>
      </c>
      <c r="B48" s="105"/>
      <c r="C48" s="92"/>
      <c r="D48" s="94"/>
      <c r="E48" s="106"/>
      <c r="F48" s="107"/>
      <c r="G48" s="97"/>
      <c r="H48" s="98"/>
      <c r="I48" s="99"/>
      <c r="J48" s="99"/>
      <c r="K48" s="99"/>
      <c r="L48" s="99"/>
      <c r="M48" s="98"/>
      <c r="N48" s="100"/>
      <c r="O48" s="97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pans="1:34" ht="15.75" customHeight="1">
      <c r="A49" s="67" t="s">
        <v>116</v>
      </c>
      <c r="B49" s="81" t="s">
        <v>101</v>
      </c>
      <c r="C49" s="82" t="s">
        <v>117</v>
      </c>
      <c r="D49" s="68">
        <v>112</v>
      </c>
      <c r="E49" s="69">
        <v>46</v>
      </c>
      <c r="F49" s="60">
        <f>D49-E49</f>
        <v>66</v>
      </c>
      <c r="G49" s="61">
        <f>F49/D49</f>
        <v>0.5892857142857143</v>
      </c>
      <c r="H49" s="62">
        <f>D49*營業基本資訊!$D$8</f>
        <v>0</v>
      </c>
      <c r="I49" s="63">
        <f>D49*營業基本資訊!$D$5</f>
        <v>58.014058666666671</v>
      </c>
      <c r="J49" s="63">
        <f>D49*營業基本資訊!$D$6</f>
        <v>0</v>
      </c>
      <c r="K49" s="63">
        <f>D49*營業基本資訊!$D$7</f>
        <v>0</v>
      </c>
      <c r="L49" s="63">
        <f>D49*0.05</f>
        <v>5.6000000000000005</v>
      </c>
      <c r="M49" s="62">
        <f>SUM(H49:L49)</f>
        <v>63.614058666666672</v>
      </c>
      <c r="N49" s="66">
        <f>F49-M49</f>
        <v>2.3859413333333279</v>
      </c>
      <c r="O49" s="64">
        <f>N49/D49</f>
        <v>2.1303047619047572E-2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pans="1:34" ht="15.75" customHeight="1">
      <c r="A50" s="70"/>
      <c r="B50" s="123"/>
      <c r="C50" s="20"/>
      <c r="D50" s="71"/>
      <c r="E50" s="124"/>
      <c r="F50" s="75"/>
      <c r="G50" s="76"/>
      <c r="H50" s="77"/>
      <c r="I50" s="78"/>
      <c r="J50" s="78"/>
      <c r="K50" s="78"/>
      <c r="L50" s="78"/>
      <c r="M50" s="77"/>
      <c r="N50" s="88"/>
      <c r="O50" s="76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pans="1:34" ht="15.75" customHeight="1">
      <c r="A51" s="70"/>
      <c r="B51" s="123"/>
      <c r="C51" s="20"/>
      <c r="D51" s="71"/>
      <c r="E51" s="124"/>
      <c r="F51" s="75"/>
      <c r="G51" s="76"/>
      <c r="H51" s="77"/>
      <c r="I51" s="78"/>
      <c r="J51" s="78"/>
      <c r="K51" s="78"/>
      <c r="L51" s="78"/>
      <c r="M51" s="77"/>
      <c r="N51" s="88"/>
      <c r="O51" s="76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pans="1:34" ht="15.75" customHeight="1">
      <c r="A52" s="70"/>
      <c r="B52" s="123"/>
      <c r="C52" s="20"/>
      <c r="D52" s="71"/>
      <c r="E52" s="124"/>
      <c r="F52" s="75"/>
      <c r="G52" s="76"/>
      <c r="H52" s="77"/>
      <c r="I52" s="78"/>
      <c r="J52" s="78"/>
      <c r="K52" s="78"/>
      <c r="L52" s="78"/>
      <c r="M52" s="77"/>
      <c r="N52" s="88"/>
      <c r="O52" s="76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pans="1:34" ht="15.75" customHeight="1">
      <c r="A53" s="70"/>
      <c r="B53" s="123"/>
      <c r="C53" s="20"/>
      <c r="D53" s="71"/>
      <c r="E53" s="124"/>
      <c r="F53" s="75"/>
      <c r="G53" s="76"/>
      <c r="H53" s="77"/>
      <c r="I53" s="78"/>
      <c r="J53" s="78"/>
      <c r="K53" s="78"/>
      <c r="L53" s="78"/>
      <c r="M53" s="77"/>
      <c r="N53" s="88"/>
      <c r="O53" s="76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pans="1:34" ht="15.75" customHeight="1">
      <c r="A54" s="70"/>
      <c r="B54" s="123"/>
      <c r="C54" s="20"/>
      <c r="D54" s="71"/>
      <c r="E54" s="124"/>
      <c r="F54" s="75"/>
      <c r="G54" s="76"/>
      <c r="H54" s="77"/>
      <c r="I54" s="78"/>
      <c r="J54" s="78"/>
      <c r="K54" s="78"/>
      <c r="L54" s="78"/>
      <c r="M54" s="77"/>
      <c r="N54" s="88"/>
      <c r="O54" s="76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</row>
    <row r="55" spans="1:34" ht="15.75" customHeight="1">
      <c r="A55" s="70"/>
      <c r="B55" s="123"/>
      <c r="C55" s="125"/>
      <c r="D55" s="126"/>
      <c r="E55" s="127"/>
      <c r="F55" s="75"/>
      <c r="G55" s="76"/>
      <c r="H55" s="128"/>
      <c r="I55" s="128"/>
      <c r="J55" s="128"/>
      <c r="K55" s="128"/>
      <c r="L55" s="128"/>
      <c r="M55" s="128"/>
      <c r="N55" s="88"/>
      <c r="O55" s="76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</row>
    <row r="56" spans="1:34" ht="15.75" customHeight="1">
      <c r="A56" s="70"/>
      <c r="B56" s="123"/>
      <c r="C56" s="20"/>
      <c r="D56" s="71"/>
      <c r="E56" s="124"/>
      <c r="F56" s="75"/>
      <c r="G56" s="76"/>
      <c r="H56" s="128"/>
      <c r="I56" s="128"/>
      <c r="J56" s="128"/>
      <c r="K56" s="128"/>
      <c r="L56" s="128"/>
      <c r="M56" s="128"/>
      <c r="N56" s="88"/>
      <c r="O56" s="76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pans="1:34" ht="15.75" customHeight="1">
      <c r="A57" s="70"/>
      <c r="B57" s="123"/>
      <c r="C57" s="20"/>
      <c r="D57" s="71"/>
      <c r="E57" s="124"/>
      <c r="F57" s="75"/>
      <c r="G57" s="76"/>
      <c r="H57" s="128"/>
      <c r="I57" s="128"/>
      <c r="J57" s="128"/>
      <c r="K57" s="128"/>
      <c r="L57" s="128"/>
      <c r="M57" s="128"/>
      <c r="N57" s="88"/>
      <c r="O57" s="76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4" ht="15.75" customHeight="1">
      <c r="A58" s="70"/>
      <c r="B58" s="123"/>
      <c r="C58" s="20"/>
      <c r="D58" s="71"/>
      <c r="E58" s="124"/>
      <c r="F58" s="75"/>
      <c r="G58" s="76"/>
      <c r="H58" s="128"/>
      <c r="I58" s="128"/>
      <c r="J58" s="128"/>
      <c r="K58" s="128"/>
      <c r="L58" s="128"/>
      <c r="M58" s="128"/>
      <c r="N58" s="88"/>
      <c r="O58" s="76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 ht="15.75" customHeight="1">
      <c r="A59" s="70"/>
      <c r="B59" s="123"/>
      <c r="C59" s="20"/>
      <c r="D59" s="71"/>
      <c r="E59" s="124"/>
      <c r="F59" s="75"/>
      <c r="G59" s="76"/>
      <c r="H59" s="128"/>
      <c r="I59" s="128"/>
      <c r="J59" s="128"/>
      <c r="K59" s="128"/>
      <c r="L59" s="128"/>
      <c r="M59" s="128"/>
      <c r="N59" s="88"/>
      <c r="O59" s="76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pans="1:34" ht="15.75" customHeight="1">
      <c r="A60" s="70"/>
      <c r="B60" s="123"/>
      <c r="C60" s="20"/>
      <c r="D60" s="71"/>
      <c r="E60" s="124"/>
      <c r="F60" s="75"/>
      <c r="G60" s="76"/>
      <c r="H60" s="128"/>
      <c r="I60" s="128"/>
      <c r="J60" s="128"/>
      <c r="K60" s="128"/>
      <c r="L60" s="128"/>
      <c r="M60" s="128"/>
      <c r="N60" s="88"/>
      <c r="O60" s="76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pans="1:34" ht="15.75" customHeight="1">
      <c r="A61" s="70"/>
      <c r="B61" s="123"/>
      <c r="C61" s="129"/>
      <c r="D61" s="71"/>
      <c r="E61" s="124"/>
      <c r="F61" s="75"/>
      <c r="G61" s="76"/>
      <c r="H61" s="128"/>
      <c r="I61" s="128"/>
      <c r="J61" s="128"/>
      <c r="K61" s="128"/>
      <c r="L61" s="128"/>
      <c r="M61" s="128"/>
      <c r="N61" s="88"/>
      <c r="O61" s="76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pans="1:34" ht="15.75" customHeight="1">
      <c r="A62" s="70"/>
      <c r="B62" s="123"/>
      <c r="C62" s="129"/>
      <c r="D62" s="71"/>
      <c r="E62" s="124"/>
      <c r="F62" s="75"/>
      <c r="G62" s="76"/>
      <c r="H62" s="128"/>
      <c r="I62" s="128"/>
      <c r="J62" s="128"/>
      <c r="K62" s="128"/>
      <c r="L62" s="128"/>
      <c r="M62" s="128"/>
      <c r="N62" s="88"/>
      <c r="O62" s="76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spans="1:34" ht="15.75" customHeight="1">
      <c r="A63" s="70"/>
      <c r="B63" s="123"/>
      <c r="C63" s="129"/>
      <c r="D63" s="126"/>
      <c r="E63" s="124"/>
      <c r="F63" s="75"/>
      <c r="G63" s="76"/>
      <c r="H63" s="128"/>
      <c r="I63" s="128"/>
      <c r="J63" s="128"/>
      <c r="K63" s="128"/>
      <c r="L63" s="128"/>
      <c r="M63" s="128"/>
      <c r="N63" s="88"/>
      <c r="O63" s="76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</row>
    <row r="64" spans="1:34" ht="15.75" customHeight="1">
      <c r="A64" s="70"/>
      <c r="B64" s="123"/>
      <c r="C64" s="125"/>
      <c r="D64" s="126"/>
      <c r="E64" s="127"/>
      <c r="F64" s="75"/>
      <c r="G64" s="76"/>
      <c r="H64" s="128"/>
      <c r="I64" s="128"/>
      <c r="J64" s="128"/>
      <c r="K64" s="128"/>
      <c r="L64" s="128"/>
      <c r="M64" s="128"/>
      <c r="N64" s="88"/>
      <c r="O64" s="76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</row>
    <row r="65" spans="1:34" ht="15.75" customHeight="1">
      <c r="A65" s="70"/>
      <c r="B65" s="123"/>
      <c r="C65" s="20"/>
      <c r="D65" s="71"/>
      <c r="E65" s="124"/>
      <c r="F65" s="75"/>
      <c r="G65" s="76"/>
      <c r="H65" s="128"/>
      <c r="I65" s="128"/>
      <c r="J65" s="128"/>
      <c r="K65" s="128"/>
      <c r="L65" s="128"/>
      <c r="M65" s="128"/>
      <c r="N65" s="88"/>
      <c r="O65" s="76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</row>
    <row r="66" spans="1:34" ht="15.75" customHeight="1">
      <c r="A66" s="70"/>
      <c r="B66" s="123"/>
      <c r="C66" s="20"/>
      <c r="D66" s="71"/>
      <c r="E66" s="124"/>
      <c r="F66" s="75"/>
      <c r="G66" s="76"/>
      <c r="H66" s="128"/>
      <c r="I66" s="128"/>
      <c r="J66" s="128"/>
      <c r="K66" s="128"/>
      <c r="L66" s="128"/>
      <c r="M66" s="128"/>
      <c r="N66" s="88"/>
      <c r="O66" s="76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</row>
    <row r="67" spans="1:34" ht="15.75" customHeight="1">
      <c r="A67" s="70"/>
      <c r="B67" s="123"/>
      <c r="C67" s="20"/>
      <c r="D67" s="71"/>
      <c r="E67" s="124"/>
      <c r="F67" s="75"/>
      <c r="G67" s="76"/>
      <c r="H67" s="128"/>
      <c r="I67" s="128"/>
      <c r="J67" s="128"/>
      <c r="K67" s="128"/>
      <c r="L67" s="128"/>
      <c r="M67" s="128"/>
      <c r="N67" s="88"/>
      <c r="O67" s="76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spans="1:34" ht="15.75" customHeight="1">
      <c r="A68" s="70"/>
      <c r="B68" s="123"/>
      <c r="C68" s="20"/>
      <c r="D68" s="71"/>
      <c r="E68" s="124"/>
      <c r="F68" s="75"/>
      <c r="G68" s="76"/>
      <c r="H68" s="128"/>
      <c r="I68" s="128"/>
      <c r="J68" s="128"/>
      <c r="K68" s="128"/>
      <c r="L68" s="128"/>
      <c r="M68" s="128"/>
      <c r="N68" s="88"/>
      <c r="O68" s="76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spans="1:34" ht="15.75" customHeight="1">
      <c r="A69" s="70"/>
      <c r="B69" s="123"/>
      <c r="C69" s="20"/>
      <c r="D69" s="71"/>
      <c r="E69" s="124"/>
      <c r="F69" s="75"/>
      <c r="G69" s="76"/>
      <c r="H69" s="128"/>
      <c r="I69" s="128"/>
      <c r="J69" s="128"/>
      <c r="K69" s="128"/>
      <c r="L69" s="128"/>
      <c r="M69" s="128"/>
      <c r="N69" s="88"/>
      <c r="O69" s="76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spans="1:34" ht="15.75" customHeight="1">
      <c r="A70" s="70"/>
      <c r="B70" s="123"/>
      <c r="C70" s="20"/>
      <c r="D70" s="71"/>
      <c r="E70" s="124"/>
      <c r="F70" s="75"/>
      <c r="G70" s="76"/>
      <c r="H70" s="128"/>
      <c r="I70" s="128"/>
      <c r="J70" s="128"/>
      <c r="K70" s="128"/>
      <c r="L70" s="128"/>
      <c r="M70" s="128"/>
      <c r="N70" s="88"/>
      <c r="O70" s="76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</row>
    <row r="71" spans="1:34" ht="15.75" customHeight="1">
      <c r="A71" s="70"/>
      <c r="B71" s="123"/>
      <c r="C71" s="20"/>
      <c r="D71" s="71"/>
      <c r="E71" s="124"/>
      <c r="F71" s="75"/>
      <c r="G71" s="76"/>
      <c r="H71" s="128"/>
      <c r="I71" s="128"/>
      <c r="J71" s="128"/>
      <c r="K71" s="128"/>
      <c r="L71" s="128"/>
      <c r="M71" s="128"/>
      <c r="N71" s="88"/>
      <c r="O71" s="76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spans="1:34" ht="15.75" customHeight="1">
      <c r="A72" s="70"/>
      <c r="B72" s="123"/>
      <c r="C72" s="20"/>
      <c r="D72" s="71"/>
      <c r="E72" s="124"/>
      <c r="F72" s="75"/>
      <c r="G72" s="76"/>
      <c r="H72" s="128"/>
      <c r="I72" s="128"/>
      <c r="J72" s="128"/>
      <c r="K72" s="128"/>
      <c r="L72" s="128"/>
      <c r="M72" s="128"/>
      <c r="N72" s="88"/>
      <c r="O72" s="76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spans="1:34" ht="15.75" hidden="1" customHeight="1">
      <c r="A73" s="130"/>
      <c r="B73" s="131" t="s">
        <v>118</v>
      </c>
      <c r="E73" s="132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pans="1:34" ht="36" hidden="1" customHeight="1">
      <c r="A74" s="130"/>
      <c r="B74" s="131" t="s">
        <v>119</v>
      </c>
      <c r="C74" s="133" t="s">
        <v>120</v>
      </c>
      <c r="D74" s="135">
        <v>5680</v>
      </c>
      <c r="E74" s="136"/>
      <c r="F74" s="43"/>
      <c r="G74" s="43"/>
      <c r="H74" s="137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pans="1:34" ht="15.75" hidden="1" customHeight="1">
      <c r="A75" s="130"/>
      <c r="B75" s="131" t="s">
        <v>121</v>
      </c>
      <c r="C75" s="133" t="s">
        <v>122</v>
      </c>
      <c r="D75" s="135">
        <v>1570</v>
      </c>
      <c r="E75" s="136"/>
      <c r="F75" s="43"/>
      <c r="G75" s="43"/>
      <c r="H75" s="137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</row>
    <row r="76" spans="1:34" ht="15.75" hidden="1" customHeight="1">
      <c r="A76" s="130"/>
      <c r="B76" s="131" t="s">
        <v>123</v>
      </c>
      <c r="C76" s="133" t="s">
        <v>124</v>
      </c>
      <c r="D76" s="139">
        <v>2000</v>
      </c>
      <c r="E76" s="136"/>
      <c r="F76" s="43"/>
      <c r="G76" s="43"/>
      <c r="H76" s="137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</row>
    <row r="77" spans="1:34" ht="41.25" hidden="1" customHeight="1">
      <c r="A77" s="130"/>
      <c r="B77" s="131" t="s">
        <v>125</v>
      </c>
      <c r="C77" s="140" t="s">
        <v>126</v>
      </c>
      <c r="D77" s="135">
        <v>1580</v>
      </c>
      <c r="E77" s="136"/>
      <c r="F77" s="43"/>
      <c r="G77" s="43"/>
      <c r="H77" s="137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</row>
    <row r="78" spans="1:34" ht="15.75" customHeight="1">
      <c r="A78" s="141"/>
      <c r="B78" s="142"/>
      <c r="C78" s="43"/>
      <c r="D78" s="63"/>
      <c r="E78" s="136"/>
      <c r="F78" s="43"/>
      <c r="G78" s="43"/>
      <c r="H78" s="137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</row>
    <row r="79" spans="1:34" ht="15.75" customHeight="1">
      <c r="A79" s="141"/>
      <c r="B79" s="280"/>
      <c r="C79" s="278"/>
      <c r="D79" s="278"/>
      <c r="E79" s="136"/>
      <c r="F79" s="43"/>
      <c r="G79" s="43"/>
      <c r="H79" s="137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</row>
    <row r="80" spans="1:34" ht="15.75" customHeight="1">
      <c r="A80" s="141"/>
      <c r="B80" s="280"/>
      <c r="C80" s="278"/>
      <c r="D80" s="278"/>
      <c r="E80" s="136"/>
      <c r="F80" s="43"/>
      <c r="G80" s="43"/>
      <c r="H80" s="137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</row>
    <row r="81" spans="1:34" ht="15.75" customHeight="1">
      <c r="A81" s="141"/>
      <c r="B81" s="280"/>
      <c r="C81" s="278"/>
      <c r="D81" s="278"/>
      <c r="E81" s="136"/>
      <c r="F81" s="43"/>
      <c r="G81" s="43"/>
      <c r="H81" s="137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</row>
    <row r="82" spans="1:34" ht="15.75" customHeight="1">
      <c r="A82" s="141"/>
      <c r="B82" s="142"/>
      <c r="C82" s="43"/>
      <c r="D82" s="63"/>
      <c r="E82" s="136"/>
      <c r="F82" s="43"/>
      <c r="G82" s="43"/>
      <c r="H82" s="137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spans="1:34" ht="15.75" customHeight="1">
      <c r="A83" s="141"/>
      <c r="B83" s="142"/>
      <c r="C83" s="43"/>
      <c r="D83" s="63"/>
      <c r="E83" s="136"/>
      <c r="F83" s="43"/>
      <c r="G83" s="43"/>
      <c r="H83" s="137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</row>
    <row r="84" spans="1:34" ht="15.75" customHeight="1">
      <c r="A84" s="141"/>
      <c r="B84" s="142"/>
      <c r="C84" s="43"/>
      <c r="D84" s="63"/>
      <c r="E84" s="136"/>
      <c r="F84" s="43"/>
      <c r="G84" s="43"/>
      <c r="H84" s="137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</row>
    <row r="85" spans="1:34" ht="15.75" customHeight="1">
      <c r="A85" s="141"/>
      <c r="B85" s="142"/>
      <c r="C85" s="43"/>
      <c r="D85" s="63"/>
      <c r="E85" s="136"/>
      <c r="F85" s="43"/>
      <c r="G85" s="43"/>
      <c r="H85" s="137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</row>
    <row r="86" spans="1:34" ht="15.75" customHeight="1">
      <c r="A86" s="141"/>
      <c r="B86" s="142"/>
      <c r="C86" s="43"/>
      <c r="D86" s="63"/>
      <c r="E86" s="136"/>
      <c r="F86" s="43"/>
      <c r="G86" s="43"/>
      <c r="H86" s="137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</row>
    <row r="87" spans="1:34" ht="15.75" customHeight="1">
      <c r="A87" s="141"/>
      <c r="B87" s="142"/>
      <c r="C87" s="43"/>
      <c r="D87" s="63"/>
      <c r="E87" s="136"/>
      <c r="F87" s="43"/>
      <c r="G87" s="43"/>
      <c r="H87" s="137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</row>
    <row r="88" spans="1:34" ht="15.75" customHeight="1">
      <c r="A88" s="141"/>
      <c r="B88" s="142"/>
      <c r="C88" s="43"/>
      <c r="D88" s="63"/>
      <c r="E88" s="136"/>
      <c r="F88" s="43"/>
      <c r="G88" s="43"/>
      <c r="H88" s="137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</row>
    <row r="89" spans="1:34" ht="15.75" customHeight="1">
      <c r="A89" s="141"/>
      <c r="B89" s="142"/>
      <c r="C89" s="43"/>
      <c r="D89" s="63"/>
      <c r="E89" s="136"/>
      <c r="F89" s="43"/>
      <c r="G89" s="43"/>
      <c r="H89" s="137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</row>
    <row r="90" spans="1:34" ht="15.75" customHeight="1">
      <c r="A90" s="141"/>
      <c r="B90" s="142"/>
      <c r="C90" s="43"/>
      <c r="D90" s="63"/>
      <c r="E90" s="136"/>
      <c r="F90" s="43"/>
      <c r="G90" s="43"/>
      <c r="H90" s="137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spans="1:34" ht="15.75" customHeight="1">
      <c r="A91" s="141"/>
      <c r="B91" s="142"/>
      <c r="C91" s="43"/>
      <c r="D91" s="63"/>
      <c r="E91" s="136"/>
      <c r="F91" s="43"/>
      <c r="G91" s="43"/>
      <c r="H91" s="137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</row>
    <row r="92" spans="1:34" ht="15.75" customHeight="1">
      <c r="A92" s="141"/>
      <c r="B92" s="142"/>
      <c r="C92" s="43"/>
      <c r="D92" s="63"/>
      <c r="E92" s="136"/>
      <c r="F92" s="43"/>
      <c r="G92" s="43"/>
      <c r="H92" s="137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</row>
    <row r="93" spans="1:34" ht="15.75" customHeight="1">
      <c r="A93" s="141"/>
      <c r="B93" s="142"/>
      <c r="C93" s="43"/>
      <c r="D93" s="63"/>
      <c r="E93" s="136"/>
      <c r="F93" s="43"/>
      <c r="G93" s="43"/>
      <c r="H93" s="137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</row>
    <row r="94" spans="1:34" ht="15.75" customHeight="1">
      <c r="A94" s="141"/>
      <c r="B94" s="142"/>
      <c r="C94" s="43"/>
      <c r="D94" s="63"/>
      <c r="E94" s="136"/>
      <c r="F94" s="43"/>
      <c r="G94" s="43"/>
      <c r="H94" s="137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</row>
    <row r="95" spans="1:34" ht="15.75" customHeight="1">
      <c r="A95" s="141"/>
      <c r="B95" s="142"/>
      <c r="C95" s="43"/>
      <c r="D95" s="63"/>
      <c r="E95" s="136"/>
      <c r="F95" s="43"/>
      <c r="G95" s="43"/>
      <c r="H95" s="137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</row>
    <row r="96" spans="1:34" ht="15.75" customHeight="1">
      <c r="A96" s="141"/>
      <c r="B96" s="142"/>
      <c r="C96" s="43"/>
      <c r="D96" s="63"/>
      <c r="E96" s="136"/>
      <c r="F96" s="43"/>
      <c r="G96" s="43"/>
      <c r="H96" s="137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spans="1:34" ht="15.75" customHeight="1">
      <c r="A97" s="141"/>
      <c r="B97" s="142"/>
      <c r="C97" s="43"/>
      <c r="D97" s="63"/>
      <c r="E97" s="136"/>
      <c r="F97" s="43"/>
      <c r="G97" s="43"/>
      <c r="H97" s="137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</row>
    <row r="98" spans="1:34" ht="15.75" customHeight="1">
      <c r="A98" s="141"/>
      <c r="B98" s="142"/>
      <c r="C98" s="43"/>
      <c r="D98" s="63"/>
      <c r="E98" s="136"/>
      <c r="F98" s="43"/>
      <c r="G98" s="43"/>
      <c r="H98" s="137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</row>
    <row r="99" spans="1:34" ht="15.75" customHeight="1">
      <c r="A99" s="141"/>
      <c r="B99" s="142"/>
      <c r="C99" s="43"/>
      <c r="D99" s="63"/>
      <c r="E99" s="136"/>
      <c r="F99" s="43"/>
      <c r="G99" s="43"/>
      <c r="H99" s="137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</row>
    <row r="100" spans="1:34" ht="15.75" customHeight="1">
      <c r="A100" s="141"/>
      <c r="B100" s="142"/>
      <c r="C100" s="43"/>
      <c r="D100" s="63"/>
      <c r="E100" s="136"/>
      <c r="F100" s="43"/>
      <c r="G100" s="43"/>
      <c r="H100" s="137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spans="1:34" ht="15.75" customHeight="1">
      <c r="A101" s="141"/>
      <c r="B101" s="142"/>
      <c r="C101" s="43"/>
      <c r="D101" s="63"/>
      <c r="E101" s="136"/>
      <c r="F101" s="43"/>
      <c r="G101" s="43"/>
      <c r="H101" s="137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spans="1:34" ht="15.75" customHeight="1">
      <c r="A102" s="141"/>
      <c r="B102" s="142"/>
      <c r="C102" s="43"/>
      <c r="D102" s="63"/>
      <c r="E102" s="136"/>
      <c r="F102" s="43"/>
      <c r="G102" s="43"/>
      <c r="H102" s="137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spans="1:34" ht="15.75" customHeight="1">
      <c r="A103" s="141"/>
      <c r="B103" s="142"/>
      <c r="C103" s="43"/>
      <c r="D103" s="63"/>
      <c r="E103" s="136"/>
      <c r="F103" s="43"/>
      <c r="G103" s="43"/>
      <c r="H103" s="137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</row>
    <row r="104" spans="1:34" ht="15.75" customHeight="1">
      <c r="A104" s="141"/>
      <c r="B104" s="142"/>
      <c r="C104" s="43"/>
      <c r="D104" s="63"/>
      <c r="E104" s="136"/>
      <c r="F104" s="43"/>
      <c r="G104" s="43"/>
      <c r="H104" s="137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</row>
    <row r="105" spans="1:34" ht="15.75" customHeight="1">
      <c r="A105" s="141"/>
      <c r="B105" s="142"/>
      <c r="C105" s="43"/>
      <c r="D105" s="63"/>
      <c r="E105" s="136"/>
      <c r="F105" s="43"/>
      <c r="G105" s="43"/>
      <c r="H105" s="137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</row>
    <row r="106" spans="1:34" ht="15.75" customHeight="1">
      <c r="A106" s="141"/>
      <c r="B106" s="142"/>
      <c r="C106" s="43"/>
      <c r="D106" s="63"/>
      <c r="E106" s="136"/>
      <c r="F106" s="43"/>
      <c r="G106" s="43"/>
      <c r="H106" s="137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</row>
    <row r="107" spans="1:34" ht="15.75" customHeight="1">
      <c r="A107" s="141"/>
      <c r="B107" s="142"/>
      <c r="C107" s="43"/>
      <c r="D107" s="63"/>
      <c r="E107" s="136"/>
      <c r="F107" s="43"/>
      <c r="G107" s="43"/>
      <c r="H107" s="137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</row>
    <row r="108" spans="1:34" ht="15.75" customHeight="1">
      <c r="A108" s="141"/>
      <c r="B108" s="142"/>
      <c r="C108" s="43"/>
      <c r="D108" s="63"/>
      <c r="E108" s="136"/>
      <c r="F108" s="43"/>
      <c r="G108" s="43"/>
      <c r="H108" s="137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</row>
    <row r="109" spans="1:34" ht="15.75" customHeight="1">
      <c r="A109" s="141"/>
      <c r="B109" s="142"/>
      <c r="C109" s="43"/>
      <c r="D109" s="63"/>
      <c r="E109" s="136"/>
      <c r="F109" s="43"/>
      <c r="G109" s="43"/>
      <c r="H109" s="137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</row>
    <row r="110" spans="1:34" ht="15.75" customHeight="1">
      <c r="A110" s="141"/>
      <c r="B110" s="142"/>
      <c r="C110" s="43"/>
      <c r="D110" s="63"/>
      <c r="E110" s="136"/>
      <c r="F110" s="43"/>
      <c r="G110" s="43"/>
      <c r="H110" s="137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</row>
    <row r="111" spans="1:34" ht="15.75" customHeight="1">
      <c r="A111" s="141"/>
      <c r="B111" s="142"/>
      <c r="C111" s="43"/>
      <c r="D111" s="63"/>
      <c r="E111" s="136"/>
      <c r="F111" s="43"/>
      <c r="G111" s="43"/>
      <c r="H111" s="137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</row>
    <row r="112" spans="1:34" ht="15.75" customHeight="1">
      <c r="A112" s="141"/>
      <c r="B112" s="142"/>
      <c r="C112" s="43"/>
      <c r="D112" s="63"/>
      <c r="E112" s="136"/>
      <c r="F112" s="43"/>
      <c r="G112" s="43"/>
      <c r="H112" s="137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</row>
    <row r="113" spans="1:34" ht="15.75" customHeight="1">
      <c r="A113" s="141"/>
      <c r="B113" s="142"/>
      <c r="C113" s="43"/>
      <c r="D113" s="63"/>
      <c r="E113" s="136"/>
      <c r="F113" s="43"/>
      <c r="G113" s="43"/>
      <c r="H113" s="137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</row>
    <row r="114" spans="1:34" ht="15.75" customHeight="1">
      <c r="A114" s="141"/>
      <c r="B114" s="142"/>
      <c r="C114" s="43"/>
      <c r="D114" s="63"/>
      <c r="E114" s="136"/>
      <c r="F114" s="43"/>
      <c r="G114" s="43"/>
      <c r="H114" s="137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</row>
    <row r="115" spans="1:34" ht="15.75" customHeight="1">
      <c r="A115" s="141"/>
      <c r="B115" s="142"/>
      <c r="C115" s="43"/>
      <c r="D115" s="63"/>
      <c r="E115" s="136"/>
      <c r="F115" s="43"/>
      <c r="G115" s="43"/>
      <c r="H115" s="137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</row>
    <row r="116" spans="1:34" ht="15.75" customHeight="1">
      <c r="A116" s="141"/>
      <c r="B116" s="142"/>
      <c r="C116" s="43"/>
      <c r="D116" s="63"/>
      <c r="E116" s="136"/>
      <c r="F116" s="43"/>
      <c r="G116" s="43"/>
      <c r="H116" s="137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pans="1:34" ht="15.75" customHeight="1">
      <c r="A117" s="141"/>
      <c r="B117" s="142"/>
      <c r="C117" s="43"/>
      <c r="D117" s="63"/>
      <c r="E117" s="136"/>
      <c r="F117" s="43"/>
      <c r="G117" s="43"/>
      <c r="H117" s="137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</row>
    <row r="118" spans="1:34" ht="15.75" customHeight="1">
      <c r="A118" s="141"/>
      <c r="B118" s="142"/>
      <c r="C118" s="43"/>
      <c r="D118" s="63"/>
      <c r="E118" s="136"/>
      <c r="F118" s="43"/>
      <c r="G118" s="43"/>
      <c r="H118" s="137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</row>
    <row r="119" spans="1:34" ht="15.75" customHeight="1">
      <c r="A119" s="141"/>
      <c r="B119" s="142"/>
      <c r="C119" s="43"/>
      <c r="D119" s="63"/>
      <c r="E119" s="136"/>
      <c r="F119" s="43"/>
      <c r="G119" s="43"/>
      <c r="H119" s="137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</row>
    <row r="120" spans="1:34" ht="15.75" customHeight="1">
      <c r="A120" s="141"/>
      <c r="B120" s="142"/>
      <c r="C120" s="43"/>
      <c r="D120" s="63"/>
      <c r="E120" s="136"/>
      <c r="F120" s="43"/>
      <c r="G120" s="43"/>
      <c r="H120" s="137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</row>
    <row r="121" spans="1:34" ht="15.75" customHeight="1">
      <c r="A121" s="141"/>
      <c r="B121" s="142"/>
      <c r="C121" s="43"/>
      <c r="D121" s="63"/>
      <c r="E121" s="136"/>
      <c r="F121" s="43"/>
      <c r="G121" s="43"/>
      <c r="H121" s="137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</row>
    <row r="122" spans="1:34" ht="15.75" customHeight="1">
      <c r="A122" s="141"/>
      <c r="B122" s="142"/>
      <c r="C122" s="43"/>
      <c r="D122" s="63"/>
      <c r="E122" s="136"/>
      <c r="F122" s="43"/>
      <c r="G122" s="43"/>
      <c r="H122" s="137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</row>
    <row r="123" spans="1:34" ht="15.75" customHeight="1">
      <c r="A123" s="141"/>
      <c r="B123" s="142"/>
      <c r="C123" s="43"/>
      <c r="D123" s="63"/>
      <c r="E123" s="136"/>
      <c r="F123" s="43"/>
      <c r="G123" s="43"/>
      <c r="H123" s="137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</row>
    <row r="124" spans="1:34" ht="15.75" customHeight="1">
      <c r="A124" s="141"/>
      <c r="B124" s="142"/>
      <c r="C124" s="43"/>
      <c r="D124" s="63"/>
      <c r="E124" s="136"/>
      <c r="F124" s="43"/>
      <c r="G124" s="43"/>
      <c r="H124" s="137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</row>
    <row r="125" spans="1:34" ht="15.75" customHeight="1">
      <c r="A125" s="141"/>
      <c r="B125" s="142"/>
      <c r="C125" s="43"/>
      <c r="D125" s="63"/>
      <c r="E125" s="136"/>
      <c r="F125" s="43"/>
      <c r="G125" s="43"/>
      <c r="H125" s="137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</row>
    <row r="126" spans="1:34" ht="15.75" customHeight="1">
      <c r="A126" s="141"/>
      <c r="B126" s="142"/>
      <c r="C126" s="43"/>
      <c r="D126" s="63"/>
      <c r="E126" s="136"/>
      <c r="F126" s="43"/>
      <c r="G126" s="43"/>
      <c r="H126" s="137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</row>
    <row r="127" spans="1:34" ht="15.75" customHeight="1">
      <c r="A127" s="141"/>
      <c r="B127" s="142"/>
      <c r="C127" s="43"/>
      <c r="D127" s="63"/>
      <c r="E127" s="136"/>
      <c r="F127" s="43"/>
      <c r="G127" s="43"/>
      <c r="H127" s="137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</row>
    <row r="128" spans="1:34" ht="15.75" customHeight="1">
      <c r="A128" s="141"/>
      <c r="B128" s="142"/>
      <c r="C128" s="43"/>
      <c r="D128" s="63"/>
      <c r="E128" s="136"/>
      <c r="F128" s="43"/>
      <c r="G128" s="43"/>
      <c r="H128" s="137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</row>
    <row r="129" spans="1:34" ht="15.75" customHeight="1">
      <c r="A129" s="141"/>
      <c r="B129" s="142"/>
      <c r="C129" s="43"/>
      <c r="D129" s="63"/>
      <c r="E129" s="136"/>
      <c r="F129" s="43"/>
      <c r="G129" s="43"/>
      <c r="H129" s="137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</row>
    <row r="130" spans="1:34" ht="15.75" customHeight="1">
      <c r="A130" s="141"/>
      <c r="B130" s="142"/>
      <c r="C130" s="43"/>
      <c r="D130" s="63"/>
      <c r="E130" s="136"/>
      <c r="F130" s="43"/>
      <c r="G130" s="43"/>
      <c r="H130" s="137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</row>
    <row r="131" spans="1:34" ht="15.75" customHeight="1">
      <c r="A131" s="141"/>
      <c r="B131" s="142"/>
      <c r="C131" s="43"/>
      <c r="D131" s="63"/>
      <c r="E131" s="136"/>
      <c r="F131" s="43"/>
      <c r="G131" s="43"/>
      <c r="H131" s="137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</row>
    <row r="132" spans="1:34" ht="15.75" customHeight="1">
      <c r="A132" s="141"/>
      <c r="B132" s="142"/>
      <c r="C132" s="43"/>
      <c r="D132" s="63"/>
      <c r="E132" s="136"/>
      <c r="F132" s="43"/>
      <c r="G132" s="43"/>
      <c r="H132" s="137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</row>
    <row r="133" spans="1:34" ht="15.75" customHeight="1">
      <c r="A133" s="141"/>
      <c r="B133" s="142"/>
      <c r="C133" s="43"/>
      <c r="D133" s="63"/>
      <c r="E133" s="136"/>
      <c r="F133" s="43"/>
      <c r="G133" s="43"/>
      <c r="H133" s="137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</row>
    <row r="134" spans="1:34" ht="15.75" customHeight="1">
      <c r="A134" s="141"/>
      <c r="B134" s="142"/>
      <c r="C134" s="43"/>
      <c r="D134" s="63"/>
      <c r="E134" s="136"/>
      <c r="F134" s="43"/>
      <c r="G134" s="43"/>
      <c r="H134" s="137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</row>
    <row r="135" spans="1:34" ht="15.75" customHeight="1">
      <c r="A135" s="141"/>
      <c r="B135" s="142"/>
      <c r="C135" s="43"/>
      <c r="D135" s="63"/>
      <c r="E135" s="136"/>
      <c r="F135" s="43"/>
      <c r="G135" s="43"/>
      <c r="H135" s="137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</row>
    <row r="136" spans="1:34" ht="15.75" customHeight="1">
      <c r="A136" s="141"/>
      <c r="B136" s="142"/>
      <c r="C136" s="43"/>
      <c r="D136" s="63"/>
      <c r="E136" s="136"/>
      <c r="F136" s="43"/>
      <c r="G136" s="43"/>
      <c r="H136" s="137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</row>
    <row r="137" spans="1:34" ht="15.75" customHeight="1">
      <c r="A137" s="141"/>
      <c r="B137" s="142"/>
      <c r="C137" s="43"/>
      <c r="D137" s="63"/>
      <c r="E137" s="136"/>
      <c r="F137" s="43"/>
      <c r="G137" s="43"/>
      <c r="H137" s="137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</row>
    <row r="138" spans="1:34" ht="15.75" customHeight="1">
      <c r="A138" s="141"/>
      <c r="B138" s="142"/>
      <c r="C138" s="43"/>
      <c r="D138" s="63"/>
      <c r="E138" s="136"/>
      <c r="F138" s="43"/>
      <c r="G138" s="43"/>
      <c r="H138" s="137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</row>
    <row r="139" spans="1:34" ht="15.75" customHeight="1">
      <c r="A139" s="141"/>
      <c r="B139" s="142"/>
      <c r="C139" s="43"/>
      <c r="D139" s="63"/>
      <c r="E139" s="136"/>
      <c r="F139" s="43"/>
      <c r="G139" s="43"/>
      <c r="H139" s="137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</row>
    <row r="140" spans="1:34" ht="15.75" customHeight="1">
      <c r="A140" s="141"/>
      <c r="B140" s="142"/>
      <c r="C140" s="43"/>
      <c r="D140" s="63"/>
      <c r="E140" s="136"/>
      <c r="F140" s="43"/>
      <c r="G140" s="43"/>
      <c r="H140" s="137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</row>
    <row r="141" spans="1:34" ht="15.75" customHeight="1">
      <c r="A141" s="141"/>
      <c r="B141" s="142"/>
      <c r="C141" s="43"/>
      <c r="D141" s="63"/>
      <c r="E141" s="136"/>
      <c r="F141" s="43"/>
      <c r="G141" s="43"/>
      <c r="H141" s="137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</row>
    <row r="142" spans="1:34" ht="15.75" customHeight="1">
      <c r="A142" s="141"/>
      <c r="B142" s="142"/>
      <c r="C142" s="43"/>
      <c r="D142" s="63"/>
      <c r="E142" s="136"/>
      <c r="F142" s="43"/>
      <c r="G142" s="43"/>
      <c r="H142" s="137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</row>
    <row r="143" spans="1:34" ht="15.75" customHeight="1">
      <c r="A143" s="141"/>
      <c r="B143" s="142"/>
      <c r="C143" s="43"/>
      <c r="D143" s="63"/>
      <c r="E143" s="136"/>
      <c r="F143" s="43"/>
      <c r="G143" s="43"/>
      <c r="H143" s="137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</row>
    <row r="144" spans="1:34" ht="15.75" customHeight="1">
      <c r="A144" s="141"/>
      <c r="B144" s="142"/>
      <c r="C144" s="43"/>
      <c r="D144" s="63"/>
      <c r="E144" s="136"/>
      <c r="F144" s="43"/>
      <c r="G144" s="43"/>
      <c r="H144" s="137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</row>
    <row r="145" spans="1:34" ht="15.75" customHeight="1">
      <c r="A145" s="141"/>
      <c r="B145" s="142"/>
      <c r="C145" s="43"/>
      <c r="D145" s="63"/>
      <c r="E145" s="136"/>
      <c r="F145" s="43"/>
      <c r="G145" s="43"/>
      <c r="H145" s="137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</row>
    <row r="146" spans="1:34" ht="15.75" customHeight="1">
      <c r="A146" s="141"/>
      <c r="B146" s="142"/>
      <c r="C146" s="43"/>
      <c r="D146" s="63"/>
      <c r="E146" s="136"/>
      <c r="F146" s="43"/>
      <c r="G146" s="43"/>
      <c r="H146" s="137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</row>
    <row r="147" spans="1:34" ht="15.75" customHeight="1">
      <c r="A147" s="141"/>
      <c r="B147" s="142"/>
      <c r="C147" s="43"/>
      <c r="D147" s="63"/>
      <c r="E147" s="136"/>
      <c r="F147" s="43"/>
      <c r="G147" s="43"/>
      <c r="H147" s="137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</row>
    <row r="148" spans="1:34" ht="15.75" customHeight="1">
      <c r="A148" s="141"/>
      <c r="B148" s="142"/>
      <c r="C148" s="43"/>
      <c r="D148" s="63"/>
      <c r="E148" s="136"/>
      <c r="F148" s="43"/>
      <c r="G148" s="43"/>
      <c r="H148" s="137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</row>
    <row r="149" spans="1:34" ht="15.75" customHeight="1">
      <c r="A149" s="141"/>
      <c r="B149" s="142"/>
      <c r="C149" s="43"/>
      <c r="D149" s="63"/>
      <c r="E149" s="136"/>
      <c r="F149" s="43"/>
      <c r="G149" s="43"/>
      <c r="H149" s="137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</row>
    <row r="150" spans="1:34" ht="15.75" customHeight="1">
      <c r="A150" s="141"/>
      <c r="B150" s="142"/>
      <c r="C150" s="43"/>
      <c r="D150" s="63"/>
      <c r="E150" s="136"/>
      <c r="F150" s="43"/>
      <c r="G150" s="43"/>
      <c r="H150" s="137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</row>
    <row r="151" spans="1:34" ht="15.75" customHeight="1">
      <c r="A151" s="141"/>
      <c r="B151" s="142"/>
      <c r="C151" s="43"/>
      <c r="D151" s="63"/>
      <c r="E151" s="136"/>
      <c r="F151" s="43"/>
      <c r="G151" s="43"/>
      <c r="H151" s="137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</row>
    <row r="152" spans="1:34" ht="15.75" customHeight="1">
      <c r="A152" s="141"/>
      <c r="B152" s="142"/>
      <c r="C152" s="43"/>
      <c r="D152" s="63"/>
      <c r="E152" s="136"/>
      <c r="F152" s="43"/>
      <c r="G152" s="43"/>
      <c r="H152" s="137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</row>
    <row r="153" spans="1:34" ht="15.75" customHeight="1">
      <c r="A153" s="141"/>
      <c r="B153" s="142"/>
      <c r="C153" s="43"/>
      <c r="D153" s="63"/>
      <c r="E153" s="136"/>
      <c r="F153" s="43"/>
      <c r="G153" s="43"/>
      <c r="H153" s="137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</row>
    <row r="154" spans="1:34" ht="15.75" customHeight="1">
      <c r="A154" s="141"/>
      <c r="B154" s="142"/>
      <c r="C154" s="43"/>
      <c r="D154" s="63"/>
      <c r="E154" s="136"/>
      <c r="F154" s="43"/>
      <c r="G154" s="43"/>
      <c r="H154" s="137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</row>
    <row r="155" spans="1:34" ht="15.75" customHeight="1">
      <c r="A155" s="141"/>
      <c r="B155" s="142"/>
      <c r="C155" s="43"/>
      <c r="D155" s="63"/>
      <c r="E155" s="136"/>
      <c r="F155" s="43"/>
      <c r="G155" s="43"/>
      <c r="H155" s="137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</row>
    <row r="156" spans="1:34" ht="15.75" customHeight="1">
      <c r="A156" s="141"/>
      <c r="B156" s="142"/>
      <c r="C156" s="43"/>
      <c r="D156" s="63"/>
      <c r="E156" s="136"/>
      <c r="F156" s="43"/>
      <c r="G156" s="43"/>
      <c r="H156" s="137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</row>
    <row r="157" spans="1:34" ht="15.75" customHeight="1">
      <c r="A157" s="141"/>
      <c r="B157" s="142"/>
      <c r="C157" s="43"/>
      <c r="D157" s="63"/>
      <c r="E157" s="136"/>
      <c r="F157" s="43"/>
      <c r="G157" s="43"/>
      <c r="H157" s="137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</row>
    <row r="158" spans="1:34" ht="15.75" customHeight="1">
      <c r="A158" s="141"/>
      <c r="B158" s="142"/>
      <c r="C158" s="43"/>
      <c r="D158" s="63"/>
      <c r="E158" s="136"/>
      <c r="F158" s="43"/>
      <c r="G158" s="43"/>
      <c r="H158" s="137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</row>
    <row r="159" spans="1:34" ht="15.75" customHeight="1">
      <c r="A159" s="141"/>
      <c r="B159" s="142"/>
      <c r="C159" s="43"/>
      <c r="D159" s="63"/>
      <c r="E159" s="136"/>
      <c r="F159" s="43"/>
      <c r="G159" s="43"/>
      <c r="H159" s="137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</row>
    <row r="160" spans="1:34" ht="15.75" customHeight="1">
      <c r="A160" s="141"/>
      <c r="B160" s="142"/>
      <c r="C160" s="43"/>
      <c r="D160" s="63"/>
      <c r="E160" s="136"/>
      <c r="F160" s="43"/>
      <c r="G160" s="43"/>
      <c r="H160" s="137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</row>
    <row r="161" spans="1:34" ht="15.75" customHeight="1">
      <c r="A161" s="141"/>
      <c r="B161" s="142"/>
      <c r="C161" s="43"/>
      <c r="D161" s="63"/>
      <c r="E161" s="136"/>
      <c r="F161" s="43"/>
      <c r="G161" s="43"/>
      <c r="H161" s="137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</row>
    <row r="162" spans="1:34" ht="15.75" customHeight="1">
      <c r="A162" s="141"/>
      <c r="B162" s="142"/>
      <c r="C162" s="43"/>
      <c r="D162" s="63"/>
      <c r="E162" s="136"/>
      <c r="F162" s="43"/>
      <c r="G162" s="43"/>
      <c r="H162" s="137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</row>
    <row r="163" spans="1:34" ht="15.75" customHeight="1">
      <c r="A163" s="141"/>
      <c r="B163" s="142"/>
      <c r="C163" s="43"/>
      <c r="D163" s="63"/>
      <c r="E163" s="136"/>
      <c r="F163" s="43"/>
      <c r="G163" s="43"/>
      <c r="H163" s="137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</row>
    <row r="164" spans="1:34" ht="15.75" customHeight="1">
      <c r="A164" s="141"/>
      <c r="B164" s="142"/>
      <c r="C164" s="43"/>
      <c r="D164" s="63"/>
      <c r="E164" s="136"/>
      <c r="F164" s="43"/>
      <c r="G164" s="43"/>
      <c r="H164" s="137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</row>
    <row r="165" spans="1:34" ht="15.75" customHeight="1">
      <c r="A165" s="141"/>
      <c r="B165" s="142"/>
      <c r="C165" s="43"/>
      <c r="D165" s="63"/>
      <c r="E165" s="136"/>
      <c r="F165" s="43"/>
      <c r="G165" s="43"/>
      <c r="H165" s="137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</row>
    <row r="166" spans="1:34" ht="15.75" customHeight="1">
      <c r="A166" s="141"/>
      <c r="B166" s="142"/>
      <c r="C166" s="43"/>
      <c r="D166" s="63"/>
      <c r="E166" s="136"/>
      <c r="F166" s="43"/>
      <c r="G166" s="43"/>
      <c r="H166" s="137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</row>
    <row r="167" spans="1:34" ht="15.75" customHeight="1">
      <c r="A167" s="141"/>
      <c r="B167" s="142"/>
      <c r="C167" s="43"/>
      <c r="D167" s="63"/>
      <c r="E167" s="136"/>
      <c r="F167" s="43"/>
      <c r="G167" s="43"/>
      <c r="H167" s="137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</row>
    <row r="168" spans="1:34" ht="15.75" customHeight="1">
      <c r="A168" s="141"/>
      <c r="B168" s="142"/>
      <c r="C168" s="43"/>
      <c r="D168" s="63"/>
      <c r="E168" s="136"/>
      <c r="F168" s="43"/>
      <c r="G168" s="43"/>
      <c r="H168" s="137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</row>
    <row r="169" spans="1:34" ht="15.75" customHeight="1">
      <c r="A169" s="141"/>
      <c r="B169" s="142"/>
      <c r="C169" s="43"/>
      <c r="D169" s="63"/>
      <c r="E169" s="136"/>
      <c r="F169" s="43"/>
      <c r="G169" s="43"/>
      <c r="H169" s="137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</row>
    <row r="170" spans="1:34" ht="15.75" customHeight="1">
      <c r="A170" s="141"/>
      <c r="B170" s="142"/>
      <c r="C170" s="43"/>
      <c r="D170" s="63"/>
      <c r="E170" s="136"/>
      <c r="F170" s="43"/>
      <c r="G170" s="43"/>
      <c r="H170" s="137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</row>
    <row r="171" spans="1:34" ht="15.75" customHeight="1">
      <c r="A171" s="141"/>
      <c r="B171" s="142"/>
      <c r="C171" s="43"/>
      <c r="D171" s="63"/>
      <c r="E171" s="136"/>
      <c r="F171" s="43"/>
      <c r="G171" s="43"/>
      <c r="H171" s="137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</row>
    <row r="172" spans="1:34" ht="15.75" customHeight="1">
      <c r="A172" s="141"/>
      <c r="B172" s="142"/>
      <c r="C172" s="43"/>
      <c r="D172" s="63"/>
      <c r="E172" s="136"/>
      <c r="F172" s="43"/>
      <c r="G172" s="43"/>
      <c r="H172" s="137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</row>
    <row r="173" spans="1:34" ht="15.75" customHeight="1">
      <c r="A173" s="141"/>
      <c r="B173" s="142"/>
      <c r="C173" s="43"/>
      <c r="D173" s="63"/>
      <c r="E173" s="136"/>
      <c r="F173" s="43"/>
      <c r="G173" s="43"/>
      <c r="H173" s="137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</row>
    <row r="174" spans="1:34" ht="15.75" customHeight="1">
      <c r="A174" s="141"/>
      <c r="B174" s="142"/>
      <c r="C174" s="43"/>
      <c r="D174" s="63"/>
      <c r="E174" s="136"/>
      <c r="F174" s="43"/>
      <c r="G174" s="43"/>
      <c r="H174" s="137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</row>
    <row r="175" spans="1:34" ht="15.75" customHeight="1">
      <c r="A175" s="141"/>
      <c r="B175" s="142"/>
      <c r="C175" s="43"/>
      <c r="D175" s="63"/>
      <c r="E175" s="136"/>
      <c r="F175" s="43"/>
      <c r="G175" s="43"/>
      <c r="H175" s="137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</row>
    <row r="176" spans="1:34" ht="15.75" customHeight="1">
      <c r="A176" s="141"/>
      <c r="B176" s="142"/>
      <c r="C176" s="43"/>
      <c r="D176" s="63"/>
      <c r="E176" s="136"/>
      <c r="F176" s="43"/>
      <c r="G176" s="43"/>
      <c r="H176" s="137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</row>
    <row r="177" spans="1:34" ht="15.75" customHeight="1">
      <c r="A177" s="141"/>
      <c r="B177" s="142"/>
      <c r="C177" s="43"/>
      <c r="D177" s="63"/>
      <c r="E177" s="136"/>
      <c r="F177" s="43"/>
      <c r="G177" s="43"/>
      <c r="H177" s="137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</row>
    <row r="178" spans="1:34" ht="15.75" customHeight="1">
      <c r="A178" s="141"/>
      <c r="B178" s="142"/>
      <c r="C178" s="43"/>
      <c r="D178" s="63"/>
      <c r="E178" s="136"/>
      <c r="F178" s="43"/>
      <c r="G178" s="43"/>
      <c r="H178" s="137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</row>
    <row r="179" spans="1:34" ht="15.75" customHeight="1">
      <c r="A179" s="141"/>
      <c r="B179" s="142"/>
      <c r="C179" s="43"/>
      <c r="D179" s="63"/>
      <c r="E179" s="136"/>
      <c r="F179" s="43"/>
      <c r="G179" s="43"/>
      <c r="H179" s="137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</row>
    <row r="180" spans="1:34" ht="15.75" customHeight="1">
      <c r="A180" s="141"/>
      <c r="B180" s="142"/>
      <c r="C180" s="43"/>
      <c r="D180" s="63"/>
      <c r="E180" s="136"/>
      <c r="F180" s="43"/>
      <c r="G180" s="43"/>
      <c r="H180" s="137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</row>
    <row r="181" spans="1:34" ht="15.75" customHeight="1">
      <c r="A181" s="141"/>
      <c r="B181" s="142"/>
      <c r="C181" s="43"/>
      <c r="D181" s="63"/>
      <c r="E181" s="136"/>
      <c r="F181" s="43"/>
      <c r="G181" s="43"/>
      <c r="H181" s="137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</row>
    <row r="182" spans="1:34" ht="14.25" customHeight="1">
      <c r="A182" s="143"/>
      <c r="B182" s="144"/>
      <c r="D182" s="145"/>
      <c r="E182" s="146"/>
      <c r="H182" s="147"/>
    </row>
    <row r="183" spans="1:34" ht="14.25" customHeight="1">
      <c r="A183" s="143"/>
      <c r="B183" s="144"/>
      <c r="D183" s="145"/>
      <c r="E183" s="146"/>
      <c r="H183" s="147"/>
    </row>
    <row r="184" spans="1:34" ht="14.25" customHeight="1">
      <c r="A184" s="143"/>
      <c r="B184" s="144"/>
      <c r="D184" s="145"/>
      <c r="E184" s="146"/>
      <c r="H184" s="147"/>
    </row>
    <row r="185" spans="1:34" ht="14.25" customHeight="1">
      <c r="A185" s="143"/>
      <c r="B185" s="144"/>
      <c r="D185" s="145"/>
      <c r="E185" s="146"/>
      <c r="H185" s="147"/>
    </row>
    <row r="186" spans="1:34" ht="14.25" customHeight="1">
      <c r="A186" s="143"/>
      <c r="B186" s="144"/>
      <c r="D186" s="145"/>
      <c r="E186" s="146"/>
      <c r="H186" s="147"/>
    </row>
    <row r="187" spans="1:34" ht="14.25" customHeight="1">
      <c r="A187" s="143"/>
      <c r="B187" s="144"/>
      <c r="D187" s="145"/>
      <c r="E187" s="146"/>
      <c r="H187" s="147"/>
    </row>
    <row r="188" spans="1:34" ht="14.25" customHeight="1">
      <c r="A188" s="143"/>
      <c r="B188" s="144"/>
      <c r="D188" s="145"/>
      <c r="E188" s="146"/>
      <c r="H188" s="147"/>
    </row>
    <row r="189" spans="1:34" ht="14.25" customHeight="1">
      <c r="A189" s="143"/>
      <c r="B189" s="144"/>
      <c r="D189" s="145"/>
      <c r="E189" s="146"/>
      <c r="H189" s="147"/>
    </row>
    <row r="190" spans="1:34" ht="14.25" customHeight="1">
      <c r="A190" s="143"/>
      <c r="B190" s="144"/>
      <c r="D190" s="145"/>
      <c r="E190" s="146"/>
      <c r="H190" s="147"/>
    </row>
    <row r="191" spans="1:34" ht="14.25" customHeight="1">
      <c r="A191" s="143"/>
      <c r="B191" s="144"/>
      <c r="D191" s="145"/>
      <c r="E191" s="146"/>
      <c r="H191" s="147"/>
    </row>
    <row r="192" spans="1:34" ht="14.25" customHeight="1">
      <c r="A192" s="143"/>
      <c r="B192" s="144"/>
      <c r="D192" s="145"/>
      <c r="E192" s="146"/>
      <c r="H192" s="147"/>
    </row>
    <row r="193" spans="1:8" ht="14.25" customHeight="1">
      <c r="A193" s="143"/>
      <c r="B193" s="144"/>
      <c r="D193" s="145"/>
      <c r="E193" s="146"/>
      <c r="H193" s="147"/>
    </row>
    <row r="194" spans="1:8" ht="14.25" customHeight="1">
      <c r="A194" s="143"/>
      <c r="B194" s="144"/>
      <c r="D194" s="145"/>
      <c r="E194" s="146"/>
      <c r="H194" s="147"/>
    </row>
    <row r="195" spans="1:8" ht="14.25" customHeight="1">
      <c r="A195" s="143"/>
      <c r="B195" s="144"/>
      <c r="D195" s="145"/>
      <c r="E195" s="146"/>
      <c r="H195" s="147"/>
    </row>
    <row r="196" spans="1:8" ht="14.25" customHeight="1">
      <c r="A196" s="143"/>
      <c r="B196" s="144"/>
      <c r="D196" s="145"/>
      <c r="E196" s="146"/>
      <c r="H196" s="147"/>
    </row>
    <row r="197" spans="1:8" ht="14.25" customHeight="1">
      <c r="A197" s="143"/>
      <c r="B197" s="144"/>
      <c r="D197" s="145"/>
      <c r="E197" s="146"/>
      <c r="H197" s="147"/>
    </row>
    <row r="198" spans="1:8" ht="14.25" customHeight="1">
      <c r="A198" s="143"/>
      <c r="B198" s="144"/>
      <c r="D198" s="145"/>
      <c r="E198" s="146"/>
      <c r="H198" s="147"/>
    </row>
    <row r="199" spans="1:8" ht="14.25" customHeight="1">
      <c r="A199" s="143"/>
      <c r="B199" s="144"/>
      <c r="D199" s="145"/>
      <c r="E199" s="146"/>
      <c r="H199" s="147"/>
    </row>
    <row r="200" spans="1:8" ht="14.25" customHeight="1">
      <c r="A200" s="143"/>
      <c r="B200" s="144"/>
      <c r="D200" s="145"/>
      <c r="E200" s="146"/>
      <c r="H200" s="147"/>
    </row>
    <row r="201" spans="1:8" ht="14.25" customHeight="1">
      <c r="A201" s="143"/>
      <c r="B201" s="144"/>
      <c r="D201" s="145"/>
      <c r="E201" s="146"/>
      <c r="H201" s="147"/>
    </row>
    <row r="202" spans="1:8" ht="14.25" customHeight="1">
      <c r="A202" s="143"/>
      <c r="B202" s="144"/>
      <c r="D202" s="145"/>
      <c r="E202" s="146"/>
      <c r="H202" s="147"/>
    </row>
    <row r="203" spans="1:8" ht="14.25" customHeight="1">
      <c r="A203" s="143"/>
      <c r="B203" s="144"/>
      <c r="D203" s="145"/>
      <c r="E203" s="146"/>
      <c r="H203" s="147"/>
    </row>
    <row r="204" spans="1:8" ht="14.25" customHeight="1">
      <c r="A204" s="143"/>
      <c r="B204" s="144"/>
      <c r="D204" s="145"/>
      <c r="E204" s="146"/>
      <c r="H204" s="147"/>
    </row>
    <row r="205" spans="1:8" ht="14.25" customHeight="1">
      <c r="A205" s="143"/>
      <c r="B205" s="144"/>
      <c r="D205" s="145"/>
      <c r="E205" s="146"/>
      <c r="H205" s="147"/>
    </row>
    <row r="206" spans="1:8" ht="14.25" customHeight="1">
      <c r="A206" s="143"/>
      <c r="B206" s="144"/>
      <c r="D206" s="145"/>
      <c r="E206" s="146"/>
      <c r="H206" s="147"/>
    </row>
    <row r="207" spans="1:8" ht="14.25" customHeight="1">
      <c r="A207" s="143"/>
      <c r="B207" s="144"/>
      <c r="D207" s="145"/>
      <c r="E207" s="146"/>
      <c r="H207" s="147"/>
    </row>
    <row r="208" spans="1:8" ht="14.25" customHeight="1">
      <c r="A208" s="143"/>
      <c r="B208" s="144"/>
      <c r="D208" s="145"/>
      <c r="E208" s="146"/>
      <c r="H208" s="147"/>
    </row>
    <row r="209" spans="1:8" ht="14.25" customHeight="1">
      <c r="A209" s="143"/>
      <c r="B209" s="144"/>
      <c r="D209" s="145"/>
      <c r="E209" s="146"/>
      <c r="H209" s="147"/>
    </row>
    <row r="210" spans="1:8" ht="14.25" customHeight="1">
      <c r="A210" s="143"/>
      <c r="B210" s="144"/>
      <c r="D210" s="145"/>
      <c r="E210" s="146"/>
      <c r="H210" s="147"/>
    </row>
    <row r="211" spans="1:8" ht="14.25" customHeight="1">
      <c r="A211" s="143"/>
      <c r="B211" s="144"/>
      <c r="D211" s="145"/>
      <c r="E211" s="146"/>
      <c r="H211" s="147"/>
    </row>
    <row r="212" spans="1:8" ht="14.25" customHeight="1">
      <c r="A212" s="143"/>
      <c r="B212" s="144"/>
      <c r="D212" s="145"/>
      <c r="E212" s="146"/>
      <c r="H212" s="147"/>
    </row>
    <row r="213" spans="1:8" ht="14.25" customHeight="1">
      <c r="A213" s="143"/>
      <c r="B213" s="144"/>
      <c r="D213" s="145"/>
      <c r="E213" s="146"/>
      <c r="H213" s="147"/>
    </row>
    <row r="214" spans="1:8" ht="14.25" customHeight="1">
      <c r="A214" s="143"/>
      <c r="B214" s="144"/>
      <c r="D214" s="145"/>
      <c r="E214" s="146"/>
      <c r="H214" s="147"/>
    </row>
    <row r="215" spans="1:8" ht="14.25" customHeight="1">
      <c r="A215" s="143"/>
      <c r="B215" s="144"/>
      <c r="D215" s="145"/>
      <c r="E215" s="146"/>
      <c r="H215" s="147"/>
    </row>
    <row r="216" spans="1:8" ht="14.25" customHeight="1">
      <c r="A216" s="143"/>
      <c r="B216" s="144"/>
      <c r="D216" s="145"/>
      <c r="E216" s="146"/>
      <c r="H216" s="147"/>
    </row>
    <row r="217" spans="1:8" ht="14.25" customHeight="1">
      <c r="A217" s="143"/>
      <c r="B217" s="144"/>
      <c r="D217" s="145"/>
      <c r="E217" s="146"/>
      <c r="H217" s="147"/>
    </row>
    <row r="218" spans="1:8" ht="14.25" customHeight="1">
      <c r="A218" s="143"/>
      <c r="B218" s="144"/>
      <c r="D218" s="145"/>
      <c r="E218" s="146"/>
      <c r="H218" s="147"/>
    </row>
    <row r="219" spans="1:8" ht="14.25" customHeight="1">
      <c r="A219" s="143"/>
      <c r="B219" s="144"/>
      <c r="D219" s="145"/>
      <c r="E219" s="146"/>
      <c r="H219" s="147"/>
    </row>
    <row r="220" spans="1:8" ht="14.25" customHeight="1">
      <c r="A220" s="143"/>
      <c r="B220" s="144"/>
      <c r="D220" s="145"/>
      <c r="E220" s="146"/>
      <c r="H220" s="147"/>
    </row>
    <row r="221" spans="1:8" ht="14.25" customHeight="1">
      <c r="A221" s="143"/>
      <c r="B221" s="144"/>
      <c r="D221" s="145"/>
      <c r="E221" s="146"/>
      <c r="H221" s="147"/>
    </row>
    <row r="222" spans="1:8" ht="14.25" customHeight="1">
      <c r="A222" s="143"/>
      <c r="B222" s="144"/>
      <c r="D222" s="145"/>
      <c r="E222" s="146"/>
      <c r="H222" s="147"/>
    </row>
    <row r="223" spans="1:8" ht="14.25" customHeight="1">
      <c r="A223" s="143"/>
      <c r="B223" s="144"/>
      <c r="D223" s="145"/>
      <c r="E223" s="146"/>
      <c r="H223" s="147"/>
    </row>
    <row r="224" spans="1:8" ht="14.25" customHeight="1">
      <c r="A224" s="143"/>
      <c r="B224" s="144"/>
      <c r="D224" s="145"/>
      <c r="E224" s="146"/>
      <c r="H224" s="147"/>
    </row>
    <row r="225" spans="1:8" ht="14.25" customHeight="1">
      <c r="A225" s="143"/>
      <c r="B225" s="144"/>
      <c r="D225" s="145"/>
      <c r="E225" s="146"/>
      <c r="H225" s="147"/>
    </row>
    <row r="226" spans="1:8" ht="14.25" customHeight="1">
      <c r="A226" s="143"/>
      <c r="B226" s="144"/>
      <c r="D226" s="145"/>
      <c r="E226" s="146"/>
      <c r="H226" s="147"/>
    </row>
    <row r="227" spans="1:8" ht="14.25" customHeight="1">
      <c r="A227" s="143"/>
      <c r="B227" s="144"/>
      <c r="D227" s="145"/>
      <c r="E227" s="146"/>
      <c r="H227" s="147"/>
    </row>
    <row r="228" spans="1:8" ht="14.25" customHeight="1">
      <c r="A228" s="143"/>
      <c r="B228" s="144"/>
      <c r="D228" s="145"/>
      <c r="E228" s="146"/>
      <c r="H228" s="147"/>
    </row>
    <row r="229" spans="1:8" ht="14.25" customHeight="1">
      <c r="A229" s="143"/>
      <c r="B229" s="144"/>
      <c r="D229" s="145"/>
      <c r="E229" s="146"/>
      <c r="H229" s="147"/>
    </row>
    <row r="230" spans="1:8" ht="14.25" customHeight="1">
      <c r="A230" s="143"/>
      <c r="B230" s="144"/>
      <c r="D230" s="145"/>
      <c r="E230" s="146"/>
      <c r="H230" s="147"/>
    </row>
    <row r="231" spans="1:8" ht="14.25" customHeight="1">
      <c r="A231" s="143"/>
      <c r="B231" s="144"/>
      <c r="D231" s="145"/>
      <c r="E231" s="146"/>
      <c r="H231" s="147"/>
    </row>
    <row r="232" spans="1:8" ht="14.25" customHeight="1">
      <c r="A232" s="143"/>
      <c r="B232" s="144"/>
      <c r="D232" s="145"/>
      <c r="E232" s="146"/>
      <c r="H232" s="147"/>
    </row>
    <row r="233" spans="1:8" ht="14.25" customHeight="1">
      <c r="A233" s="143"/>
      <c r="B233" s="144"/>
      <c r="D233" s="145"/>
      <c r="E233" s="146"/>
      <c r="H233" s="147"/>
    </row>
    <row r="234" spans="1:8" ht="14.25" customHeight="1">
      <c r="A234" s="143"/>
      <c r="B234" s="144"/>
      <c r="D234" s="145"/>
      <c r="E234" s="146"/>
      <c r="H234" s="147"/>
    </row>
    <row r="235" spans="1:8" ht="14.25" customHeight="1">
      <c r="A235" s="143"/>
      <c r="B235" s="144"/>
      <c r="D235" s="145"/>
      <c r="E235" s="146"/>
      <c r="H235" s="147"/>
    </row>
    <row r="236" spans="1:8" ht="14.25" customHeight="1">
      <c r="A236" s="143"/>
      <c r="B236" s="144"/>
      <c r="D236" s="145"/>
      <c r="E236" s="146"/>
      <c r="H236" s="147"/>
    </row>
    <row r="237" spans="1:8" ht="14.25" customHeight="1">
      <c r="A237" s="143"/>
      <c r="B237" s="144"/>
      <c r="D237" s="145"/>
      <c r="E237" s="146"/>
      <c r="H237" s="147"/>
    </row>
    <row r="238" spans="1:8" ht="14.25" customHeight="1">
      <c r="A238" s="143"/>
      <c r="B238" s="144"/>
      <c r="D238" s="145"/>
      <c r="E238" s="146"/>
      <c r="H238" s="147"/>
    </row>
    <row r="239" spans="1:8" ht="14.25" customHeight="1">
      <c r="A239" s="143"/>
      <c r="B239" s="144"/>
      <c r="D239" s="145"/>
      <c r="E239" s="146"/>
      <c r="H239" s="147"/>
    </row>
    <row r="240" spans="1:8" ht="14.25" customHeight="1">
      <c r="A240" s="143"/>
      <c r="B240" s="144"/>
      <c r="D240" s="145"/>
      <c r="E240" s="146"/>
      <c r="H240" s="147"/>
    </row>
    <row r="241" spans="1:8" ht="14.25" customHeight="1">
      <c r="A241" s="143"/>
      <c r="B241" s="144"/>
      <c r="D241" s="145"/>
      <c r="E241" s="146"/>
      <c r="H241" s="147"/>
    </row>
    <row r="242" spans="1:8" ht="14.25" customHeight="1">
      <c r="A242" s="143"/>
      <c r="B242" s="144"/>
      <c r="D242" s="145"/>
      <c r="E242" s="146"/>
      <c r="H242" s="147"/>
    </row>
    <row r="243" spans="1:8" ht="14.25" customHeight="1">
      <c r="A243" s="143"/>
      <c r="B243" s="144"/>
      <c r="D243" s="145"/>
      <c r="E243" s="146"/>
      <c r="H243" s="147"/>
    </row>
    <row r="244" spans="1:8" ht="14.25" customHeight="1">
      <c r="A244" s="143"/>
      <c r="B244" s="144"/>
      <c r="D244" s="145"/>
      <c r="E244" s="146"/>
      <c r="H244" s="147"/>
    </row>
    <row r="245" spans="1:8" ht="14.25" customHeight="1">
      <c r="A245" s="143"/>
      <c r="B245" s="144"/>
      <c r="D245" s="145"/>
      <c r="E245" s="146"/>
      <c r="H245" s="147"/>
    </row>
    <row r="246" spans="1:8" ht="14.25" customHeight="1">
      <c r="A246" s="143"/>
      <c r="B246" s="144"/>
      <c r="D246" s="145"/>
      <c r="E246" s="146"/>
      <c r="H246" s="147"/>
    </row>
    <row r="247" spans="1:8" ht="14.25" customHeight="1">
      <c r="A247" s="143"/>
      <c r="B247" s="144"/>
      <c r="D247" s="145"/>
      <c r="E247" s="146"/>
      <c r="H247" s="147"/>
    </row>
    <row r="248" spans="1:8" ht="14.25" customHeight="1">
      <c r="A248" s="143"/>
      <c r="B248" s="144"/>
      <c r="D248" s="145"/>
      <c r="E248" s="146"/>
      <c r="H248" s="147"/>
    </row>
    <row r="249" spans="1:8" ht="14.25" customHeight="1">
      <c r="A249" s="143"/>
      <c r="B249" s="144"/>
      <c r="D249" s="145"/>
      <c r="E249" s="146"/>
      <c r="H249" s="147"/>
    </row>
    <row r="250" spans="1:8" ht="14.25" customHeight="1">
      <c r="A250" s="143"/>
      <c r="B250" s="144"/>
      <c r="D250" s="145"/>
      <c r="E250" s="146"/>
      <c r="H250" s="147"/>
    </row>
    <row r="251" spans="1:8" ht="14.25" customHeight="1">
      <c r="A251" s="143"/>
      <c r="B251" s="144"/>
      <c r="D251" s="145"/>
      <c r="E251" s="146"/>
      <c r="H251" s="147"/>
    </row>
    <row r="252" spans="1:8" ht="14.25" customHeight="1">
      <c r="A252" s="143"/>
      <c r="B252" s="144"/>
      <c r="D252" s="145"/>
      <c r="E252" s="146"/>
      <c r="H252" s="147"/>
    </row>
    <row r="253" spans="1:8" ht="14.25" customHeight="1">
      <c r="A253" s="143"/>
      <c r="B253" s="144"/>
      <c r="D253" s="145"/>
      <c r="E253" s="146"/>
      <c r="H253" s="147"/>
    </row>
    <row r="254" spans="1:8" ht="14.25" customHeight="1">
      <c r="A254" s="143"/>
      <c r="B254" s="144"/>
      <c r="D254" s="145"/>
      <c r="E254" s="146"/>
      <c r="H254" s="147"/>
    </row>
    <row r="255" spans="1:8" ht="14.25" customHeight="1">
      <c r="A255" s="143"/>
      <c r="B255" s="144"/>
      <c r="D255" s="145"/>
      <c r="E255" s="146"/>
      <c r="H255" s="147"/>
    </row>
    <row r="256" spans="1:8" ht="14.25" customHeight="1">
      <c r="A256" s="143"/>
      <c r="B256" s="144"/>
      <c r="D256" s="145"/>
      <c r="E256" s="146"/>
      <c r="H256" s="147"/>
    </row>
    <row r="257" spans="1:8" ht="14.25" customHeight="1">
      <c r="A257" s="143"/>
      <c r="B257" s="144"/>
      <c r="D257" s="145"/>
      <c r="E257" s="146"/>
      <c r="H257" s="147"/>
    </row>
    <row r="258" spans="1:8" ht="14.25" customHeight="1">
      <c r="A258" s="143"/>
      <c r="B258" s="144"/>
      <c r="D258" s="145"/>
      <c r="E258" s="146"/>
      <c r="H258" s="147"/>
    </row>
    <row r="259" spans="1:8" ht="14.25" customHeight="1">
      <c r="A259" s="143"/>
      <c r="B259" s="144"/>
      <c r="D259" s="145"/>
      <c r="E259" s="146"/>
      <c r="H259" s="147"/>
    </row>
    <row r="260" spans="1:8" ht="14.25" customHeight="1">
      <c r="A260" s="143"/>
      <c r="B260" s="144"/>
      <c r="D260" s="145"/>
      <c r="E260" s="146"/>
      <c r="H260" s="147"/>
    </row>
    <row r="261" spans="1:8" ht="14.25" customHeight="1">
      <c r="A261" s="143"/>
      <c r="B261" s="144"/>
      <c r="D261" s="145"/>
      <c r="E261" s="146"/>
      <c r="H261" s="147"/>
    </row>
    <row r="262" spans="1:8" ht="14.25" customHeight="1">
      <c r="A262" s="143"/>
      <c r="B262" s="144"/>
      <c r="D262" s="145"/>
      <c r="E262" s="146"/>
      <c r="H262" s="147"/>
    </row>
    <row r="263" spans="1:8" ht="14.25" customHeight="1">
      <c r="A263" s="143"/>
      <c r="B263" s="144"/>
      <c r="D263" s="145"/>
      <c r="E263" s="146"/>
      <c r="H263" s="147"/>
    </row>
    <row r="264" spans="1:8" ht="14.25" customHeight="1">
      <c r="A264" s="143"/>
      <c r="B264" s="144"/>
      <c r="D264" s="145"/>
      <c r="E264" s="146"/>
      <c r="H264" s="147"/>
    </row>
    <row r="265" spans="1:8" ht="14.25" customHeight="1">
      <c r="A265" s="143"/>
      <c r="B265" s="144"/>
      <c r="D265" s="145"/>
      <c r="E265" s="146"/>
      <c r="H265" s="147"/>
    </row>
    <row r="266" spans="1:8" ht="14.25" customHeight="1">
      <c r="A266" s="143"/>
      <c r="B266" s="144"/>
      <c r="D266" s="145"/>
      <c r="E266" s="146"/>
      <c r="H266" s="147"/>
    </row>
    <row r="267" spans="1:8" ht="14.25" customHeight="1">
      <c r="A267" s="143"/>
      <c r="B267" s="144"/>
      <c r="D267" s="145"/>
      <c r="E267" s="146"/>
      <c r="H267" s="147"/>
    </row>
    <row r="268" spans="1:8" ht="14.25" customHeight="1">
      <c r="A268" s="143"/>
      <c r="B268" s="144"/>
      <c r="D268" s="145"/>
      <c r="E268" s="146"/>
      <c r="H268" s="147"/>
    </row>
    <row r="269" spans="1:8" ht="14.25" customHeight="1">
      <c r="A269" s="143"/>
      <c r="B269" s="144"/>
      <c r="D269" s="145"/>
      <c r="E269" s="146"/>
      <c r="H269" s="147"/>
    </row>
    <row r="270" spans="1:8" ht="14.25" customHeight="1">
      <c r="A270" s="143"/>
      <c r="B270" s="144"/>
      <c r="D270" s="145"/>
      <c r="E270" s="146"/>
      <c r="H270" s="147"/>
    </row>
    <row r="271" spans="1:8" ht="14.25" customHeight="1">
      <c r="A271" s="143"/>
      <c r="B271" s="144"/>
      <c r="D271" s="145"/>
      <c r="E271" s="146"/>
      <c r="H271" s="147"/>
    </row>
    <row r="272" spans="1:8" ht="14.25" customHeight="1">
      <c r="A272" s="143"/>
      <c r="B272" s="144"/>
      <c r="D272" s="145"/>
      <c r="E272" s="146"/>
      <c r="H272" s="147"/>
    </row>
    <row r="273" spans="1:8" ht="14.25" customHeight="1">
      <c r="A273" s="143"/>
      <c r="B273" s="144"/>
      <c r="D273" s="145"/>
      <c r="E273" s="146"/>
      <c r="H273" s="147"/>
    </row>
    <row r="274" spans="1:8" ht="14.25" customHeight="1">
      <c r="A274" s="143"/>
      <c r="B274" s="144"/>
      <c r="D274" s="145"/>
      <c r="E274" s="146"/>
      <c r="H274" s="147"/>
    </row>
    <row r="275" spans="1:8" ht="14.25" customHeight="1">
      <c r="A275" s="143"/>
      <c r="B275" s="144"/>
      <c r="D275" s="145"/>
      <c r="E275" s="146"/>
      <c r="H275" s="147"/>
    </row>
    <row r="276" spans="1:8" ht="14.25" customHeight="1">
      <c r="A276" s="143"/>
      <c r="B276" s="144"/>
      <c r="D276" s="145"/>
      <c r="E276" s="146"/>
      <c r="H276" s="147"/>
    </row>
    <row r="277" spans="1:8" ht="14.25" customHeight="1">
      <c r="A277" s="143"/>
      <c r="B277" s="144"/>
      <c r="D277" s="145"/>
      <c r="E277" s="146"/>
      <c r="H277" s="147"/>
    </row>
    <row r="278" spans="1:8" ht="14.25" customHeight="1">
      <c r="A278" s="143"/>
      <c r="B278" s="144"/>
      <c r="D278" s="145"/>
      <c r="E278" s="146"/>
      <c r="H278" s="147"/>
    </row>
    <row r="279" spans="1:8" ht="14.25" customHeight="1">
      <c r="A279" s="143"/>
      <c r="B279" s="144"/>
      <c r="D279" s="145"/>
      <c r="E279" s="146"/>
      <c r="H279" s="147"/>
    </row>
    <row r="280" spans="1:8" ht="14.25" customHeight="1">
      <c r="A280" s="143"/>
      <c r="B280" s="144"/>
      <c r="D280" s="145"/>
      <c r="E280" s="146"/>
      <c r="H280" s="147"/>
    </row>
    <row r="281" spans="1:8" ht="14.25" customHeight="1">
      <c r="A281" s="143"/>
      <c r="B281" s="144"/>
      <c r="D281" s="145"/>
      <c r="E281" s="146"/>
      <c r="H281" s="147"/>
    </row>
    <row r="282" spans="1:8" ht="14.25" customHeight="1">
      <c r="A282" s="143"/>
      <c r="B282" s="144"/>
      <c r="D282" s="145"/>
      <c r="E282" s="146"/>
      <c r="H282" s="147"/>
    </row>
    <row r="283" spans="1:8" ht="14.25" customHeight="1">
      <c r="A283" s="143"/>
      <c r="B283" s="144"/>
      <c r="D283" s="145"/>
      <c r="E283" s="146"/>
      <c r="H283" s="147"/>
    </row>
    <row r="284" spans="1:8" ht="14.25" customHeight="1">
      <c r="A284" s="143"/>
      <c r="B284" s="144"/>
      <c r="D284" s="145"/>
      <c r="E284" s="146"/>
      <c r="H284" s="147"/>
    </row>
    <row r="285" spans="1:8" ht="14.25" customHeight="1">
      <c r="A285" s="143"/>
      <c r="B285" s="144"/>
      <c r="D285" s="145"/>
      <c r="E285" s="146"/>
      <c r="H285" s="147"/>
    </row>
    <row r="286" spans="1:8" ht="14.25" customHeight="1">
      <c r="A286" s="143"/>
      <c r="B286" s="144"/>
      <c r="D286" s="145"/>
      <c r="E286" s="146"/>
      <c r="H286" s="147"/>
    </row>
    <row r="287" spans="1:8" ht="14.25" customHeight="1">
      <c r="A287" s="143"/>
      <c r="B287" s="144"/>
      <c r="D287" s="145"/>
      <c r="E287" s="146"/>
      <c r="H287" s="147"/>
    </row>
    <row r="288" spans="1:8" ht="14.25" customHeight="1">
      <c r="A288" s="143"/>
      <c r="B288" s="144"/>
      <c r="D288" s="145"/>
      <c r="E288" s="146"/>
      <c r="H288" s="147"/>
    </row>
    <row r="289" spans="1:8" ht="14.25" customHeight="1">
      <c r="A289" s="143"/>
      <c r="B289" s="144"/>
      <c r="D289" s="145"/>
      <c r="E289" s="146"/>
      <c r="H289" s="147"/>
    </row>
    <row r="290" spans="1:8" ht="14.25" customHeight="1">
      <c r="A290" s="143"/>
      <c r="B290" s="144"/>
      <c r="D290" s="145"/>
      <c r="E290" s="146"/>
      <c r="H290" s="147"/>
    </row>
    <row r="291" spans="1:8" ht="14.25" customHeight="1">
      <c r="A291" s="143"/>
      <c r="B291" s="144"/>
      <c r="D291" s="145"/>
      <c r="E291" s="146"/>
      <c r="H291" s="147"/>
    </row>
    <row r="292" spans="1:8" ht="14.25" customHeight="1">
      <c r="A292" s="143"/>
      <c r="B292" s="144"/>
      <c r="D292" s="145"/>
      <c r="E292" s="146"/>
      <c r="H292" s="147"/>
    </row>
    <row r="293" spans="1:8" ht="14.25" customHeight="1">
      <c r="A293" s="143"/>
      <c r="B293" s="144"/>
      <c r="D293" s="145"/>
      <c r="E293" s="146"/>
      <c r="H293" s="147"/>
    </row>
    <row r="294" spans="1:8" ht="14.25" customHeight="1">
      <c r="A294" s="143"/>
      <c r="B294" s="144"/>
      <c r="D294" s="145"/>
      <c r="E294" s="146"/>
      <c r="H294" s="147"/>
    </row>
    <row r="295" spans="1:8" ht="14.25" customHeight="1">
      <c r="A295" s="143"/>
      <c r="B295" s="144"/>
      <c r="D295" s="145"/>
      <c r="E295" s="146"/>
      <c r="H295" s="147"/>
    </row>
    <row r="296" spans="1:8" ht="14.25" customHeight="1">
      <c r="A296" s="143"/>
      <c r="B296" s="144"/>
      <c r="D296" s="145"/>
      <c r="E296" s="146"/>
      <c r="H296" s="147"/>
    </row>
    <row r="297" spans="1:8" ht="14.25" customHeight="1">
      <c r="A297" s="143"/>
      <c r="B297" s="144"/>
      <c r="D297" s="145"/>
      <c r="E297" s="146"/>
      <c r="H297" s="147"/>
    </row>
    <row r="298" spans="1:8" ht="14.25" customHeight="1">
      <c r="A298" s="143"/>
      <c r="B298" s="144"/>
      <c r="D298" s="145"/>
      <c r="E298" s="146"/>
      <c r="H298" s="147"/>
    </row>
    <row r="299" spans="1:8" ht="14.25" customHeight="1">
      <c r="A299" s="143"/>
      <c r="B299" s="144"/>
      <c r="D299" s="145"/>
      <c r="E299" s="146"/>
      <c r="H299" s="147"/>
    </row>
    <row r="300" spans="1:8" ht="14.25" customHeight="1">
      <c r="A300" s="143"/>
      <c r="B300" s="144"/>
      <c r="D300" s="145"/>
      <c r="E300" s="146"/>
      <c r="H300" s="147"/>
    </row>
    <row r="301" spans="1:8" ht="14.25" customHeight="1">
      <c r="A301" s="143"/>
      <c r="B301" s="144"/>
      <c r="D301" s="145"/>
      <c r="E301" s="146"/>
      <c r="H301" s="147"/>
    </row>
    <row r="302" spans="1:8" ht="14.25" customHeight="1">
      <c r="A302" s="143"/>
      <c r="B302" s="144"/>
      <c r="D302" s="145"/>
      <c r="E302" s="146"/>
      <c r="H302" s="147"/>
    </row>
    <row r="303" spans="1:8" ht="14.25" customHeight="1">
      <c r="A303" s="143"/>
      <c r="B303" s="144"/>
      <c r="D303" s="145"/>
      <c r="E303" s="146"/>
      <c r="H303" s="147"/>
    </row>
    <row r="304" spans="1:8" ht="14.25" customHeight="1">
      <c r="A304" s="143"/>
      <c r="B304" s="144"/>
      <c r="D304" s="145"/>
      <c r="E304" s="146"/>
      <c r="H304" s="147"/>
    </row>
    <row r="305" spans="1:8" ht="14.25" customHeight="1">
      <c r="A305" s="143"/>
      <c r="B305" s="144"/>
      <c r="D305" s="145"/>
      <c r="E305" s="146"/>
      <c r="H305" s="147"/>
    </row>
    <row r="306" spans="1:8" ht="14.25" customHeight="1">
      <c r="A306" s="143"/>
      <c r="B306" s="144"/>
      <c r="D306" s="145"/>
      <c r="E306" s="146"/>
      <c r="H306" s="147"/>
    </row>
    <row r="307" spans="1:8" ht="14.25" customHeight="1">
      <c r="A307" s="143"/>
      <c r="B307" s="144"/>
      <c r="D307" s="145"/>
      <c r="E307" s="146"/>
      <c r="H307" s="147"/>
    </row>
    <row r="308" spans="1:8" ht="14.25" customHeight="1">
      <c r="A308" s="143"/>
      <c r="B308" s="144"/>
      <c r="D308" s="145"/>
      <c r="E308" s="146"/>
      <c r="H308" s="147"/>
    </row>
    <row r="309" spans="1:8" ht="14.25" customHeight="1">
      <c r="A309" s="143"/>
      <c r="B309" s="144"/>
      <c r="D309" s="145"/>
      <c r="E309" s="146"/>
      <c r="H309" s="147"/>
    </row>
    <row r="310" spans="1:8" ht="14.25" customHeight="1">
      <c r="A310" s="143"/>
      <c r="B310" s="144"/>
      <c r="D310" s="145"/>
      <c r="E310" s="146"/>
      <c r="H310" s="147"/>
    </row>
    <row r="311" spans="1:8" ht="14.25" customHeight="1">
      <c r="A311" s="143"/>
      <c r="B311" s="144"/>
      <c r="D311" s="145"/>
      <c r="E311" s="146"/>
      <c r="H311" s="147"/>
    </row>
    <row r="312" spans="1:8" ht="14.25" customHeight="1">
      <c r="A312" s="143"/>
      <c r="B312" s="144"/>
      <c r="D312" s="145"/>
      <c r="E312" s="146"/>
      <c r="H312" s="147"/>
    </row>
    <row r="313" spans="1:8" ht="14.25" customHeight="1">
      <c r="A313" s="143"/>
      <c r="B313" s="144"/>
      <c r="D313" s="145"/>
      <c r="E313" s="146"/>
      <c r="H313" s="147"/>
    </row>
    <row r="314" spans="1:8" ht="14.25" customHeight="1">
      <c r="A314" s="143"/>
      <c r="B314" s="144"/>
      <c r="D314" s="145"/>
      <c r="E314" s="146"/>
      <c r="H314" s="147"/>
    </row>
    <row r="315" spans="1:8" ht="14.25" customHeight="1">
      <c r="A315" s="143"/>
      <c r="B315" s="144"/>
      <c r="D315" s="145"/>
      <c r="E315" s="146"/>
      <c r="H315" s="147"/>
    </row>
    <row r="316" spans="1:8" ht="14.25" customHeight="1">
      <c r="A316" s="143"/>
      <c r="B316" s="144"/>
      <c r="D316" s="145"/>
      <c r="E316" s="146"/>
      <c r="H316" s="147"/>
    </row>
    <row r="317" spans="1:8" ht="14.25" customHeight="1">
      <c r="A317" s="143"/>
      <c r="B317" s="144"/>
      <c r="D317" s="145"/>
      <c r="E317" s="146"/>
      <c r="H317" s="147"/>
    </row>
    <row r="318" spans="1:8" ht="14.25" customHeight="1">
      <c r="A318" s="143"/>
      <c r="B318" s="144"/>
      <c r="D318" s="145"/>
      <c r="E318" s="146"/>
      <c r="H318" s="147"/>
    </row>
    <row r="319" spans="1:8" ht="14.25" customHeight="1">
      <c r="A319" s="143"/>
      <c r="B319" s="144"/>
      <c r="D319" s="145"/>
      <c r="E319" s="146"/>
      <c r="H319" s="147"/>
    </row>
    <row r="320" spans="1:8" ht="14.25" customHeight="1">
      <c r="A320" s="143"/>
      <c r="B320" s="144"/>
      <c r="D320" s="145"/>
      <c r="E320" s="146"/>
      <c r="H320" s="147"/>
    </row>
    <row r="321" spans="1:8" ht="14.25" customHeight="1">
      <c r="A321" s="143"/>
      <c r="B321" s="144"/>
      <c r="D321" s="145"/>
      <c r="E321" s="146"/>
      <c r="H321" s="147"/>
    </row>
    <row r="322" spans="1:8" ht="14.25" customHeight="1">
      <c r="A322" s="143"/>
      <c r="B322" s="144"/>
      <c r="D322" s="145"/>
      <c r="E322" s="146"/>
      <c r="H322" s="147"/>
    </row>
    <row r="323" spans="1:8" ht="14.25" customHeight="1">
      <c r="A323" s="143"/>
      <c r="B323" s="144"/>
      <c r="D323" s="145"/>
      <c r="E323" s="146"/>
      <c r="H323" s="147"/>
    </row>
    <row r="324" spans="1:8" ht="14.25" customHeight="1">
      <c r="A324" s="143"/>
      <c r="B324" s="144"/>
      <c r="D324" s="145"/>
      <c r="E324" s="146"/>
      <c r="H324" s="147"/>
    </row>
    <row r="325" spans="1:8" ht="14.25" customHeight="1">
      <c r="A325" s="143"/>
      <c r="B325" s="144"/>
      <c r="D325" s="145"/>
      <c r="E325" s="146"/>
      <c r="H325" s="147"/>
    </row>
    <row r="326" spans="1:8" ht="14.25" customHeight="1">
      <c r="A326" s="143"/>
      <c r="B326" s="144"/>
      <c r="D326" s="145"/>
      <c r="E326" s="146"/>
      <c r="H326" s="147"/>
    </row>
    <row r="327" spans="1:8" ht="14.25" customHeight="1">
      <c r="A327" s="143"/>
      <c r="B327" s="144"/>
      <c r="D327" s="145"/>
      <c r="E327" s="146"/>
      <c r="H327" s="147"/>
    </row>
    <row r="328" spans="1:8" ht="14.25" customHeight="1">
      <c r="A328" s="143"/>
      <c r="B328" s="144"/>
      <c r="D328" s="145"/>
      <c r="E328" s="146"/>
      <c r="H328" s="147"/>
    </row>
    <row r="329" spans="1:8" ht="14.25" customHeight="1">
      <c r="A329" s="143"/>
      <c r="B329" s="144"/>
      <c r="D329" s="145"/>
      <c r="E329" s="146"/>
      <c r="H329" s="147"/>
    </row>
    <row r="330" spans="1:8" ht="14.25" customHeight="1">
      <c r="A330" s="143"/>
      <c r="B330" s="144"/>
      <c r="D330" s="145"/>
      <c r="E330" s="146"/>
      <c r="H330" s="147"/>
    </row>
    <row r="331" spans="1:8" ht="14.25" customHeight="1">
      <c r="A331" s="143"/>
      <c r="B331" s="144"/>
      <c r="D331" s="145"/>
      <c r="E331" s="146"/>
      <c r="H331" s="147"/>
    </row>
    <row r="332" spans="1:8" ht="14.25" customHeight="1">
      <c r="A332" s="143"/>
      <c r="B332" s="144"/>
      <c r="D332" s="145"/>
      <c r="E332" s="146"/>
      <c r="H332" s="147"/>
    </row>
    <row r="333" spans="1:8" ht="14.25" customHeight="1">
      <c r="A333" s="143"/>
      <c r="B333" s="144"/>
      <c r="D333" s="145"/>
      <c r="E333" s="146"/>
      <c r="H333" s="147"/>
    </row>
    <row r="334" spans="1:8" ht="14.25" customHeight="1">
      <c r="A334" s="143"/>
      <c r="B334" s="144"/>
      <c r="D334" s="145"/>
      <c r="E334" s="146"/>
      <c r="H334" s="147"/>
    </row>
    <row r="335" spans="1:8" ht="14.25" customHeight="1">
      <c r="A335" s="143"/>
      <c r="B335" s="144"/>
      <c r="D335" s="145"/>
      <c r="E335" s="146"/>
      <c r="H335" s="147"/>
    </row>
    <row r="336" spans="1:8" ht="14.25" customHeight="1">
      <c r="A336" s="143"/>
      <c r="B336" s="144"/>
      <c r="D336" s="145"/>
      <c r="E336" s="146"/>
      <c r="H336" s="147"/>
    </row>
    <row r="337" spans="1:8" ht="14.25" customHeight="1">
      <c r="A337" s="143"/>
      <c r="B337" s="144"/>
      <c r="D337" s="145"/>
      <c r="E337" s="146"/>
      <c r="H337" s="147"/>
    </row>
    <row r="338" spans="1:8" ht="14.25" customHeight="1">
      <c r="A338" s="143"/>
      <c r="B338" s="144"/>
      <c r="D338" s="145"/>
      <c r="E338" s="146"/>
      <c r="H338" s="147"/>
    </row>
    <row r="339" spans="1:8" ht="14.25" customHeight="1">
      <c r="A339" s="143"/>
      <c r="B339" s="144"/>
      <c r="D339" s="145"/>
      <c r="E339" s="146"/>
      <c r="H339" s="147"/>
    </row>
    <row r="340" spans="1:8" ht="14.25" customHeight="1">
      <c r="A340" s="143"/>
      <c r="B340" s="144"/>
      <c r="D340" s="145"/>
      <c r="E340" s="146"/>
      <c r="H340" s="147"/>
    </row>
    <row r="341" spans="1:8" ht="14.25" customHeight="1">
      <c r="A341" s="143"/>
      <c r="B341" s="144"/>
      <c r="D341" s="145"/>
      <c r="E341" s="146"/>
      <c r="H341" s="147"/>
    </row>
    <row r="342" spans="1:8" ht="14.25" customHeight="1">
      <c r="A342" s="143"/>
      <c r="B342" s="144"/>
      <c r="D342" s="145"/>
      <c r="E342" s="146"/>
      <c r="H342" s="147"/>
    </row>
    <row r="343" spans="1:8" ht="14.25" customHeight="1">
      <c r="A343" s="143"/>
      <c r="B343" s="144"/>
      <c r="D343" s="145"/>
      <c r="E343" s="146"/>
      <c r="H343" s="147"/>
    </row>
    <row r="344" spans="1:8" ht="14.25" customHeight="1">
      <c r="A344" s="143"/>
      <c r="B344" s="144"/>
      <c r="D344" s="145"/>
      <c r="E344" s="146"/>
      <c r="H344" s="147"/>
    </row>
    <row r="345" spans="1:8" ht="14.25" customHeight="1">
      <c r="A345" s="143"/>
      <c r="B345" s="144"/>
      <c r="D345" s="145"/>
      <c r="E345" s="146"/>
      <c r="H345" s="147"/>
    </row>
    <row r="346" spans="1:8" ht="14.25" customHeight="1">
      <c r="A346" s="143"/>
      <c r="B346" s="144"/>
      <c r="D346" s="145"/>
      <c r="E346" s="146"/>
      <c r="H346" s="147"/>
    </row>
    <row r="347" spans="1:8" ht="14.25" customHeight="1">
      <c r="A347" s="143"/>
      <c r="B347" s="144"/>
      <c r="D347" s="145"/>
      <c r="E347" s="146"/>
      <c r="H347" s="147"/>
    </row>
    <row r="348" spans="1:8" ht="14.25" customHeight="1">
      <c r="A348" s="143"/>
      <c r="B348" s="144"/>
      <c r="D348" s="145"/>
      <c r="E348" s="146"/>
      <c r="H348" s="147"/>
    </row>
    <row r="349" spans="1:8" ht="14.25" customHeight="1">
      <c r="A349" s="143"/>
      <c r="B349" s="144"/>
      <c r="D349" s="145"/>
      <c r="E349" s="146"/>
      <c r="H349" s="147"/>
    </row>
    <row r="350" spans="1:8" ht="14.25" customHeight="1">
      <c r="A350" s="143"/>
      <c r="B350" s="144"/>
      <c r="D350" s="145"/>
      <c r="E350" s="146"/>
      <c r="H350" s="147"/>
    </row>
    <row r="351" spans="1:8" ht="14.25" customHeight="1">
      <c r="A351" s="143"/>
      <c r="B351" s="144"/>
      <c r="D351" s="145"/>
      <c r="E351" s="146"/>
      <c r="H351" s="147"/>
    </row>
    <row r="352" spans="1:8" ht="14.25" customHeight="1">
      <c r="A352" s="143"/>
      <c r="B352" s="144"/>
      <c r="D352" s="145"/>
      <c r="E352" s="146"/>
      <c r="H352" s="147"/>
    </row>
    <row r="353" spans="1:8" ht="14.25" customHeight="1">
      <c r="A353" s="143"/>
      <c r="B353" s="144"/>
      <c r="D353" s="145"/>
      <c r="E353" s="146"/>
      <c r="H353" s="147"/>
    </row>
    <row r="354" spans="1:8" ht="14.25" customHeight="1">
      <c r="A354" s="143"/>
      <c r="B354" s="144"/>
      <c r="D354" s="145"/>
      <c r="E354" s="146"/>
      <c r="H354" s="147"/>
    </row>
    <row r="355" spans="1:8" ht="14.25" customHeight="1">
      <c r="A355" s="143"/>
      <c r="B355" s="144"/>
      <c r="D355" s="145"/>
      <c r="E355" s="146"/>
      <c r="H355" s="147"/>
    </row>
    <row r="356" spans="1:8" ht="14.25" customHeight="1">
      <c r="A356" s="143"/>
      <c r="B356" s="144"/>
      <c r="D356" s="145"/>
      <c r="E356" s="146"/>
      <c r="H356" s="147"/>
    </row>
    <row r="357" spans="1:8" ht="14.25" customHeight="1">
      <c r="A357" s="143"/>
      <c r="B357" s="144"/>
      <c r="D357" s="145"/>
      <c r="E357" s="146"/>
      <c r="H357" s="147"/>
    </row>
    <row r="358" spans="1:8" ht="14.25" customHeight="1">
      <c r="A358" s="143"/>
      <c r="B358" s="144"/>
      <c r="D358" s="145"/>
      <c r="E358" s="146"/>
      <c r="H358" s="147"/>
    </row>
    <row r="359" spans="1:8" ht="14.25" customHeight="1">
      <c r="A359" s="143"/>
      <c r="B359" s="144"/>
      <c r="D359" s="145"/>
      <c r="E359" s="146"/>
      <c r="H359" s="147"/>
    </row>
    <row r="360" spans="1:8" ht="14.25" customHeight="1">
      <c r="A360" s="143"/>
      <c r="B360" s="144"/>
      <c r="D360" s="145"/>
      <c r="E360" s="146"/>
      <c r="H360" s="147"/>
    </row>
    <row r="361" spans="1:8" ht="14.25" customHeight="1">
      <c r="A361" s="143"/>
      <c r="B361" s="144"/>
      <c r="D361" s="145"/>
      <c r="E361" s="146"/>
      <c r="H361" s="147"/>
    </row>
    <row r="362" spans="1:8" ht="14.25" customHeight="1">
      <c r="A362" s="143"/>
      <c r="B362" s="144"/>
      <c r="D362" s="145"/>
      <c r="E362" s="146"/>
      <c r="H362" s="147"/>
    </row>
    <row r="363" spans="1:8" ht="14.25" customHeight="1">
      <c r="A363" s="143"/>
      <c r="B363" s="144"/>
      <c r="D363" s="145"/>
      <c r="E363" s="146"/>
      <c r="H363" s="147"/>
    </row>
    <row r="364" spans="1:8" ht="14.25" customHeight="1">
      <c r="A364" s="143"/>
      <c r="B364" s="144"/>
      <c r="D364" s="145"/>
      <c r="E364" s="146"/>
      <c r="H364" s="147"/>
    </row>
    <row r="365" spans="1:8" ht="14.25" customHeight="1">
      <c r="A365" s="143"/>
      <c r="B365" s="144"/>
      <c r="D365" s="145"/>
      <c r="E365" s="146"/>
      <c r="H365" s="147"/>
    </row>
    <row r="366" spans="1:8" ht="14.25" customHeight="1">
      <c r="A366" s="143"/>
      <c r="B366" s="144"/>
      <c r="D366" s="145"/>
      <c r="E366" s="146"/>
      <c r="H366" s="147"/>
    </row>
    <row r="367" spans="1:8" ht="14.25" customHeight="1">
      <c r="A367" s="143"/>
      <c r="B367" s="144"/>
      <c r="D367" s="145"/>
      <c r="E367" s="146"/>
      <c r="H367" s="147"/>
    </row>
    <row r="368" spans="1:8" ht="14.25" customHeight="1">
      <c r="A368" s="143"/>
      <c r="B368" s="144"/>
      <c r="D368" s="145"/>
      <c r="E368" s="146"/>
      <c r="H368" s="147"/>
    </row>
    <row r="369" spans="1:8" ht="14.25" customHeight="1">
      <c r="A369" s="143"/>
      <c r="B369" s="144"/>
      <c r="D369" s="145"/>
      <c r="E369" s="146"/>
      <c r="H369" s="147"/>
    </row>
    <row r="370" spans="1:8" ht="14.25" customHeight="1">
      <c r="A370" s="143"/>
      <c r="B370" s="144"/>
      <c r="D370" s="145"/>
      <c r="E370" s="146"/>
      <c r="H370" s="147"/>
    </row>
    <row r="371" spans="1:8" ht="14.25" customHeight="1">
      <c r="A371" s="143"/>
      <c r="B371" s="144"/>
      <c r="D371" s="145"/>
      <c r="E371" s="146"/>
      <c r="H371" s="147"/>
    </row>
    <row r="372" spans="1:8" ht="14.25" customHeight="1">
      <c r="A372" s="143"/>
      <c r="B372" s="144"/>
      <c r="D372" s="145"/>
      <c r="E372" s="146"/>
      <c r="H372" s="147"/>
    </row>
    <row r="373" spans="1:8" ht="14.25" customHeight="1">
      <c r="A373" s="143"/>
      <c r="B373" s="144"/>
      <c r="D373" s="145"/>
      <c r="E373" s="146"/>
      <c r="H373" s="147"/>
    </row>
    <row r="374" spans="1:8" ht="14.25" customHeight="1">
      <c r="A374" s="143"/>
      <c r="B374" s="144"/>
      <c r="D374" s="145"/>
      <c r="E374" s="146"/>
      <c r="H374" s="147"/>
    </row>
    <row r="375" spans="1:8" ht="14.25" customHeight="1">
      <c r="A375" s="143"/>
      <c r="B375" s="144"/>
      <c r="D375" s="145"/>
      <c r="E375" s="146"/>
      <c r="H375" s="147"/>
    </row>
    <row r="376" spans="1:8" ht="14.25" customHeight="1">
      <c r="A376" s="143"/>
      <c r="B376" s="144"/>
      <c r="D376" s="145"/>
      <c r="E376" s="146"/>
      <c r="H376" s="147"/>
    </row>
    <row r="377" spans="1:8" ht="14.25" customHeight="1">
      <c r="A377" s="143"/>
      <c r="B377" s="144"/>
      <c r="D377" s="145"/>
      <c r="E377" s="146"/>
      <c r="H377" s="147"/>
    </row>
    <row r="378" spans="1:8" ht="14.25" customHeight="1">
      <c r="A378" s="143"/>
      <c r="B378" s="144"/>
      <c r="D378" s="145"/>
      <c r="E378" s="146"/>
      <c r="H378" s="147"/>
    </row>
    <row r="379" spans="1:8" ht="14.25" customHeight="1">
      <c r="A379" s="143"/>
      <c r="B379" s="144"/>
      <c r="D379" s="145"/>
      <c r="E379" s="146"/>
      <c r="H379" s="147"/>
    </row>
    <row r="380" spans="1:8" ht="14.25" customHeight="1">
      <c r="A380" s="143"/>
      <c r="B380" s="144"/>
      <c r="D380" s="145"/>
      <c r="E380" s="146"/>
      <c r="H380" s="147"/>
    </row>
    <row r="381" spans="1:8" ht="14.25" customHeight="1">
      <c r="A381" s="143"/>
      <c r="B381" s="144"/>
      <c r="D381" s="145"/>
      <c r="E381" s="146"/>
      <c r="H381" s="147"/>
    </row>
    <row r="382" spans="1:8" ht="14.25" customHeight="1">
      <c r="A382" s="143"/>
      <c r="B382" s="144"/>
      <c r="D382" s="145"/>
      <c r="E382" s="146"/>
      <c r="H382" s="147"/>
    </row>
    <row r="383" spans="1:8" ht="14.25" customHeight="1">
      <c r="A383" s="143"/>
      <c r="B383" s="144"/>
      <c r="D383" s="145"/>
      <c r="E383" s="146"/>
      <c r="H383" s="147"/>
    </row>
    <row r="384" spans="1:8" ht="14.25" customHeight="1">
      <c r="A384" s="143"/>
      <c r="B384" s="144"/>
      <c r="D384" s="145"/>
      <c r="E384" s="146"/>
      <c r="H384" s="147"/>
    </row>
    <row r="385" spans="1:8" ht="14.25" customHeight="1">
      <c r="A385" s="143"/>
      <c r="B385" s="144"/>
      <c r="D385" s="145"/>
      <c r="E385" s="146"/>
      <c r="H385" s="147"/>
    </row>
    <row r="386" spans="1:8" ht="14.25" customHeight="1">
      <c r="A386" s="143"/>
      <c r="B386" s="144"/>
      <c r="D386" s="145"/>
      <c r="E386" s="146"/>
      <c r="H386" s="147"/>
    </row>
    <row r="387" spans="1:8" ht="14.25" customHeight="1">
      <c r="A387" s="143"/>
      <c r="B387" s="144"/>
      <c r="D387" s="145"/>
      <c r="E387" s="146"/>
      <c r="H387" s="147"/>
    </row>
    <row r="388" spans="1:8" ht="14.25" customHeight="1">
      <c r="A388" s="143"/>
      <c r="B388" s="144"/>
      <c r="D388" s="145"/>
      <c r="E388" s="146"/>
      <c r="H388" s="147"/>
    </row>
    <row r="389" spans="1:8" ht="14.25" customHeight="1">
      <c r="A389" s="143"/>
      <c r="B389" s="144"/>
      <c r="D389" s="145"/>
      <c r="E389" s="146"/>
      <c r="H389" s="147"/>
    </row>
    <row r="390" spans="1:8" ht="14.25" customHeight="1">
      <c r="A390" s="143"/>
      <c r="B390" s="144"/>
      <c r="D390" s="145"/>
      <c r="E390" s="146"/>
      <c r="H390" s="147"/>
    </row>
    <row r="391" spans="1:8" ht="14.25" customHeight="1">
      <c r="A391" s="143"/>
      <c r="B391" s="144"/>
      <c r="D391" s="145"/>
      <c r="E391" s="146"/>
      <c r="H391" s="147"/>
    </row>
    <row r="392" spans="1:8" ht="14.25" customHeight="1">
      <c r="A392" s="143"/>
      <c r="B392" s="144"/>
      <c r="D392" s="145"/>
      <c r="E392" s="146"/>
      <c r="H392" s="147"/>
    </row>
    <row r="393" spans="1:8" ht="14.25" customHeight="1">
      <c r="A393" s="143"/>
      <c r="B393" s="144"/>
      <c r="D393" s="145"/>
      <c r="E393" s="146"/>
      <c r="H393" s="147"/>
    </row>
    <row r="394" spans="1:8" ht="14.25" customHeight="1">
      <c r="A394" s="143"/>
      <c r="B394" s="144"/>
      <c r="D394" s="145"/>
      <c r="E394" s="146"/>
      <c r="H394" s="147"/>
    </row>
    <row r="395" spans="1:8" ht="14.25" customHeight="1">
      <c r="A395" s="143"/>
      <c r="B395" s="144"/>
      <c r="D395" s="145"/>
      <c r="E395" s="146"/>
      <c r="H395" s="147"/>
    </row>
    <row r="396" spans="1:8" ht="14.25" customHeight="1">
      <c r="A396" s="143"/>
      <c r="B396" s="144"/>
      <c r="D396" s="145"/>
      <c r="E396" s="146"/>
      <c r="H396" s="147"/>
    </row>
    <row r="397" spans="1:8" ht="14.25" customHeight="1">
      <c r="A397" s="143"/>
      <c r="B397" s="144"/>
      <c r="D397" s="145"/>
      <c r="E397" s="146"/>
      <c r="H397" s="147"/>
    </row>
    <row r="398" spans="1:8" ht="14.25" customHeight="1">
      <c r="A398" s="143"/>
      <c r="B398" s="144"/>
      <c r="D398" s="145"/>
      <c r="E398" s="146"/>
      <c r="H398" s="147"/>
    </row>
    <row r="399" spans="1:8" ht="14.25" customHeight="1">
      <c r="A399" s="143"/>
      <c r="B399" s="144"/>
      <c r="D399" s="145"/>
      <c r="E399" s="146"/>
      <c r="H399" s="147"/>
    </row>
    <row r="400" spans="1:8" ht="14.25" customHeight="1">
      <c r="A400" s="143"/>
      <c r="B400" s="144"/>
      <c r="D400" s="145"/>
      <c r="E400" s="146"/>
      <c r="H400" s="147"/>
    </row>
    <row r="401" spans="1:8" ht="14.25" customHeight="1">
      <c r="A401" s="143"/>
      <c r="B401" s="144"/>
      <c r="D401" s="145"/>
      <c r="E401" s="146"/>
      <c r="H401" s="147"/>
    </row>
    <row r="402" spans="1:8" ht="14.25" customHeight="1">
      <c r="A402" s="143"/>
      <c r="B402" s="144"/>
      <c r="D402" s="145"/>
      <c r="E402" s="146"/>
      <c r="H402" s="147"/>
    </row>
    <row r="403" spans="1:8" ht="14.25" customHeight="1">
      <c r="A403" s="143"/>
      <c r="B403" s="144"/>
      <c r="D403" s="145"/>
      <c r="E403" s="146"/>
      <c r="H403" s="147"/>
    </row>
    <row r="404" spans="1:8" ht="14.25" customHeight="1">
      <c r="A404" s="143"/>
      <c r="B404" s="144"/>
      <c r="D404" s="145"/>
      <c r="E404" s="146"/>
      <c r="H404" s="147"/>
    </row>
    <row r="405" spans="1:8" ht="14.25" customHeight="1">
      <c r="A405" s="143"/>
      <c r="B405" s="144"/>
      <c r="D405" s="145"/>
      <c r="E405" s="146"/>
      <c r="H405" s="147"/>
    </row>
    <row r="406" spans="1:8" ht="14.25" customHeight="1">
      <c r="A406" s="143"/>
      <c r="B406" s="144"/>
      <c r="D406" s="145"/>
      <c r="E406" s="146"/>
      <c r="H406" s="147"/>
    </row>
    <row r="407" spans="1:8" ht="14.25" customHeight="1">
      <c r="A407" s="143"/>
      <c r="B407" s="144"/>
      <c r="D407" s="145"/>
      <c r="E407" s="146"/>
      <c r="H407" s="147"/>
    </row>
    <row r="408" spans="1:8" ht="14.25" customHeight="1">
      <c r="A408" s="143"/>
      <c r="B408" s="144"/>
      <c r="D408" s="145"/>
      <c r="E408" s="146"/>
      <c r="H408" s="147"/>
    </row>
    <row r="409" spans="1:8" ht="14.25" customHeight="1">
      <c r="A409" s="143"/>
      <c r="B409" s="144"/>
      <c r="D409" s="145"/>
      <c r="E409" s="146"/>
      <c r="H409" s="147"/>
    </row>
    <row r="410" spans="1:8" ht="14.25" customHeight="1">
      <c r="A410" s="143"/>
      <c r="B410" s="144"/>
      <c r="D410" s="145"/>
      <c r="E410" s="146"/>
      <c r="H410" s="147"/>
    </row>
    <row r="411" spans="1:8" ht="14.25" customHeight="1">
      <c r="A411" s="143"/>
      <c r="B411" s="144"/>
      <c r="D411" s="145"/>
      <c r="E411" s="146"/>
      <c r="H411" s="147"/>
    </row>
    <row r="412" spans="1:8" ht="14.25" customHeight="1">
      <c r="A412" s="143"/>
      <c r="B412" s="144"/>
      <c r="D412" s="145"/>
      <c r="E412" s="146"/>
      <c r="H412" s="147"/>
    </row>
    <row r="413" spans="1:8" ht="14.25" customHeight="1">
      <c r="A413" s="143"/>
      <c r="B413" s="144"/>
      <c r="D413" s="145"/>
      <c r="E413" s="146"/>
      <c r="H413" s="147"/>
    </row>
    <row r="414" spans="1:8" ht="14.25" customHeight="1">
      <c r="A414" s="143"/>
      <c r="B414" s="144"/>
      <c r="D414" s="145"/>
      <c r="E414" s="146"/>
      <c r="H414" s="147"/>
    </row>
    <row r="415" spans="1:8" ht="14.25" customHeight="1">
      <c r="A415" s="143"/>
      <c r="B415" s="144"/>
      <c r="D415" s="145"/>
      <c r="E415" s="146"/>
      <c r="H415" s="147"/>
    </row>
    <row r="416" spans="1:8" ht="14.25" customHeight="1">
      <c r="A416" s="143"/>
      <c r="B416" s="144"/>
      <c r="D416" s="145"/>
      <c r="E416" s="146"/>
      <c r="H416" s="147"/>
    </row>
    <row r="417" spans="1:8" ht="14.25" customHeight="1">
      <c r="A417" s="143"/>
      <c r="B417" s="144"/>
      <c r="D417" s="145"/>
      <c r="E417" s="146"/>
      <c r="H417" s="147"/>
    </row>
    <row r="418" spans="1:8" ht="14.25" customHeight="1">
      <c r="A418" s="143"/>
      <c r="B418" s="144"/>
      <c r="D418" s="145"/>
      <c r="E418" s="146"/>
      <c r="H418" s="147"/>
    </row>
    <row r="419" spans="1:8" ht="14.25" customHeight="1">
      <c r="A419" s="143"/>
      <c r="B419" s="144"/>
      <c r="D419" s="145"/>
      <c r="E419" s="146"/>
      <c r="H419" s="147"/>
    </row>
    <row r="420" spans="1:8" ht="14.25" customHeight="1">
      <c r="A420" s="143"/>
      <c r="B420" s="144"/>
      <c r="D420" s="145"/>
      <c r="E420" s="146"/>
      <c r="H420" s="147"/>
    </row>
    <row r="421" spans="1:8" ht="14.25" customHeight="1">
      <c r="A421" s="143"/>
      <c r="B421" s="144"/>
      <c r="D421" s="145"/>
      <c r="E421" s="146"/>
      <c r="H421" s="147"/>
    </row>
    <row r="422" spans="1:8" ht="14.25" customHeight="1">
      <c r="A422" s="143"/>
      <c r="B422" s="144"/>
      <c r="D422" s="145"/>
      <c r="E422" s="146"/>
      <c r="H422" s="147"/>
    </row>
    <row r="423" spans="1:8" ht="14.25" customHeight="1">
      <c r="A423" s="143"/>
      <c r="B423" s="144"/>
      <c r="D423" s="145"/>
      <c r="E423" s="146"/>
      <c r="H423" s="147"/>
    </row>
    <row r="424" spans="1:8" ht="14.25" customHeight="1">
      <c r="A424" s="143"/>
      <c r="B424" s="144"/>
      <c r="D424" s="145"/>
      <c r="E424" s="146"/>
      <c r="H424" s="147"/>
    </row>
    <row r="425" spans="1:8" ht="14.25" customHeight="1">
      <c r="A425" s="143"/>
      <c r="B425" s="144"/>
      <c r="D425" s="145"/>
      <c r="E425" s="146"/>
      <c r="H425" s="147"/>
    </row>
    <row r="426" spans="1:8" ht="14.25" customHeight="1">
      <c r="A426" s="143"/>
      <c r="B426" s="144"/>
      <c r="D426" s="145"/>
      <c r="E426" s="146"/>
      <c r="H426" s="147"/>
    </row>
    <row r="427" spans="1:8" ht="14.25" customHeight="1">
      <c r="A427" s="143"/>
      <c r="B427" s="144"/>
      <c r="D427" s="145"/>
      <c r="E427" s="146"/>
      <c r="H427" s="147"/>
    </row>
    <row r="428" spans="1:8" ht="14.25" customHeight="1">
      <c r="A428" s="143"/>
      <c r="B428" s="144"/>
      <c r="D428" s="145"/>
      <c r="E428" s="146"/>
      <c r="H428" s="147"/>
    </row>
    <row r="429" spans="1:8" ht="14.25" customHeight="1">
      <c r="A429" s="143"/>
      <c r="B429" s="144"/>
      <c r="D429" s="145"/>
      <c r="E429" s="146"/>
      <c r="H429" s="147"/>
    </row>
    <row r="430" spans="1:8" ht="14.25" customHeight="1">
      <c r="A430" s="143"/>
      <c r="B430" s="144"/>
      <c r="D430" s="145"/>
      <c r="E430" s="146"/>
      <c r="H430" s="147"/>
    </row>
    <row r="431" spans="1:8" ht="14.25" customHeight="1">
      <c r="A431" s="143"/>
      <c r="B431" s="144"/>
      <c r="D431" s="145"/>
      <c r="E431" s="146"/>
      <c r="H431" s="147"/>
    </row>
    <row r="432" spans="1:8" ht="14.25" customHeight="1">
      <c r="A432" s="143"/>
      <c r="B432" s="144"/>
      <c r="D432" s="145"/>
      <c r="E432" s="146"/>
      <c r="H432" s="147"/>
    </row>
    <row r="433" spans="1:8" ht="14.25" customHeight="1">
      <c r="A433" s="143"/>
      <c r="B433" s="144"/>
      <c r="D433" s="145"/>
      <c r="E433" s="146"/>
      <c r="H433" s="147"/>
    </row>
    <row r="434" spans="1:8" ht="14.25" customHeight="1">
      <c r="A434" s="143"/>
      <c r="B434" s="144"/>
      <c r="D434" s="145"/>
      <c r="E434" s="146"/>
      <c r="H434" s="147"/>
    </row>
    <row r="435" spans="1:8" ht="14.25" customHeight="1">
      <c r="A435" s="143"/>
      <c r="B435" s="144"/>
      <c r="D435" s="145"/>
      <c r="E435" s="146"/>
      <c r="H435" s="147"/>
    </row>
    <row r="436" spans="1:8" ht="14.25" customHeight="1">
      <c r="A436" s="143"/>
      <c r="B436" s="144"/>
      <c r="D436" s="145"/>
      <c r="E436" s="146"/>
      <c r="H436" s="147"/>
    </row>
    <row r="437" spans="1:8" ht="14.25" customHeight="1">
      <c r="A437" s="143"/>
      <c r="B437" s="144"/>
      <c r="D437" s="145"/>
      <c r="E437" s="146"/>
      <c r="H437" s="147"/>
    </row>
    <row r="438" spans="1:8" ht="14.25" customHeight="1">
      <c r="A438" s="143"/>
      <c r="B438" s="144"/>
      <c r="D438" s="145"/>
      <c r="E438" s="146"/>
      <c r="H438" s="147"/>
    </row>
    <row r="439" spans="1:8" ht="14.25" customHeight="1">
      <c r="A439" s="143"/>
      <c r="B439" s="144"/>
      <c r="D439" s="145"/>
      <c r="E439" s="146"/>
      <c r="H439" s="147"/>
    </row>
    <row r="440" spans="1:8" ht="14.25" customHeight="1">
      <c r="A440" s="143"/>
      <c r="B440" s="144"/>
      <c r="D440" s="145"/>
      <c r="E440" s="146"/>
      <c r="H440" s="147"/>
    </row>
    <row r="441" spans="1:8" ht="14.25" customHeight="1">
      <c r="A441" s="143"/>
      <c r="B441" s="144"/>
      <c r="D441" s="145"/>
      <c r="E441" s="146"/>
      <c r="H441" s="147"/>
    </row>
    <row r="442" spans="1:8" ht="14.25" customHeight="1">
      <c r="A442" s="143"/>
      <c r="B442" s="144"/>
      <c r="D442" s="145"/>
      <c r="E442" s="146"/>
      <c r="H442" s="147"/>
    </row>
    <row r="443" spans="1:8" ht="14.25" customHeight="1">
      <c r="A443" s="143"/>
      <c r="B443" s="144"/>
      <c r="D443" s="145"/>
      <c r="E443" s="146"/>
      <c r="H443" s="147"/>
    </row>
    <row r="444" spans="1:8" ht="14.25" customHeight="1">
      <c r="A444" s="143"/>
      <c r="B444" s="144"/>
      <c r="D444" s="145"/>
      <c r="E444" s="146"/>
      <c r="H444" s="147"/>
    </row>
    <row r="445" spans="1:8" ht="14.25" customHeight="1">
      <c r="A445" s="143"/>
      <c r="B445" s="144"/>
      <c r="D445" s="145"/>
      <c r="E445" s="146"/>
      <c r="H445" s="147"/>
    </row>
    <row r="446" spans="1:8" ht="14.25" customHeight="1">
      <c r="A446" s="143"/>
      <c r="B446" s="144"/>
      <c r="D446" s="145"/>
      <c r="E446" s="146"/>
      <c r="H446" s="147"/>
    </row>
    <row r="447" spans="1:8" ht="14.25" customHeight="1">
      <c r="A447" s="143"/>
      <c r="B447" s="144"/>
      <c r="D447" s="145"/>
      <c r="E447" s="146"/>
      <c r="H447" s="147"/>
    </row>
    <row r="448" spans="1:8" ht="14.25" customHeight="1">
      <c r="A448" s="143"/>
      <c r="B448" s="144"/>
      <c r="D448" s="145"/>
      <c r="E448" s="146"/>
      <c r="H448" s="147"/>
    </row>
    <row r="449" spans="1:8" ht="14.25" customHeight="1">
      <c r="A449" s="143"/>
      <c r="B449" s="144"/>
      <c r="D449" s="145"/>
      <c r="E449" s="146"/>
      <c r="H449" s="147"/>
    </row>
    <row r="450" spans="1:8" ht="14.25" customHeight="1">
      <c r="A450" s="143"/>
      <c r="B450" s="144"/>
      <c r="D450" s="145"/>
      <c r="E450" s="146"/>
      <c r="H450" s="147"/>
    </row>
    <row r="451" spans="1:8" ht="14.25" customHeight="1">
      <c r="A451" s="143"/>
      <c r="B451" s="144"/>
      <c r="D451" s="145"/>
      <c r="E451" s="146"/>
      <c r="H451" s="147"/>
    </row>
    <row r="452" spans="1:8" ht="14.25" customHeight="1">
      <c r="A452" s="143"/>
      <c r="B452" s="144"/>
      <c r="D452" s="145"/>
      <c r="E452" s="146"/>
      <c r="H452" s="147"/>
    </row>
    <row r="453" spans="1:8" ht="14.25" customHeight="1">
      <c r="A453" s="143"/>
      <c r="B453" s="144"/>
      <c r="D453" s="145"/>
      <c r="E453" s="146"/>
      <c r="H453" s="147"/>
    </row>
    <row r="454" spans="1:8" ht="14.25" customHeight="1">
      <c r="A454" s="143"/>
      <c r="B454" s="144"/>
      <c r="D454" s="145"/>
      <c r="E454" s="146"/>
      <c r="H454" s="147"/>
    </row>
    <row r="455" spans="1:8" ht="14.25" customHeight="1">
      <c r="A455" s="143"/>
      <c r="B455" s="144"/>
      <c r="D455" s="145"/>
      <c r="E455" s="146"/>
      <c r="H455" s="147"/>
    </row>
    <row r="456" spans="1:8" ht="14.25" customHeight="1">
      <c r="A456" s="143"/>
      <c r="B456" s="144"/>
      <c r="D456" s="145"/>
      <c r="E456" s="146"/>
      <c r="H456" s="147"/>
    </row>
    <row r="457" spans="1:8" ht="14.25" customHeight="1">
      <c r="A457" s="143"/>
      <c r="B457" s="144"/>
      <c r="D457" s="145"/>
      <c r="E457" s="146"/>
      <c r="H457" s="147"/>
    </row>
    <row r="458" spans="1:8" ht="14.25" customHeight="1">
      <c r="A458" s="143"/>
      <c r="B458" s="144"/>
      <c r="D458" s="145"/>
      <c r="E458" s="146"/>
      <c r="H458" s="147"/>
    </row>
    <row r="459" spans="1:8" ht="14.25" customHeight="1">
      <c r="A459" s="143"/>
      <c r="B459" s="144"/>
      <c r="D459" s="145"/>
      <c r="E459" s="146"/>
      <c r="H459" s="147"/>
    </row>
    <row r="460" spans="1:8" ht="14.25" customHeight="1">
      <c r="A460" s="143"/>
      <c r="B460" s="144"/>
      <c r="D460" s="145"/>
      <c r="E460" s="146"/>
      <c r="H460" s="147"/>
    </row>
    <row r="461" spans="1:8" ht="14.25" customHeight="1">
      <c r="A461" s="143"/>
      <c r="B461" s="144"/>
      <c r="D461" s="145"/>
      <c r="E461" s="146"/>
      <c r="H461" s="147"/>
    </row>
    <row r="462" spans="1:8" ht="14.25" customHeight="1">
      <c r="A462" s="143"/>
      <c r="B462" s="144"/>
      <c r="D462" s="145"/>
      <c r="E462" s="146"/>
      <c r="H462" s="147"/>
    </row>
    <row r="463" spans="1:8" ht="14.25" customHeight="1">
      <c r="A463" s="143"/>
      <c r="B463" s="144"/>
      <c r="D463" s="145"/>
      <c r="E463" s="146"/>
      <c r="H463" s="147"/>
    </row>
    <row r="464" spans="1:8" ht="14.25" customHeight="1">
      <c r="A464" s="143"/>
      <c r="B464" s="144"/>
      <c r="D464" s="145"/>
      <c r="E464" s="146"/>
      <c r="H464" s="147"/>
    </row>
    <row r="465" spans="1:8" ht="14.25" customHeight="1">
      <c r="A465" s="143"/>
      <c r="B465" s="144"/>
      <c r="D465" s="145"/>
      <c r="E465" s="146"/>
      <c r="H465" s="147"/>
    </row>
    <row r="466" spans="1:8" ht="14.25" customHeight="1">
      <c r="A466" s="143"/>
      <c r="B466" s="144"/>
      <c r="D466" s="145"/>
      <c r="E466" s="146"/>
      <c r="H466" s="147"/>
    </row>
    <row r="467" spans="1:8" ht="14.25" customHeight="1">
      <c r="A467" s="143"/>
      <c r="B467" s="144"/>
      <c r="D467" s="145"/>
      <c r="E467" s="146"/>
      <c r="H467" s="147"/>
    </row>
    <row r="468" spans="1:8" ht="14.25" customHeight="1">
      <c r="A468" s="143"/>
      <c r="B468" s="144"/>
      <c r="D468" s="145"/>
      <c r="E468" s="146"/>
      <c r="H468" s="147"/>
    </row>
    <row r="469" spans="1:8" ht="14.25" customHeight="1">
      <c r="A469" s="143"/>
      <c r="B469" s="144"/>
      <c r="D469" s="145"/>
      <c r="E469" s="146"/>
      <c r="H469" s="147"/>
    </row>
    <row r="470" spans="1:8" ht="14.25" customHeight="1">
      <c r="A470" s="143"/>
      <c r="B470" s="144"/>
      <c r="D470" s="145"/>
      <c r="E470" s="146"/>
      <c r="H470" s="147"/>
    </row>
    <row r="471" spans="1:8" ht="14.25" customHeight="1">
      <c r="A471" s="143"/>
      <c r="B471" s="144"/>
      <c r="D471" s="145"/>
      <c r="E471" s="146"/>
      <c r="H471" s="147"/>
    </row>
    <row r="472" spans="1:8" ht="14.25" customHeight="1">
      <c r="A472" s="143"/>
      <c r="B472" s="144"/>
      <c r="D472" s="145"/>
      <c r="E472" s="146"/>
      <c r="H472" s="147"/>
    </row>
    <row r="473" spans="1:8" ht="14.25" customHeight="1">
      <c r="A473" s="143"/>
      <c r="B473" s="144"/>
      <c r="D473" s="145"/>
      <c r="E473" s="146"/>
      <c r="H473" s="147"/>
    </row>
    <row r="474" spans="1:8" ht="14.25" customHeight="1">
      <c r="A474" s="143"/>
      <c r="B474" s="144"/>
      <c r="D474" s="145"/>
      <c r="E474" s="146"/>
      <c r="H474" s="147"/>
    </row>
    <row r="475" spans="1:8" ht="14.25" customHeight="1">
      <c r="A475" s="143"/>
      <c r="B475" s="144"/>
      <c r="D475" s="145"/>
      <c r="E475" s="146"/>
      <c r="H475" s="147"/>
    </row>
    <row r="476" spans="1:8" ht="14.25" customHeight="1">
      <c r="A476" s="143"/>
      <c r="B476" s="144"/>
      <c r="D476" s="145"/>
      <c r="E476" s="146"/>
      <c r="H476" s="147"/>
    </row>
    <row r="477" spans="1:8" ht="14.25" customHeight="1">
      <c r="A477" s="143"/>
      <c r="B477" s="144"/>
      <c r="D477" s="145"/>
      <c r="E477" s="146"/>
      <c r="H477" s="147"/>
    </row>
    <row r="478" spans="1:8" ht="14.25" customHeight="1">
      <c r="A478" s="143"/>
      <c r="B478" s="144"/>
      <c r="D478" s="145"/>
      <c r="E478" s="146"/>
      <c r="H478" s="147"/>
    </row>
    <row r="479" spans="1:8" ht="14.25" customHeight="1">
      <c r="A479" s="143"/>
      <c r="B479" s="144"/>
      <c r="D479" s="145"/>
      <c r="E479" s="146"/>
      <c r="H479" s="147"/>
    </row>
    <row r="480" spans="1:8" ht="14.25" customHeight="1">
      <c r="A480" s="143"/>
      <c r="B480" s="144"/>
      <c r="D480" s="145"/>
      <c r="E480" s="146"/>
      <c r="H480" s="147"/>
    </row>
    <row r="481" spans="1:8" ht="14.25" customHeight="1">
      <c r="A481" s="143"/>
      <c r="B481" s="144"/>
      <c r="D481" s="145"/>
      <c r="E481" s="146"/>
      <c r="H481" s="147"/>
    </row>
    <row r="482" spans="1:8" ht="14.25" customHeight="1">
      <c r="A482" s="143"/>
      <c r="B482" s="144"/>
      <c r="D482" s="145"/>
      <c r="E482" s="146"/>
      <c r="H482" s="147"/>
    </row>
    <row r="483" spans="1:8" ht="14.25" customHeight="1">
      <c r="A483" s="143"/>
      <c r="B483" s="144"/>
      <c r="D483" s="145"/>
      <c r="E483" s="146"/>
      <c r="H483" s="147"/>
    </row>
    <row r="484" spans="1:8" ht="14.25" customHeight="1">
      <c r="A484" s="143"/>
      <c r="B484" s="144"/>
      <c r="D484" s="145"/>
      <c r="E484" s="146"/>
      <c r="H484" s="147"/>
    </row>
    <row r="485" spans="1:8" ht="14.25" customHeight="1">
      <c r="A485" s="143"/>
      <c r="B485" s="144"/>
      <c r="D485" s="145"/>
      <c r="E485" s="146"/>
      <c r="H485" s="147"/>
    </row>
    <row r="486" spans="1:8" ht="14.25" customHeight="1">
      <c r="A486" s="143"/>
      <c r="B486" s="144"/>
      <c r="D486" s="145"/>
      <c r="E486" s="146"/>
      <c r="H486" s="147"/>
    </row>
    <row r="487" spans="1:8" ht="14.25" customHeight="1">
      <c r="A487" s="143"/>
      <c r="B487" s="144"/>
      <c r="D487" s="145"/>
      <c r="E487" s="146"/>
      <c r="H487" s="147"/>
    </row>
    <row r="488" spans="1:8" ht="14.25" customHeight="1">
      <c r="A488" s="143"/>
      <c r="B488" s="144"/>
      <c r="D488" s="145"/>
      <c r="E488" s="146"/>
      <c r="H488" s="147"/>
    </row>
    <row r="489" spans="1:8" ht="14.25" customHeight="1">
      <c r="A489" s="143"/>
      <c r="B489" s="144"/>
      <c r="D489" s="145"/>
      <c r="E489" s="146"/>
      <c r="H489" s="147"/>
    </row>
    <row r="490" spans="1:8" ht="14.25" customHeight="1">
      <c r="A490" s="143"/>
      <c r="B490" s="144"/>
      <c r="D490" s="145"/>
      <c r="E490" s="146"/>
      <c r="H490" s="147"/>
    </row>
    <row r="491" spans="1:8" ht="14.25" customHeight="1">
      <c r="A491" s="143"/>
      <c r="B491" s="144"/>
      <c r="D491" s="145"/>
      <c r="E491" s="146"/>
      <c r="H491" s="147"/>
    </row>
    <row r="492" spans="1:8" ht="14.25" customHeight="1">
      <c r="A492" s="143"/>
      <c r="B492" s="144"/>
      <c r="D492" s="145"/>
      <c r="E492" s="146"/>
      <c r="H492" s="147"/>
    </row>
    <row r="493" spans="1:8" ht="14.25" customHeight="1">
      <c r="A493" s="143"/>
      <c r="B493" s="144"/>
      <c r="D493" s="145"/>
      <c r="E493" s="146"/>
      <c r="H493" s="147"/>
    </row>
    <row r="494" spans="1:8" ht="14.25" customHeight="1">
      <c r="A494" s="143"/>
      <c r="B494" s="144"/>
      <c r="D494" s="145"/>
      <c r="E494" s="146"/>
      <c r="H494" s="147"/>
    </row>
    <row r="495" spans="1:8" ht="14.25" customHeight="1">
      <c r="A495" s="143"/>
      <c r="B495" s="144"/>
      <c r="D495" s="145"/>
      <c r="E495" s="146"/>
      <c r="H495" s="147"/>
    </row>
    <row r="496" spans="1:8" ht="14.25" customHeight="1">
      <c r="A496" s="143"/>
      <c r="B496" s="144"/>
      <c r="D496" s="145"/>
      <c r="E496" s="146"/>
      <c r="H496" s="147"/>
    </row>
    <row r="497" spans="1:8" ht="14.25" customHeight="1">
      <c r="A497" s="143"/>
      <c r="B497" s="144"/>
      <c r="D497" s="145"/>
      <c r="E497" s="146"/>
      <c r="H497" s="147"/>
    </row>
    <row r="498" spans="1:8" ht="14.25" customHeight="1">
      <c r="A498" s="143"/>
      <c r="B498" s="144"/>
      <c r="D498" s="145"/>
      <c r="E498" s="146"/>
      <c r="H498" s="147"/>
    </row>
    <row r="499" spans="1:8" ht="14.25" customHeight="1">
      <c r="A499" s="143"/>
      <c r="B499" s="144"/>
      <c r="D499" s="145"/>
      <c r="E499" s="146"/>
      <c r="H499" s="147"/>
    </row>
    <row r="500" spans="1:8" ht="14.25" customHeight="1">
      <c r="A500" s="143"/>
      <c r="B500" s="144"/>
      <c r="D500" s="145"/>
      <c r="E500" s="146"/>
      <c r="H500" s="147"/>
    </row>
    <row r="501" spans="1:8" ht="14.25" customHeight="1">
      <c r="A501" s="143"/>
      <c r="B501" s="144"/>
      <c r="D501" s="145"/>
      <c r="E501" s="146"/>
      <c r="H501" s="147"/>
    </row>
    <row r="502" spans="1:8" ht="14.25" customHeight="1">
      <c r="A502" s="143"/>
      <c r="B502" s="144"/>
      <c r="D502" s="145"/>
      <c r="E502" s="146"/>
      <c r="H502" s="147"/>
    </row>
    <row r="503" spans="1:8" ht="14.25" customHeight="1">
      <c r="A503" s="143"/>
      <c r="B503" s="144"/>
      <c r="D503" s="145"/>
      <c r="E503" s="146"/>
      <c r="H503" s="147"/>
    </row>
    <row r="504" spans="1:8" ht="14.25" customHeight="1">
      <c r="A504" s="143"/>
      <c r="B504" s="144"/>
      <c r="D504" s="145"/>
      <c r="E504" s="146"/>
      <c r="H504" s="147"/>
    </row>
    <row r="505" spans="1:8" ht="14.25" customHeight="1">
      <c r="A505" s="143"/>
      <c r="B505" s="144"/>
      <c r="D505" s="145"/>
      <c r="E505" s="146"/>
      <c r="H505" s="147"/>
    </row>
    <row r="506" spans="1:8" ht="14.25" customHeight="1">
      <c r="A506" s="143"/>
      <c r="B506" s="144"/>
      <c r="D506" s="145"/>
      <c r="E506" s="146"/>
      <c r="H506" s="147"/>
    </row>
    <row r="507" spans="1:8" ht="14.25" customHeight="1">
      <c r="A507" s="143"/>
      <c r="B507" s="144"/>
      <c r="D507" s="145"/>
      <c r="E507" s="146"/>
      <c r="H507" s="147"/>
    </row>
    <row r="508" spans="1:8" ht="14.25" customHeight="1">
      <c r="A508" s="143"/>
      <c r="B508" s="144"/>
      <c r="D508" s="145"/>
      <c r="E508" s="146"/>
      <c r="H508" s="147"/>
    </row>
    <row r="509" spans="1:8" ht="14.25" customHeight="1">
      <c r="A509" s="143"/>
      <c r="B509" s="144"/>
      <c r="D509" s="145"/>
      <c r="E509" s="146"/>
      <c r="H509" s="147"/>
    </row>
    <row r="510" spans="1:8" ht="14.25" customHeight="1">
      <c r="A510" s="143"/>
      <c r="B510" s="144"/>
      <c r="D510" s="145"/>
      <c r="E510" s="146"/>
      <c r="H510" s="147"/>
    </row>
    <row r="511" spans="1:8" ht="14.25" customHeight="1">
      <c r="A511" s="143"/>
      <c r="B511" s="144"/>
      <c r="D511" s="145"/>
      <c r="E511" s="146"/>
      <c r="H511" s="147"/>
    </row>
    <row r="512" spans="1:8" ht="14.25" customHeight="1">
      <c r="A512" s="143"/>
      <c r="B512" s="144"/>
      <c r="D512" s="145"/>
      <c r="E512" s="146"/>
      <c r="H512" s="147"/>
    </row>
    <row r="513" spans="1:8" ht="14.25" customHeight="1">
      <c r="A513" s="143"/>
      <c r="B513" s="144"/>
      <c r="D513" s="145"/>
      <c r="E513" s="146"/>
      <c r="H513" s="147"/>
    </row>
    <row r="514" spans="1:8" ht="14.25" customHeight="1">
      <c r="A514" s="143"/>
      <c r="B514" s="144"/>
      <c r="D514" s="145"/>
      <c r="E514" s="146"/>
      <c r="H514" s="147"/>
    </row>
    <row r="515" spans="1:8" ht="14.25" customHeight="1">
      <c r="A515" s="143"/>
      <c r="B515" s="144"/>
      <c r="D515" s="145"/>
      <c r="E515" s="146"/>
      <c r="H515" s="147"/>
    </row>
    <row r="516" spans="1:8" ht="14.25" customHeight="1">
      <c r="A516" s="143"/>
      <c r="B516" s="144"/>
      <c r="D516" s="145"/>
      <c r="E516" s="146"/>
      <c r="H516" s="147"/>
    </row>
    <row r="517" spans="1:8" ht="14.25" customHeight="1">
      <c r="A517" s="143"/>
      <c r="B517" s="144"/>
      <c r="D517" s="145"/>
      <c r="E517" s="146"/>
      <c r="H517" s="147"/>
    </row>
    <row r="518" spans="1:8" ht="14.25" customHeight="1">
      <c r="A518" s="143"/>
      <c r="B518" s="144"/>
      <c r="D518" s="145"/>
      <c r="E518" s="146"/>
      <c r="H518" s="147"/>
    </row>
    <row r="519" spans="1:8" ht="14.25" customHeight="1">
      <c r="A519" s="143"/>
      <c r="B519" s="144"/>
      <c r="D519" s="145"/>
      <c r="E519" s="146"/>
      <c r="H519" s="147"/>
    </row>
    <row r="520" spans="1:8" ht="14.25" customHeight="1">
      <c r="A520" s="143"/>
      <c r="B520" s="144"/>
      <c r="D520" s="145"/>
      <c r="E520" s="146"/>
      <c r="H520" s="147"/>
    </row>
    <row r="521" spans="1:8" ht="14.25" customHeight="1">
      <c r="A521" s="143"/>
      <c r="B521" s="144"/>
      <c r="D521" s="145"/>
      <c r="E521" s="146"/>
      <c r="H521" s="147"/>
    </row>
    <row r="522" spans="1:8" ht="14.25" customHeight="1">
      <c r="A522" s="143"/>
      <c r="B522" s="144"/>
      <c r="D522" s="145"/>
      <c r="E522" s="146"/>
      <c r="H522" s="147"/>
    </row>
    <row r="523" spans="1:8" ht="14.25" customHeight="1">
      <c r="A523" s="143"/>
      <c r="B523" s="144"/>
      <c r="D523" s="145"/>
      <c r="E523" s="146"/>
      <c r="H523" s="147"/>
    </row>
    <row r="524" spans="1:8" ht="14.25" customHeight="1">
      <c r="A524" s="143"/>
      <c r="B524" s="144"/>
      <c r="D524" s="145"/>
      <c r="E524" s="146"/>
      <c r="H524" s="147"/>
    </row>
    <row r="525" spans="1:8" ht="14.25" customHeight="1">
      <c r="A525" s="143"/>
      <c r="B525" s="144"/>
      <c r="D525" s="145"/>
      <c r="E525" s="146"/>
      <c r="H525" s="147"/>
    </row>
    <row r="526" spans="1:8" ht="14.25" customHeight="1">
      <c r="A526" s="143"/>
      <c r="B526" s="144"/>
      <c r="D526" s="145"/>
      <c r="E526" s="146"/>
      <c r="H526" s="147"/>
    </row>
    <row r="527" spans="1:8" ht="14.25" customHeight="1">
      <c r="A527" s="143"/>
      <c r="B527" s="144"/>
      <c r="D527" s="145"/>
      <c r="E527" s="146"/>
      <c r="H527" s="147"/>
    </row>
    <row r="528" spans="1:8" ht="14.25" customHeight="1">
      <c r="A528" s="143"/>
      <c r="B528" s="144"/>
      <c r="D528" s="145"/>
      <c r="E528" s="146"/>
      <c r="H528" s="147"/>
    </row>
    <row r="529" spans="1:8" ht="14.25" customHeight="1">
      <c r="A529" s="143"/>
      <c r="B529" s="144"/>
      <c r="D529" s="145"/>
      <c r="E529" s="146"/>
      <c r="H529" s="147"/>
    </row>
    <row r="530" spans="1:8" ht="14.25" customHeight="1">
      <c r="A530" s="143"/>
      <c r="B530" s="144"/>
      <c r="D530" s="145"/>
      <c r="E530" s="146"/>
      <c r="H530" s="147"/>
    </row>
    <row r="531" spans="1:8" ht="14.25" customHeight="1">
      <c r="A531" s="143"/>
      <c r="B531" s="144"/>
      <c r="D531" s="145"/>
      <c r="E531" s="146"/>
      <c r="H531" s="147"/>
    </row>
    <row r="532" spans="1:8" ht="14.25" customHeight="1">
      <c r="A532" s="143"/>
      <c r="B532" s="144"/>
      <c r="D532" s="145"/>
      <c r="E532" s="146"/>
      <c r="H532" s="147"/>
    </row>
    <row r="533" spans="1:8" ht="14.25" customHeight="1">
      <c r="A533" s="143"/>
      <c r="B533" s="144"/>
      <c r="D533" s="145"/>
      <c r="E533" s="146"/>
      <c r="H533" s="147"/>
    </row>
    <row r="534" spans="1:8" ht="14.25" customHeight="1">
      <c r="A534" s="143"/>
      <c r="B534" s="144"/>
      <c r="D534" s="145"/>
      <c r="E534" s="146"/>
      <c r="H534" s="147"/>
    </row>
    <row r="535" spans="1:8" ht="14.25" customHeight="1">
      <c r="A535" s="143"/>
      <c r="B535" s="144"/>
      <c r="D535" s="145"/>
      <c r="E535" s="146"/>
      <c r="H535" s="147"/>
    </row>
    <row r="536" spans="1:8" ht="14.25" customHeight="1">
      <c r="A536" s="143"/>
      <c r="B536" s="144"/>
      <c r="D536" s="145"/>
      <c r="E536" s="146"/>
      <c r="H536" s="147"/>
    </row>
    <row r="537" spans="1:8" ht="14.25" customHeight="1">
      <c r="A537" s="143"/>
      <c r="B537" s="144"/>
      <c r="D537" s="145"/>
      <c r="E537" s="146"/>
      <c r="H537" s="147"/>
    </row>
    <row r="538" spans="1:8" ht="14.25" customHeight="1">
      <c r="A538" s="143"/>
      <c r="B538" s="144"/>
      <c r="D538" s="145"/>
      <c r="E538" s="146"/>
      <c r="H538" s="147"/>
    </row>
    <row r="539" spans="1:8" ht="14.25" customHeight="1">
      <c r="A539" s="143"/>
      <c r="B539" s="144"/>
      <c r="D539" s="145"/>
      <c r="E539" s="146"/>
      <c r="H539" s="147"/>
    </row>
    <row r="540" spans="1:8" ht="14.25" customHeight="1">
      <c r="A540" s="143"/>
      <c r="B540" s="144"/>
      <c r="D540" s="145"/>
      <c r="E540" s="146"/>
      <c r="H540" s="147"/>
    </row>
    <row r="541" spans="1:8" ht="14.25" customHeight="1">
      <c r="A541" s="143"/>
      <c r="B541" s="144"/>
      <c r="D541" s="145"/>
      <c r="E541" s="146"/>
      <c r="H541" s="147"/>
    </row>
    <row r="542" spans="1:8" ht="14.25" customHeight="1">
      <c r="A542" s="143"/>
      <c r="B542" s="144"/>
      <c r="D542" s="145"/>
      <c r="E542" s="146"/>
      <c r="H542" s="147"/>
    </row>
    <row r="543" spans="1:8" ht="14.25" customHeight="1">
      <c r="A543" s="143"/>
      <c r="B543" s="144"/>
      <c r="D543" s="145"/>
      <c r="E543" s="146"/>
      <c r="H543" s="147"/>
    </row>
    <row r="544" spans="1:8" ht="14.25" customHeight="1">
      <c r="A544" s="143"/>
      <c r="B544" s="144"/>
      <c r="D544" s="145"/>
      <c r="E544" s="146"/>
      <c r="H544" s="147"/>
    </row>
    <row r="545" spans="1:8" ht="14.25" customHeight="1">
      <c r="A545" s="143"/>
      <c r="B545" s="144"/>
      <c r="D545" s="145"/>
      <c r="E545" s="146"/>
      <c r="H545" s="147"/>
    </row>
    <row r="546" spans="1:8" ht="14.25" customHeight="1">
      <c r="A546" s="143"/>
      <c r="B546" s="144"/>
      <c r="D546" s="145"/>
      <c r="E546" s="146"/>
      <c r="H546" s="147"/>
    </row>
    <row r="547" spans="1:8" ht="14.25" customHeight="1">
      <c r="A547" s="143"/>
      <c r="B547" s="144"/>
      <c r="D547" s="145"/>
      <c r="E547" s="146"/>
      <c r="H547" s="147"/>
    </row>
    <row r="548" spans="1:8" ht="14.25" customHeight="1">
      <c r="A548" s="143"/>
      <c r="B548" s="144"/>
      <c r="D548" s="145"/>
      <c r="E548" s="146"/>
      <c r="H548" s="147"/>
    </row>
    <row r="549" spans="1:8" ht="14.25" customHeight="1">
      <c r="A549" s="143"/>
      <c r="B549" s="144"/>
      <c r="D549" s="145"/>
      <c r="E549" s="146"/>
      <c r="H549" s="147"/>
    </row>
    <row r="550" spans="1:8" ht="14.25" customHeight="1">
      <c r="A550" s="143"/>
      <c r="B550" s="144"/>
      <c r="D550" s="145"/>
      <c r="E550" s="146"/>
      <c r="H550" s="147"/>
    </row>
    <row r="551" spans="1:8" ht="14.25" customHeight="1">
      <c r="A551" s="143"/>
      <c r="B551" s="144"/>
      <c r="D551" s="145"/>
      <c r="E551" s="146"/>
      <c r="H551" s="147"/>
    </row>
    <row r="552" spans="1:8" ht="14.25" customHeight="1">
      <c r="A552" s="143"/>
      <c r="B552" s="144"/>
      <c r="D552" s="145"/>
      <c r="E552" s="146"/>
      <c r="H552" s="147"/>
    </row>
    <row r="553" spans="1:8" ht="14.25" customHeight="1">
      <c r="A553" s="143"/>
      <c r="B553" s="144"/>
      <c r="D553" s="145"/>
      <c r="E553" s="146"/>
      <c r="H553" s="147"/>
    </row>
    <row r="554" spans="1:8" ht="14.25" customHeight="1">
      <c r="A554" s="143"/>
      <c r="B554" s="144"/>
      <c r="D554" s="145"/>
      <c r="E554" s="146"/>
      <c r="H554" s="147"/>
    </row>
    <row r="555" spans="1:8" ht="14.25" customHeight="1">
      <c r="A555" s="143"/>
      <c r="B555" s="144"/>
      <c r="D555" s="145"/>
      <c r="E555" s="146"/>
      <c r="H555" s="147"/>
    </row>
    <row r="556" spans="1:8" ht="14.25" customHeight="1">
      <c r="A556" s="143"/>
      <c r="B556" s="144"/>
      <c r="D556" s="145"/>
      <c r="E556" s="146"/>
      <c r="H556" s="147"/>
    </row>
    <row r="557" spans="1:8" ht="14.25" customHeight="1">
      <c r="A557" s="143"/>
      <c r="B557" s="144"/>
      <c r="D557" s="145"/>
      <c r="E557" s="146"/>
      <c r="H557" s="147"/>
    </row>
    <row r="558" spans="1:8" ht="14.25" customHeight="1">
      <c r="A558" s="143"/>
      <c r="B558" s="144"/>
      <c r="D558" s="145"/>
      <c r="E558" s="146"/>
      <c r="H558" s="147"/>
    </row>
    <row r="559" spans="1:8" ht="14.25" customHeight="1">
      <c r="A559" s="143"/>
      <c r="B559" s="144"/>
      <c r="D559" s="145"/>
      <c r="E559" s="146"/>
      <c r="H559" s="147"/>
    </row>
    <row r="560" spans="1:8" ht="14.25" customHeight="1">
      <c r="A560" s="143"/>
      <c r="B560" s="144"/>
      <c r="D560" s="145"/>
      <c r="E560" s="146"/>
      <c r="H560" s="147"/>
    </row>
    <row r="561" spans="1:8" ht="14.25" customHeight="1">
      <c r="A561" s="143"/>
      <c r="B561" s="144"/>
      <c r="D561" s="145"/>
      <c r="E561" s="146"/>
      <c r="H561" s="147"/>
    </row>
    <row r="562" spans="1:8" ht="14.25" customHeight="1">
      <c r="A562" s="143"/>
      <c r="B562" s="144"/>
      <c r="D562" s="145"/>
      <c r="E562" s="146"/>
      <c r="H562" s="147"/>
    </row>
    <row r="563" spans="1:8" ht="14.25" customHeight="1">
      <c r="A563" s="143"/>
      <c r="B563" s="144"/>
      <c r="D563" s="145"/>
      <c r="E563" s="146"/>
      <c r="H563" s="147"/>
    </row>
    <row r="564" spans="1:8" ht="14.25" customHeight="1">
      <c r="A564" s="143"/>
      <c r="B564" s="144"/>
      <c r="D564" s="145"/>
      <c r="E564" s="146"/>
      <c r="H564" s="147"/>
    </row>
    <row r="565" spans="1:8" ht="14.25" customHeight="1">
      <c r="A565" s="143"/>
      <c r="B565" s="144"/>
      <c r="D565" s="145"/>
      <c r="E565" s="146"/>
      <c r="H565" s="147"/>
    </row>
    <row r="566" spans="1:8" ht="14.25" customHeight="1">
      <c r="A566" s="143"/>
      <c r="B566" s="144"/>
      <c r="D566" s="145"/>
      <c r="E566" s="146"/>
      <c r="H566" s="147"/>
    </row>
    <row r="567" spans="1:8" ht="14.25" customHeight="1">
      <c r="A567" s="143"/>
      <c r="B567" s="144"/>
      <c r="D567" s="145"/>
      <c r="E567" s="146"/>
      <c r="H567" s="147"/>
    </row>
    <row r="568" spans="1:8" ht="14.25" customHeight="1">
      <c r="A568" s="143"/>
      <c r="B568" s="144"/>
      <c r="D568" s="145"/>
      <c r="E568" s="146"/>
      <c r="H568" s="147"/>
    </row>
    <row r="569" spans="1:8" ht="14.25" customHeight="1">
      <c r="A569" s="143"/>
      <c r="B569" s="144"/>
      <c r="D569" s="145"/>
      <c r="E569" s="146"/>
      <c r="H569" s="147"/>
    </row>
    <row r="570" spans="1:8" ht="14.25" customHeight="1">
      <c r="A570" s="143"/>
      <c r="B570" s="144"/>
      <c r="D570" s="145"/>
      <c r="E570" s="146"/>
      <c r="H570" s="147"/>
    </row>
    <row r="571" spans="1:8" ht="14.25" customHeight="1">
      <c r="A571" s="143"/>
      <c r="B571" s="144"/>
      <c r="D571" s="145"/>
      <c r="E571" s="146"/>
      <c r="H571" s="147"/>
    </row>
    <row r="572" spans="1:8" ht="14.25" customHeight="1">
      <c r="A572" s="143"/>
      <c r="B572" s="144"/>
      <c r="D572" s="145"/>
      <c r="E572" s="146"/>
      <c r="H572" s="147"/>
    </row>
    <row r="573" spans="1:8" ht="14.25" customHeight="1">
      <c r="A573" s="143"/>
      <c r="B573" s="144"/>
      <c r="D573" s="145"/>
      <c r="E573" s="146"/>
      <c r="H573" s="147"/>
    </row>
    <row r="574" spans="1:8" ht="14.25" customHeight="1">
      <c r="A574" s="143"/>
      <c r="B574" s="144"/>
      <c r="D574" s="145"/>
      <c r="E574" s="146"/>
      <c r="H574" s="147"/>
    </row>
    <row r="575" spans="1:8" ht="14.25" customHeight="1">
      <c r="A575" s="143"/>
      <c r="B575" s="144"/>
      <c r="D575" s="145"/>
      <c r="E575" s="146"/>
      <c r="H575" s="147"/>
    </row>
    <row r="576" spans="1:8" ht="14.25" customHeight="1">
      <c r="A576" s="143"/>
      <c r="B576" s="144"/>
      <c r="D576" s="145"/>
      <c r="E576" s="146"/>
      <c r="H576" s="147"/>
    </row>
    <row r="577" spans="1:8" ht="14.25" customHeight="1">
      <c r="A577" s="143"/>
      <c r="B577" s="144"/>
      <c r="D577" s="145"/>
      <c r="E577" s="146"/>
      <c r="H577" s="147"/>
    </row>
    <row r="578" spans="1:8" ht="14.25" customHeight="1">
      <c r="A578" s="143"/>
      <c r="B578" s="144"/>
      <c r="D578" s="145"/>
      <c r="E578" s="146"/>
      <c r="H578" s="147"/>
    </row>
    <row r="579" spans="1:8" ht="14.25" customHeight="1">
      <c r="A579" s="143"/>
      <c r="B579" s="144"/>
      <c r="D579" s="145"/>
      <c r="E579" s="146"/>
      <c r="H579" s="147"/>
    </row>
    <row r="580" spans="1:8" ht="14.25" customHeight="1">
      <c r="A580" s="143"/>
      <c r="B580" s="144"/>
      <c r="D580" s="145"/>
      <c r="E580" s="146"/>
      <c r="H580" s="147"/>
    </row>
    <row r="581" spans="1:8" ht="14.25" customHeight="1">
      <c r="A581" s="143"/>
      <c r="B581" s="144"/>
      <c r="D581" s="145"/>
      <c r="E581" s="146"/>
      <c r="H581" s="147"/>
    </row>
    <row r="582" spans="1:8" ht="14.25" customHeight="1">
      <c r="A582" s="143"/>
      <c r="B582" s="144"/>
      <c r="D582" s="145"/>
      <c r="E582" s="146"/>
      <c r="H582" s="147"/>
    </row>
    <row r="583" spans="1:8" ht="14.25" customHeight="1">
      <c r="A583" s="143"/>
      <c r="B583" s="144"/>
      <c r="D583" s="145"/>
      <c r="E583" s="146"/>
      <c r="H583" s="147"/>
    </row>
    <row r="584" spans="1:8" ht="14.25" customHeight="1">
      <c r="A584" s="143"/>
      <c r="B584" s="144"/>
      <c r="D584" s="145"/>
      <c r="E584" s="146"/>
      <c r="H584" s="147"/>
    </row>
    <row r="585" spans="1:8" ht="14.25" customHeight="1">
      <c r="A585" s="143"/>
      <c r="B585" s="144"/>
      <c r="D585" s="145"/>
      <c r="E585" s="146"/>
      <c r="H585" s="147"/>
    </row>
    <row r="586" spans="1:8" ht="14.25" customHeight="1">
      <c r="A586" s="143"/>
      <c r="B586" s="144"/>
      <c r="D586" s="145"/>
      <c r="E586" s="146"/>
      <c r="H586" s="147"/>
    </row>
    <row r="587" spans="1:8" ht="14.25" customHeight="1">
      <c r="A587" s="143"/>
      <c r="B587" s="144"/>
      <c r="D587" s="145"/>
      <c r="E587" s="146"/>
      <c r="H587" s="147"/>
    </row>
    <row r="588" spans="1:8" ht="14.25" customHeight="1">
      <c r="A588" s="143"/>
      <c r="B588" s="144"/>
      <c r="D588" s="145"/>
      <c r="E588" s="146"/>
      <c r="H588" s="147"/>
    </row>
    <row r="589" spans="1:8" ht="14.25" customHeight="1">
      <c r="A589" s="143"/>
      <c r="B589" s="144"/>
      <c r="D589" s="145"/>
      <c r="E589" s="146"/>
      <c r="H589" s="147"/>
    </row>
    <row r="590" spans="1:8" ht="14.25" customHeight="1">
      <c r="A590" s="143"/>
      <c r="B590" s="144"/>
      <c r="D590" s="145"/>
      <c r="E590" s="146"/>
      <c r="H590" s="147"/>
    </row>
    <row r="591" spans="1:8" ht="14.25" customHeight="1">
      <c r="A591" s="143"/>
      <c r="B591" s="144"/>
      <c r="D591" s="145"/>
      <c r="E591" s="146"/>
      <c r="H591" s="147"/>
    </row>
    <row r="592" spans="1:8" ht="14.25" customHeight="1">
      <c r="A592" s="143"/>
      <c r="B592" s="144"/>
      <c r="D592" s="145"/>
      <c r="E592" s="146"/>
      <c r="H592" s="147"/>
    </row>
    <row r="593" spans="1:8" ht="14.25" customHeight="1">
      <c r="A593" s="143"/>
      <c r="B593" s="144"/>
      <c r="D593" s="145"/>
      <c r="E593" s="146"/>
      <c r="H593" s="147"/>
    </row>
    <row r="594" spans="1:8" ht="14.25" customHeight="1">
      <c r="A594" s="143"/>
      <c r="B594" s="144"/>
      <c r="D594" s="145"/>
      <c r="E594" s="146"/>
      <c r="H594" s="147"/>
    </row>
    <row r="595" spans="1:8" ht="14.25" customHeight="1">
      <c r="A595" s="143"/>
      <c r="B595" s="144"/>
      <c r="D595" s="145"/>
      <c r="E595" s="146"/>
      <c r="H595" s="147"/>
    </row>
    <row r="596" spans="1:8" ht="14.25" customHeight="1">
      <c r="A596" s="143"/>
      <c r="B596" s="144"/>
      <c r="D596" s="145"/>
      <c r="E596" s="146"/>
      <c r="H596" s="147"/>
    </row>
    <row r="597" spans="1:8" ht="14.25" customHeight="1">
      <c r="A597" s="143"/>
      <c r="B597" s="144"/>
      <c r="D597" s="145"/>
      <c r="E597" s="146"/>
      <c r="H597" s="147"/>
    </row>
    <row r="598" spans="1:8" ht="14.25" customHeight="1">
      <c r="A598" s="143"/>
      <c r="B598" s="144"/>
      <c r="D598" s="145"/>
      <c r="E598" s="146"/>
      <c r="H598" s="147"/>
    </row>
    <row r="599" spans="1:8" ht="14.25" customHeight="1">
      <c r="A599" s="143"/>
      <c r="B599" s="144"/>
      <c r="D599" s="145"/>
      <c r="E599" s="146"/>
      <c r="H599" s="147"/>
    </row>
    <row r="600" spans="1:8" ht="14.25" customHeight="1">
      <c r="A600" s="143"/>
      <c r="B600" s="144"/>
      <c r="D600" s="145"/>
      <c r="E600" s="146"/>
      <c r="H600" s="147"/>
    </row>
    <row r="601" spans="1:8" ht="14.25" customHeight="1">
      <c r="A601" s="143"/>
      <c r="B601" s="144"/>
      <c r="D601" s="145"/>
      <c r="E601" s="146"/>
      <c r="H601" s="147"/>
    </row>
    <row r="602" spans="1:8" ht="14.25" customHeight="1">
      <c r="A602" s="143"/>
      <c r="B602" s="144"/>
      <c r="D602" s="145"/>
      <c r="E602" s="146"/>
      <c r="H602" s="147"/>
    </row>
    <row r="603" spans="1:8" ht="14.25" customHeight="1">
      <c r="A603" s="143"/>
      <c r="B603" s="144"/>
      <c r="D603" s="145"/>
      <c r="E603" s="146"/>
      <c r="H603" s="147"/>
    </row>
    <row r="604" spans="1:8" ht="14.25" customHeight="1">
      <c r="A604" s="143"/>
      <c r="B604" s="144"/>
      <c r="D604" s="145"/>
      <c r="E604" s="146"/>
      <c r="H604" s="147"/>
    </row>
    <row r="605" spans="1:8" ht="14.25" customHeight="1">
      <c r="A605" s="143"/>
      <c r="B605" s="144"/>
      <c r="D605" s="145"/>
      <c r="E605" s="146"/>
      <c r="H605" s="147"/>
    </row>
    <row r="606" spans="1:8" ht="14.25" customHeight="1">
      <c r="A606" s="143"/>
      <c r="B606" s="144"/>
      <c r="D606" s="145"/>
      <c r="E606" s="146"/>
      <c r="H606" s="147"/>
    </row>
    <row r="607" spans="1:8" ht="14.25" customHeight="1">
      <c r="A607" s="143"/>
      <c r="B607" s="144"/>
      <c r="D607" s="145"/>
      <c r="E607" s="146"/>
      <c r="H607" s="147"/>
    </row>
    <row r="608" spans="1:8" ht="14.25" customHeight="1">
      <c r="A608" s="143"/>
      <c r="B608" s="144"/>
      <c r="D608" s="145"/>
      <c r="E608" s="146"/>
      <c r="H608" s="147"/>
    </row>
    <row r="609" spans="1:8" ht="14.25" customHeight="1">
      <c r="A609" s="143"/>
      <c r="B609" s="144"/>
      <c r="D609" s="145"/>
      <c r="E609" s="146"/>
      <c r="H609" s="147"/>
    </row>
    <row r="610" spans="1:8" ht="14.25" customHeight="1">
      <c r="A610" s="143"/>
      <c r="B610" s="144"/>
      <c r="D610" s="145"/>
      <c r="E610" s="146"/>
      <c r="H610" s="147"/>
    </row>
    <row r="611" spans="1:8" ht="14.25" customHeight="1">
      <c r="A611" s="143"/>
      <c r="B611" s="144"/>
      <c r="D611" s="145"/>
      <c r="E611" s="146"/>
      <c r="H611" s="147"/>
    </row>
    <row r="612" spans="1:8" ht="14.25" customHeight="1">
      <c r="A612" s="143"/>
      <c r="B612" s="144"/>
      <c r="D612" s="145"/>
      <c r="E612" s="146"/>
      <c r="H612" s="147"/>
    </row>
    <row r="613" spans="1:8" ht="14.25" customHeight="1">
      <c r="A613" s="143"/>
      <c r="B613" s="144"/>
      <c r="D613" s="145"/>
      <c r="E613" s="146"/>
      <c r="H613" s="147"/>
    </row>
    <row r="614" spans="1:8" ht="14.25" customHeight="1">
      <c r="A614" s="143"/>
      <c r="B614" s="144"/>
      <c r="D614" s="145"/>
      <c r="E614" s="146"/>
      <c r="H614" s="147"/>
    </row>
    <row r="615" spans="1:8" ht="14.25" customHeight="1">
      <c r="A615" s="143"/>
      <c r="B615" s="144"/>
      <c r="D615" s="145"/>
      <c r="E615" s="146"/>
      <c r="H615" s="147"/>
    </row>
    <row r="616" spans="1:8" ht="14.25" customHeight="1">
      <c r="A616" s="143"/>
      <c r="B616" s="144"/>
      <c r="D616" s="145"/>
      <c r="E616" s="146"/>
      <c r="H616" s="147"/>
    </row>
    <row r="617" spans="1:8" ht="14.25" customHeight="1">
      <c r="A617" s="143"/>
      <c r="B617" s="144"/>
      <c r="D617" s="145"/>
      <c r="E617" s="146"/>
      <c r="H617" s="147"/>
    </row>
    <row r="618" spans="1:8" ht="14.25" customHeight="1">
      <c r="A618" s="143"/>
      <c r="B618" s="144"/>
      <c r="D618" s="145"/>
      <c r="E618" s="146"/>
      <c r="H618" s="147"/>
    </row>
    <row r="619" spans="1:8" ht="14.25" customHeight="1">
      <c r="A619" s="143"/>
      <c r="B619" s="144"/>
      <c r="D619" s="145"/>
      <c r="E619" s="146"/>
      <c r="H619" s="147"/>
    </row>
    <row r="620" spans="1:8" ht="14.25" customHeight="1">
      <c r="A620" s="143"/>
      <c r="B620" s="144"/>
      <c r="D620" s="145"/>
      <c r="E620" s="146"/>
      <c r="H620" s="147"/>
    </row>
    <row r="621" spans="1:8" ht="14.25" customHeight="1">
      <c r="A621" s="143"/>
      <c r="B621" s="144"/>
      <c r="D621" s="145"/>
      <c r="E621" s="146"/>
      <c r="H621" s="147"/>
    </row>
    <row r="622" spans="1:8" ht="14.25" customHeight="1">
      <c r="A622" s="143"/>
      <c r="B622" s="144"/>
      <c r="D622" s="145"/>
      <c r="E622" s="146"/>
      <c r="H622" s="147"/>
    </row>
    <row r="623" spans="1:8" ht="14.25" customHeight="1">
      <c r="A623" s="143"/>
      <c r="B623" s="144"/>
      <c r="D623" s="145"/>
      <c r="E623" s="146"/>
      <c r="H623" s="147"/>
    </row>
    <row r="624" spans="1:8" ht="14.25" customHeight="1">
      <c r="A624" s="143"/>
      <c r="B624" s="144"/>
      <c r="D624" s="145"/>
      <c r="E624" s="146"/>
      <c r="H624" s="147"/>
    </row>
    <row r="625" spans="1:8" ht="14.25" customHeight="1">
      <c r="A625" s="143"/>
      <c r="B625" s="144"/>
      <c r="D625" s="145"/>
      <c r="E625" s="146"/>
      <c r="H625" s="147"/>
    </row>
    <row r="626" spans="1:8" ht="14.25" customHeight="1">
      <c r="A626" s="143"/>
      <c r="B626" s="144"/>
      <c r="D626" s="145"/>
      <c r="E626" s="146"/>
      <c r="H626" s="147"/>
    </row>
    <row r="627" spans="1:8" ht="14.25" customHeight="1">
      <c r="A627" s="143"/>
      <c r="B627" s="144"/>
      <c r="D627" s="145"/>
      <c r="E627" s="146"/>
      <c r="H627" s="147"/>
    </row>
    <row r="628" spans="1:8" ht="14.25" customHeight="1">
      <c r="A628" s="143"/>
      <c r="B628" s="144"/>
      <c r="D628" s="145"/>
      <c r="E628" s="146"/>
      <c r="H628" s="147"/>
    </row>
    <row r="629" spans="1:8" ht="14.25" customHeight="1">
      <c r="A629" s="143"/>
      <c r="B629" s="144"/>
      <c r="D629" s="145"/>
      <c r="E629" s="146"/>
      <c r="H629" s="147"/>
    </row>
    <row r="630" spans="1:8" ht="14.25" customHeight="1">
      <c r="A630" s="143"/>
      <c r="B630" s="144"/>
      <c r="D630" s="145"/>
      <c r="E630" s="146"/>
      <c r="H630" s="147"/>
    </row>
    <row r="631" spans="1:8" ht="14.25" customHeight="1">
      <c r="A631" s="143"/>
      <c r="B631" s="144"/>
      <c r="D631" s="145"/>
      <c r="E631" s="146"/>
      <c r="H631" s="147"/>
    </row>
    <row r="632" spans="1:8" ht="14.25" customHeight="1">
      <c r="A632" s="143"/>
      <c r="B632" s="144"/>
      <c r="D632" s="145"/>
      <c r="E632" s="146"/>
      <c r="H632" s="147"/>
    </row>
    <row r="633" spans="1:8" ht="14.25" customHeight="1">
      <c r="A633" s="143"/>
      <c r="B633" s="144"/>
      <c r="D633" s="145"/>
      <c r="E633" s="146"/>
      <c r="H633" s="147"/>
    </row>
    <row r="634" spans="1:8" ht="14.25" customHeight="1">
      <c r="A634" s="143"/>
      <c r="B634" s="144"/>
      <c r="D634" s="145"/>
      <c r="E634" s="146"/>
      <c r="H634" s="147"/>
    </row>
    <row r="635" spans="1:8" ht="14.25" customHeight="1">
      <c r="A635" s="143"/>
      <c r="B635" s="144"/>
      <c r="D635" s="145"/>
      <c r="E635" s="146"/>
      <c r="H635" s="147"/>
    </row>
    <row r="636" spans="1:8" ht="14.25" customHeight="1">
      <c r="A636" s="143"/>
      <c r="B636" s="144"/>
      <c r="D636" s="145"/>
      <c r="E636" s="146"/>
      <c r="H636" s="147"/>
    </row>
    <row r="637" spans="1:8" ht="14.25" customHeight="1">
      <c r="A637" s="143"/>
      <c r="B637" s="144"/>
      <c r="D637" s="145"/>
      <c r="E637" s="146"/>
      <c r="H637" s="147"/>
    </row>
    <row r="638" spans="1:8" ht="14.25" customHeight="1">
      <c r="A638" s="143"/>
      <c r="B638" s="144"/>
      <c r="D638" s="145"/>
      <c r="E638" s="146"/>
      <c r="H638" s="147"/>
    </row>
    <row r="639" spans="1:8" ht="14.25" customHeight="1">
      <c r="A639" s="143"/>
      <c r="B639" s="144"/>
      <c r="D639" s="145"/>
      <c r="E639" s="146"/>
      <c r="H639" s="147"/>
    </row>
    <row r="640" spans="1:8" ht="14.25" customHeight="1">
      <c r="A640" s="143"/>
      <c r="B640" s="144"/>
      <c r="D640" s="145"/>
      <c r="E640" s="146"/>
      <c r="H640" s="147"/>
    </row>
    <row r="641" spans="1:8" ht="14.25" customHeight="1">
      <c r="A641" s="143"/>
      <c r="B641" s="144"/>
      <c r="D641" s="145"/>
      <c r="E641" s="146"/>
      <c r="H641" s="147"/>
    </row>
    <row r="642" spans="1:8" ht="14.25" customHeight="1">
      <c r="A642" s="143"/>
      <c r="B642" s="144"/>
      <c r="D642" s="145"/>
      <c r="E642" s="146"/>
      <c r="H642" s="147"/>
    </row>
    <row r="643" spans="1:8" ht="14.25" customHeight="1">
      <c r="A643" s="143"/>
      <c r="B643" s="144"/>
      <c r="D643" s="145"/>
      <c r="E643" s="146"/>
      <c r="H643" s="147"/>
    </row>
    <row r="644" spans="1:8" ht="14.25" customHeight="1">
      <c r="A644" s="143"/>
      <c r="B644" s="144"/>
      <c r="D644" s="145"/>
      <c r="E644" s="146"/>
      <c r="H644" s="147"/>
    </row>
    <row r="645" spans="1:8" ht="14.25" customHeight="1">
      <c r="A645" s="143"/>
      <c r="B645" s="144"/>
      <c r="D645" s="145"/>
      <c r="E645" s="146"/>
      <c r="H645" s="147"/>
    </row>
    <row r="646" spans="1:8" ht="14.25" customHeight="1">
      <c r="A646" s="143"/>
      <c r="B646" s="144"/>
      <c r="D646" s="145"/>
      <c r="E646" s="146"/>
      <c r="H646" s="147"/>
    </row>
    <row r="647" spans="1:8" ht="14.25" customHeight="1">
      <c r="A647" s="143"/>
      <c r="B647" s="144"/>
      <c r="D647" s="145"/>
      <c r="E647" s="146"/>
      <c r="H647" s="147"/>
    </row>
    <row r="648" spans="1:8" ht="14.25" customHeight="1">
      <c r="A648" s="143"/>
      <c r="B648" s="144"/>
      <c r="D648" s="145"/>
      <c r="E648" s="146"/>
      <c r="H648" s="147"/>
    </row>
    <row r="649" spans="1:8" ht="14.25" customHeight="1">
      <c r="A649" s="143"/>
      <c r="B649" s="144"/>
      <c r="D649" s="145"/>
      <c r="E649" s="146"/>
      <c r="H649" s="147"/>
    </row>
    <row r="650" spans="1:8" ht="14.25" customHeight="1">
      <c r="A650" s="143"/>
      <c r="B650" s="144"/>
      <c r="D650" s="145"/>
      <c r="E650" s="146"/>
      <c r="H650" s="147"/>
    </row>
    <row r="651" spans="1:8" ht="14.25" customHeight="1">
      <c r="A651" s="143"/>
      <c r="B651" s="144"/>
      <c r="D651" s="145"/>
      <c r="E651" s="146"/>
      <c r="H651" s="147"/>
    </row>
    <row r="652" spans="1:8" ht="14.25" customHeight="1">
      <c r="A652" s="143"/>
      <c r="B652" s="144"/>
      <c r="D652" s="145"/>
      <c r="E652" s="146"/>
      <c r="H652" s="147"/>
    </row>
    <row r="653" spans="1:8" ht="14.25" customHeight="1">
      <c r="A653" s="143"/>
      <c r="B653" s="144"/>
      <c r="D653" s="145"/>
      <c r="E653" s="146"/>
      <c r="H653" s="147"/>
    </row>
    <row r="654" spans="1:8" ht="14.25" customHeight="1">
      <c r="A654" s="143"/>
      <c r="B654" s="144"/>
      <c r="D654" s="145"/>
      <c r="E654" s="146"/>
      <c r="H654" s="147"/>
    </row>
    <row r="655" spans="1:8" ht="14.25" customHeight="1">
      <c r="A655" s="143"/>
      <c r="B655" s="144"/>
      <c r="D655" s="145"/>
      <c r="E655" s="146"/>
      <c r="H655" s="147"/>
    </row>
    <row r="656" spans="1:8" ht="14.25" customHeight="1">
      <c r="A656" s="143"/>
      <c r="B656" s="144"/>
      <c r="D656" s="145"/>
      <c r="E656" s="146"/>
      <c r="H656" s="147"/>
    </row>
    <row r="657" spans="1:8" ht="14.25" customHeight="1">
      <c r="A657" s="143"/>
      <c r="B657" s="144"/>
      <c r="D657" s="145"/>
      <c r="E657" s="146"/>
      <c r="H657" s="147"/>
    </row>
    <row r="658" spans="1:8" ht="14.25" customHeight="1">
      <c r="A658" s="143"/>
      <c r="B658" s="144"/>
      <c r="D658" s="145"/>
      <c r="E658" s="146"/>
      <c r="H658" s="147"/>
    </row>
    <row r="659" spans="1:8" ht="14.25" customHeight="1">
      <c r="A659" s="143"/>
      <c r="B659" s="144"/>
      <c r="D659" s="145"/>
      <c r="E659" s="146"/>
      <c r="H659" s="147"/>
    </row>
    <row r="660" spans="1:8" ht="14.25" customHeight="1">
      <c r="A660" s="143"/>
      <c r="B660" s="144"/>
      <c r="D660" s="145"/>
      <c r="E660" s="146"/>
      <c r="H660" s="147"/>
    </row>
    <row r="661" spans="1:8" ht="14.25" customHeight="1">
      <c r="A661" s="143"/>
      <c r="B661" s="144"/>
      <c r="D661" s="145"/>
      <c r="E661" s="146"/>
      <c r="H661" s="147"/>
    </row>
    <row r="662" spans="1:8" ht="14.25" customHeight="1">
      <c r="A662" s="143"/>
      <c r="B662" s="144"/>
      <c r="D662" s="145"/>
      <c r="E662" s="146"/>
      <c r="H662" s="147"/>
    </row>
    <row r="663" spans="1:8" ht="14.25" customHeight="1">
      <c r="A663" s="143"/>
      <c r="B663" s="144"/>
      <c r="D663" s="145"/>
      <c r="E663" s="146"/>
      <c r="H663" s="147"/>
    </row>
    <row r="664" spans="1:8" ht="14.25" customHeight="1">
      <c r="A664" s="143"/>
      <c r="B664" s="144"/>
      <c r="D664" s="145"/>
      <c r="E664" s="146"/>
      <c r="H664" s="147"/>
    </row>
    <row r="665" spans="1:8" ht="14.25" customHeight="1">
      <c r="A665" s="143"/>
      <c r="B665" s="144"/>
      <c r="D665" s="145"/>
      <c r="E665" s="146"/>
      <c r="H665" s="147"/>
    </row>
    <row r="666" spans="1:8" ht="14.25" customHeight="1">
      <c r="A666" s="143"/>
      <c r="B666" s="144"/>
      <c r="D666" s="145"/>
      <c r="E666" s="146"/>
      <c r="H666" s="147"/>
    </row>
    <row r="667" spans="1:8" ht="14.25" customHeight="1">
      <c r="A667" s="143"/>
      <c r="B667" s="144"/>
      <c r="D667" s="145"/>
      <c r="E667" s="146"/>
      <c r="H667" s="147"/>
    </row>
    <row r="668" spans="1:8" ht="14.25" customHeight="1">
      <c r="A668" s="143"/>
      <c r="B668" s="144"/>
      <c r="D668" s="145"/>
      <c r="E668" s="146"/>
      <c r="H668" s="147"/>
    </row>
    <row r="669" spans="1:8" ht="14.25" customHeight="1">
      <c r="A669" s="143"/>
      <c r="B669" s="144"/>
      <c r="D669" s="145"/>
      <c r="E669" s="146"/>
      <c r="H669" s="147"/>
    </row>
    <row r="670" spans="1:8" ht="14.25" customHeight="1">
      <c r="A670" s="143"/>
      <c r="B670" s="144"/>
      <c r="D670" s="145"/>
      <c r="E670" s="146"/>
      <c r="H670" s="147"/>
    </row>
    <row r="671" spans="1:8" ht="14.25" customHeight="1">
      <c r="A671" s="143"/>
      <c r="B671" s="144"/>
      <c r="D671" s="145"/>
      <c r="E671" s="146"/>
      <c r="H671" s="147"/>
    </row>
    <row r="672" spans="1:8" ht="14.25" customHeight="1">
      <c r="A672" s="143"/>
      <c r="B672" s="144"/>
      <c r="D672" s="145"/>
      <c r="E672" s="146"/>
      <c r="H672" s="147"/>
    </row>
    <row r="673" spans="1:8" ht="14.25" customHeight="1">
      <c r="A673" s="143"/>
      <c r="B673" s="144"/>
      <c r="D673" s="145"/>
      <c r="E673" s="146"/>
      <c r="H673" s="147"/>
    </row>
    <row r="674" spans="1:8" ht="14.25" customHeight="1">
      <c r="A674" s="143"/>
      <c r="B674" s="144"/>
      <c r="D674" s="145"/>
      <c r="E674" s="146"/>
      <c r="H674" s="147"/>
    </row>
    <row r="675" spans="1:8" ht="14.25" customHeight="1">
      <c r="A675" s="143"/>
      <c r="B675" s="144"/>
      <c r="D675" s="145"/>
      <c r="E675" s="146"/>
      <c r="H675" s="147"/>
    </row>
    <row r="676" spans="1:8" ht="14.25" customHeight="1">
      <c r="A676" s="143"/>
      <c r="B676" s="144"/>
      <c r="D676" s="145"/>
      <c r="E676" s="146"/>
      <c r="H676" s="147"/>
    </row>
    <row r="677" spans="1:8" ht="14.25" customHeight="1">
      <c r="A677" s="143"/>
      <c r="B677" s="144"/>
      <c r="D677" s="145"/>
      <c r="E677" s="146"/>
      <c r="H677" s="147"/>
    </row>
    <row r="678" spans="1:8" ht="14.25" customHeight="1">
      <c r="A678" s="143"/>
      <c r="B678" s="144"/>
      <c r="D678" s="145"/>
      <c r="E678" s="146"/>
      <c r="H678" s="147"/>
    </row>
    <row r="679" spans="1:8" ht="14.25" customHeight="1">
      <c r="A679" s="143"/>
      <c r="B679" s="144"/>
      <c r="D679" s="145"/>
      <c r="E679" s="146"/>
      <c r="H679" s="147"/>
    </row>
    <row r="680" spans="1:8" ht="14.25" customHeight="1">
      <c r="A680" s="143"/>
      <c r="B680" s="144"/>
      <c r="D680" s="145"/>
      <c r="E680" s="146"/>
      <c r="H680" s="147"/>
    </row>
    <row r="681" spans="1:8" ht="14.25" customHeight="1">
      <c r="A681" s="143"/>
      <c r="B681" s="144"/>
      <c r="D681" s="145"/>
      <c r="E681" s="146"/>
      <c r="H681" s="147"/>
    </row>
    <row r="682" spans="1:8" ht="14.25" customHeight="1">
      <c r="A682" s="143"/>
      <c r="B682" s="144"/>
      <c r="D682" s="145"/>
      <c r="E682" s="146"/>
      <c r="H682" s="147"/>
    </row>
    <row r="683" spans="1:8" ht="14.25" customHeight="1">
      <c r="A683" s="143"/>
      <c r="B683" s="144"/>
      <c r="D683" s="145"/>
      <c r="E683" s="146"/>
      <c r="H683" s="147"/>
    </row>
    <row r="684" spans="1:8" ht="14.25" customHeight="1">
      <c r="A684" s="143"/>
      <c r="B684" s="144"/>
      <c r="D684" s="145"/>
      <c r="E684" s="146"/>
      <c r="H684" s="147"/>
    </row>
    <row r="685" spans="1:8" ht="14.25" customHeight="1">
      <c r="A685" s="143"/>
      <c r="B685" s="144"/>
      <c r="D685" s="145"/>
      <c r="E685" s="146"/>
      <c r="H685" s="147"/>
    </row>
    <row r="686" spans="1:8" ht="14.25" customHeight="1">
      <c r="A686" s="143"/>
      <c r="B686" s="144"/>
      <c r="D686" s="145"/>
      <c r="E686" s="146"/>
      <c r="H686" s="147"/>
    </row>
    <row r="687" spans="1:8" ht="14.25" customHeight="1">
      <c r="A687" s="143"/>
      <c r="B687" s="144"/>
      <c r="D687" s="145"/>
      <c r="E687" s="146"/>
      <c r="H687" s="147"/>
    </row>
    <row r="688" spans="1:8" ht="14.25" customHeight="1">
      <c r="A688" s="143"/>
      <c r="B688" s="144"/>
      <c r="D688" s="145"/>
      <c r="E688" s="146"/>
      <c r="H688" s="147"/>
    </row>
    <row r="689" spans="1:8" ht="14.25" customHeight="1">
      <c r="A689" s="143"/>
      <c r="B689" s="144"/>
      <c r="D689" s="145"/>
      <c r="E689" s="146"/>
      <c r="H689" s="147"/>
    </row>
    <row r="690" spans="1:8" ht="14.25" customHeight="1">
      <c r="A690" s="143"/>
      <c r="B690" s="144"/>
      <c r="D690" s="145"/>
      <c r="E690" s="146"/>
      <c r="H690" s="147"/>
    </row>
    <row r="691" spans="1:8" ht="14.25" customHeight="1">
      <c r="A691" s="143"/>
      <c r="B691" s="144"/>
      <c r="D691" s="145"/>
      <c r="E691" s="146"/>
      <c r="H691" s="147"/>
    </row>
    <row r="692" spans="1:8" ht="14.25" customHeight="1">
      <c r="A692" s="143"/>
      <c r="B692" s="144"/>
      <c r="D692" s="145"/>
      <c r="E692" s="146"/>
      <c r="H692" s="147"/>
    </row>
    <row r="693" spans="1:8" ht="14.25" customHeight="1">
      <c r="A693" s="143"/>
      <c r="B693" s="144"/>
      <c r="D693" s="145"/>
      <c r="E693" s="146"/>
      <c r="H693" s="147"/>
    </row>
    <row r="694" spans="1:8" ht="14.25" customHeight="1">
      <c r="A694" s="143"/>
      <c r="B694" s="144"/>
      <c r="D694" s="145"/>
      <c r="E694" s="146"/>
      <c r="H694" s="147"/>
    </row>
    <row r="695" spans="1:8" ht="14.25" customHeight="1">
      <c r="A695" s="143"/>
      <c r="B695" s="144"/>
      <c r="D695" s="145"/>
      <c r="E695" s="146"/>
      <c r="H695" s="147"/>
    </row>
    <row r="696" spans="1:8" ht="14.25" customHeight="1">
      <c r="A696" s="143"/>
      <c r="B696" s="144"/>
      <c r="D696" s="145"/>
      <c r="E696" s="146"/>
      <c r="H696" s="147"/>
    </row>
    <row r="697" spans="1:8" ht="14.25" customHeight="1">
      <c r="A697" s="143"/>
      <c r="B697" s="144"/>
      <c r="D697" s="145"/>
      <c r="E697" s="146"/>
      <c r="H697" s="147"/>
    </row>
    <row r="698" spans="1:8" ht="14.25" customHeight="1">
      <c r="A698" s="143"/>
      <c r="B698" s="144"/>
      <c r="D698" s="145"/>
      <c r="E698" s="146"/>
      <c r="H698" s="147"/>
    </row>
    <row r="699" spans="1:8" ht="14.25" customHeight="1">
      <c r="A699" s="143"/>
      <c r="B699" s="144"/>
      <c r="D699" s="145"/>
      <c r="E699" s="146"/>
      <c r="H699" s="147"/>
    </row>
    <row r="700" spans="1:8" ht="14.25" customHeight="1">
      <c r="A700" s="143"/>
      <c r="B700" s="144"/>
      <c r="D700" s="145"/>
      <c r="E700" s="146"/>
      <c r="H700" s="147"/>
    </row>
    <row r="701" spans="1:8" ht="14.25" customHeight="1">
      <c r="A701" s="143"/>
      <c r="B701" s="144"/>
      <c r="D701" s="145"/>
      <c r="E701" s="146"/>
      <c r="H701" s="147"/>
    </row>
    <row r="702" spans="1:8" ht="14.25" customHeight="1">
      <c r="A702" s="143"/>
      <c r="B702" s="144"/>
      <c r="D702" s="145"/>
      <c r="E702" s="146"/>
      <c r="H702" s="147"/>
    </row>
    <row r="703" spans="1:8" ht="14.25" customHeight="1">
      <c r="A703" s="143"/>
      <c r="B703" s="144"/>
      <c r="D703" s="145"/>
      <c r="E703" s="146"/>
      <c r="H703" s="147"/>
    </row>
    <row r="704" spans="1:8" ht="14.25" customHeight="1">
      <c r="A704" s="143"/>
      <c r="B704" s="144"/>
      <c r="D704" s="145"/>
      <c r="E704" s="146"/>
      <c r="H704" s="147"/>
    </row>
    <row r="705" spans="1:8" ht="14.25" customHeight="1">
      <c r="A705" s="143"/>
      <c r="B705" s="144"/>
      <c r="D705" s="145"/>
      <c r="E705" s="146"/>
      <c r="H705" s="147"/>
    </row>
    <row r="706" spans="1:8" ht="14.25" customHeight="1">
      <c r="A706" s="143"/>
      <c r="B706" s="144"/>
      <c r="D706" s="145"/>
      <c r="E706" s="146"/>
      <c r="H706" s="147"/>
    </row>
    <row r="707" spans="1:8" ht="14.25" customHeight="1">
      <c r="A707" s="143"/>
      <c r="B707" s="144"/>
      <c r="D707" s="145"/>
      <c r="E707" s="146"/>
      <c r="H707" s="147"/>
    </row>
    <row r="708" spans="1:8" ht="14.25" customHeight="1">
      <c r="A708" s="143"/>
      <c r="B708" s="144"/>
      <c r="D708" s="145"/>
      <c r="E708" s="146"/>
      <c r="H708" s="147"/>
    </row>
    <row r="709" spans="1:8" ht="14.25" customHeight="1">
      <c r="A709" s="143"/>
      <c r="B709" s="144"/>
      <c r="D709" s="145"/>
      <c r="E709" s="146"/>
      <c r="H709" s="147"/>
    </row>
    <row r="710" spans="1:8" ht="14.25" customHeight="1">
      <c r="A710" s="143"/>
      <c r="B710" s="144"/>
      <c r="D710" s="145"/>
      <c r="E710" s="146"/>
      <c r="H710" s="147"/>
    </row>
    <row r="711" spans="1:8" ht="14.25" customHeight="1">
      <c r="A711" s="143"/>
      <c r="B711" s="144"/>
      <c r="D711" s="145"/>
      <c r="E711" s="146"/>
      <c r="H711" s="147"/>
    </row>
    <row r="712" spans="1:8" ht="14.25" customHeight="1">
      <c r="A712" s="143"/>
      <c r="B712" s="144"/>
      <c r="D712" s="145"/>
      <c r="E712" s="146"/>
      <c r="H712" s="147"/>
    </row>
    <row r="713" spans="1:8" ht="14.25" customHeight="1">
      <c r="A713" s="143"/>
      <c r="B713" s="144"/>
      <c r="D713" s="145"/>
      <c r="E713" s="146"/>
      <c r="H713" s="147"/>
    </row>
    <row r="714" spans="1:8" ht="14.25" customHeight="1">
      <c r="A714" s="143"/>
      <c r="B714" s="144"/>
      <c r="D714" s="145"/>
      <c r="E714" s="146"/>
      <c r="H714" s="147"/>
    </row>
    <row r="715" spans="1:8" ht="14.25" customHeight="1">
      <c r="A715" s="143"/>
      <c r="B715" s="144"/>
      <c r="D715" s="145"/>
      <c r="E715" s="146"/>
      <c r="H715" s="147"/>
    </row>
    <row r="716" spans="1:8" ht="14.25" customHeight="1">
      <c r="A716" s="143"/>
      <c r="B716" s="144"/>
      <c r="D716" s="145"/>
      <c r="E716" s="146"/>
      <c r="H716" s="147"/>
    </row>
    <row r="717" spans="1:8" ht="14.25" customHeight="1">
      <c r="A717" s="143"/>
      <c r="B717" s="144"/>
      <c r="D717" s="145"/>
      <c r="E717" s="146"/>
      <c r="H717" s="147"/>
    </row>
    <row r="718" spans="1:8" ht="14.25" customHeight="1">
      <c r="A718" s="143"/>
      <c r="B718" s="144"/>
      <c r="D718" s="145"/>
      <c r="E718" s="146"/>
      <c r="H718" s="147"/>
    </row>
    <row r="719" spans="1:8" ht="14.25" customHeight="1">
      <c r="A719" s="143"/>
      <c r="B719" s="144"/>
      <c r="D719" s="145"/>
      <c r="E719" s="146"/>
      <c r="H719" s="147"/>
    </row>
    <row r="720" spans="1:8" ht="14.25" customHeight="1">
      <c r="A720" s="143"/>
      <c r="B720" s="144"/>
      <c r="D720" s="145"/>
      <c r="E720" s="146"/>
      <c r="H720" s="147"/>
    </row>
    <row r="721" spans="1:8" ht="14.25" customHeight="1">
      <c r="A721" s="143"/>
      <c r="B721" s="144"/>
      <c r="D721" s="145"/>
      <c r="E721" s="146"/>
      <c r="H721" s="147"/>
    </row>
    <row r="722" spans="1:8" ht="14.25" customHeight="1">
      <c r="A722" s="143"/>
      <c r="B722" s="144"/>
      <c r="D722" s="145"/>
      <c r="E722" s="146"/>
      <c r="H722" s="147"/>
    </row>
    <row r="723" spans="1:8" ht="14.25" customHeight="1">
      <c r="A723" s="143"/>
      <c r="B723" s="144"/>
      <c r="D723" s="145"/>
      <c r="E723" s="146"/>
      <c r="H723" s="147"/>
    </row>
    <row r="724" spans="1:8" ht="14.25" customHeight="1">
      <c r="A724" s="143"/>
      <c r="B724" s="144"/>
      <c r="D724" s="145"/>
      <c r="E724" s="146"/>
      <c r="H724" s="147"/>
    </row>
    <row r="725" spans="1:8" ht="14.25" customHeight="1">
      <c r="A725" s="143"/>
      <c r="B725" s="144"/>
      <c r="D725" s="145"/>
      <c r="E725" s="146"/>
      <c r="H725" s="147"/>
    </row>
    <row r="726" spans="1:8" ht="14.25" customHeight="1">
      <c r="A726" s="143"/>
      <c r="B726" s="144"/>
      <c r="D726" s="145"/>
      <c r="E726" s="146"/>
      <c r="H726" s="147"/>
    </row>
    <row r="727" spans="1:8" ht="14.25" customHeight="1">
      <c r="A727" s="143"/>
      <c r="B727" s="144"/>
      <c r="D727" s="145"/>
      <c r="E727" s="146"/>
      <c r="H727" s="147"/>
    </row>
    <row r="728" spans="1:8" ht="14.25" customHeight="1">
      <c r="A728" s="143"/>
      <c r="B728" s="144"/>
      <c r="D728" s="145"/>
      <c r="E728" s="146"/>
      <c r="H728" s="147"/>
    </row>
    <row r="729" spans="1:8" ht="14.25" customHeight="1">
      <c r="A729" s="143"/>
      <c r="B729" s="144"/>
      <c r="D729" s="145"/>
      <c r="E729" s="146"/>
      <c r="H729" s="147"/>
    </row>
    <row r="730" spans="1:8" ht="14.25" customHeight="1">
      <c r="A730" s="143"/>
      <c r="B730" s="144"/>
      <c r="D730" s="145"/>
      <c r="E730" s="146"/>
      <c r="H730" s="147"/>
    </row>
    <row r="731" spans="1:8" ht="14.25" customHeight="1">
      <c r="A731" s="143"/>
      <c r="B731" s="144"/>
      <c r="D731" s="145"/>
      <c r="E731" s="146"/>
      <c r="H731" s="147"/>
    </row>
    <row r="732" spans="1:8" ht="14.25" customHeight="1">
      <c r="A732" s="143"/>
      <c r="B732" s="144"/>
      <c r="D732" s="145"/>
      <c r="E732" s="146"/>
      <c r="H732" s="147"/>
    </row>
    <row r="733" spans="1:8" ht="14.25" customHeight="1">
      <c r="A733" s="143"/>
      <c r="B733" s="144"/>
      <c r="D733" s="145"/>
      <c r="E733" s="146"/>
      <c r="H733" s="147"/>
    </row>
    <row r="734" spans="1:8" ht="14.25" customHeight="1">
      <c r="A734" s="143"/>
      <c r="B734" s="144"/>
      <c r="D734" s="145"/>
      <c r="E734" s="146"/>
      <c r="H734" s="147"/>
    </row>
    <row r="735" spans="1:8" ht="14.25" customHeight="1">
      <c r="A735" s="143"/>
      <c r="B735" s="144"/>
      <c r="D735" s="145"/>
      <c r="E735" s="146"/>
      <c r="H735" s="147"/>
    </row>
    <row r="736" spans="1:8" ht="14.25" customHeight="1">
      <c r="A736" s="143"/>
      <c r="B736" s="144"/>
      <c r="D736" s="145"/>
      <c r="E736" s="146"/>
      <c r="H736" s="147"/>
    </row>
    <row r="737" spans="1:8" ht="14.25" customHeight="1">
      <c r="A737" s="143"/>
      <c r="B737" s="144"/>
      <c r="D737" s="145"/>
      <c r="E737" s="146"/>
      <c r="H737" s="147"/>
    </row>
    <row r="738" spans="1:8" ht="14.25" customHeight="1">
      <c r="A738" s="143"/>
      <c r="B738" s="144"/>
      <c r="D738" s="145"/>
      <c r="E738" s="146"/>
      <c r="H738" s="147"/>
    </row>
    <row r="739" spans="1:8" ht="14.25" customHeight="1">
      <c r="A739" s="143"/>
      <c r="B739" s="144"/>
      <c r="D739" s="145"/>
      <c r="E739" s="146"/>
      <c r="H739" s="147"/>
    </row>
    <row r="740" spans="1:8" ht="14.25" customHeight="1">
      <c r="A740" s="143"/>
      <c r="B740" s="144"/>
      <c r="D740" s="145"/>
      <c r="E740" s="146"/>
      <c r="H740" s="147"/>
    </row>
    <row r="741" spans="1:8" ht="14.25" customHeight="1">
      <c r="A741" s="143"/>
      <c r="B741" s="144"/>
      <c r="D741" s="145"/>
      <c r="E741" s="146"/>
      <c r="H741" s="147"/>
    </row>
    <row r="742" spans="1:8" ht="14.25" customHeight="1">
      <c r="A742" s="143"/>
      <c r="B742" s="144"/>
      <c r="D742" s="145"/>
      <c r="E742" s="146"/>
      <c r="H742" s="147"/>
    </row>
    <row r="743" spans="1:8" ht="14.25" customHeight="1">
      <c r="A743" s="143"/>
      <c r="B743" s="144"/>
      <c r="D743" s="145"/>
      <c r="E743" s="146"/>
      <c r="H743" s="147"/>
    </row>
    <row r="744" spans="1:8" ht="14.25" customHeight="1">
      <c r="A744" s="143"/>
      <c r="B744" s="144"/>
      <c r="D744" s="145"/>
      <c r="E744" s="146"/>
      <c r="H744" s="147"/>
    </row>
    <row r="745" spans="1:8" ht="14.25" customHeight="1">
      <c r="A745" s="143"/>
      <c r="B745" s="144"/>
      <c r="D745" s="145"/>
      <c r="E745" s="146"/>
      <c r="H745" s="147"/>
    </row>
    <row r="746" spans="1:8" ht="14.25" customHeight="1">
      <c r="A746" s="143"/>
      <c r="B746" s="144"/>
      <c r="D746" s="145"/>
      <c r="E746" s="146"/>
      <c r="H746" s="147"/>
    </row>
    <row r="747" spans="1:8" ht="14.25" customHeight="1">
      <c r="A747" s="143"/>
      <c r="B747" s="144"/>
      <c r="D747" s="145"/>
      <c r="E747" s="146"/>
      <c r="H747" s="147"/>
    </row>
    <row r="748" spans="1:8" ht="14.25" customHeight="1">
      <c r="A748" s="143"/>
      <c r="B748" s="144"/>
      <c r="D748" s="145"/>
      <c r="E748" s="146"/>
      <c r="H748" s="147"/>
    </row>
    <row r="749" spans="1:8" ht="14.25" customHeight="1">
      <c r="A749" s="143"/>
      <c r="B749" s="144"/>
      <c r="D749" s="145"/>
      <c r="E749" s="146"/>
      <c r="H749" s="147"/>
    </row>
    <row r="750" spans="1:8" ht="14.25" customHeight="1">
      <c r="A750" s="143"/>
      <c r="B750" s="144"/>
      <c r="D750" s="145"/>
      <c r="E750" s="146"/>
      <c r="H750" s="147"/>
    </row>
    <row r="751" spans="1:8" ht="14.25" customHeight="1">
      <c r="A751" s="143"/>
      <c r="B751" s="144"/>
      <c r="D751" s="145"/>
      <c r="E751" s="146"/>
      <c r="H751" s="147"/>
    </row>
    <row r="752" spans="1:8" ht="14.25" customHeight="1">
      <c r="A752" s="143"/>
      <c r="B752" s="144"/>
      <c r="D752" s="145"/>
      <c r="E752" s="146"/>
      <c r="H752" s="147"/>
    </row>
    <row r="753" spans="1:8" ht="14.25" customHeight="1">
      <c r="A753" s="143"/>
      <c r="B753" s="144"/>
      <c r="D753" s="145"/>
      <c r="E753" s="146"/>
      <c r="H753" s="147"/>
    </row>
    <row r="754" spans="1:8" ht="14.25" customHeight="1">
      <c r="A754" s="143"/>
      <c r="B754" s="144"/>
      <c r="D754" s="145"/>
      <c r="E754" s="146"/>
      <c r="H754" s="147"/>
    </row>
    <row r="755" spans="1:8" ht="14.25" customHeight="1">
      <c r="A755" s="143"/>
      <c r="B755" s="144"/>
      <c r="D755" s="145"/>
      <c r="E755" s="146"/>
      <c r="H755" s="147"/>
    </row>
    <row r="756" spans="1:8" ht="14.25" customHeight="1">
      <c r="A756" s="143"/>
      <c r="B756" s="144"/>
      <c r="D756" s="145"/>
      <c r="E756" s="146"/>
      <c r="H756" s="147"/>
    </row>
    <row r="757" spans="1:8" ht="14.25" customHeight="1">
      <c r="A757" s="143"/>
      <c r="B757" s="144"/>
      <c r="D757" s="145"/>
      <c r="E757" s="146"/>
      <c r="H757" s="147"/>
    </row>
    <row r="758" spans="1:8" ht="14.25" customHeight="1">
      <c r="A758" s="143"/>
      <c r="B758" s="144"/>
      <c r="D758" s="145"/>
      <c r="E758" s="146"/>
      <c r="H758" s="147"/>
    </row>
    <row r="759" spans="1:8" ht="14.25" customHeight="1">
      <c r="A759" s="143"/>
      <c r="B759" s="144"/>
      <c r="D759" s="145"/>
      <c r="E759" s="146"/>
      <c r="H759" s="147"/>
    </row>
    <row r="760" spans="1:8" ht="14.25" customHeight="1">
      <c r="A760" s="143"/>
      <c r="B760" s="144"/>
      <c r="D760" s="145"/>
      <c r="E760" s="146"/>
      <c r="H760" s="147"/>
    </row>
    <row r="761" spans="1:8" ht="14.25" customHeight="1">
      <c r="A761" s="143"/>
      <c r="B761" s="144"/>
      <c r="D761" s="145"/>
      <c r="E761" s="146"/>
      <c r="H761" s="147"/>
    </row>
    <row r="762" spans="1:8" ht="14.25" customHeight="1">
      <c r="A762" s="143"/>
      <c r="B762" s="144"/>
      <c r="D762" s="145"/>
      <c r="E762" s="146"/>
      <c r="H762" s="147"/>
    </row>
    <row r="763" spans="1:8" ht="14.25" customHeight="1">
      <c r="A763" s="143"/>
      <c r="B763" s="144"/>
      <c r="D763" s="145"/>
      <c r="E763" s="146"/>
      <c r="H763" s="147"/>
    </row>
    <row r="764" spans="1:8" ht="14.25" customHeight="1">
      <c r="A764" s="143"/>
      <c r="B764" s="144"/>
      <c r="D764" s="145"/>
      <c r="E764" s="146"/>
      <c r="H764" s="147"/>
    </row>
    <row r="765" spans="1:8" ht="14.25" customHeight="1">
      <c r="A765" s="143"/>
      <c r="B765" s="144"/>
      <c r="D765" s="145"/>
      <c r="E765" s="146"/>
      <c r="H765" s="147"/>
    </row>
    <row r="766" spans="1:8" ht="14.25" customHeight="1">
      <c r="A766" s="143"/>
      <c r="B766" s="144"/>
      <c r="D766" s="145"/>
      <c r="E766" s="146"/>
      <c r="H766" s="147"/>
    </row>
    <row r="767" spans="1:8" ht="14.25" customHeight="1">
      <c r="A767" s="143"/>
      <c r="B767" s="144"/>
      <c r="D767" s="145"/>
      <c r="E767" s="146"/>
      <c r="H767" s="147"/>
    </row>
    <row r="768" spans="1:8" ht="14.25" customHeight="1">
      <c r="A768" s="143"/>
      <c r="B768" s="144"/>
      <c r="D768" s="145"/>
      <c r="E768" s="146"/>
      <c r="H768" s="147"/>
    </row>
    <row r="769" spans="1:8" ht="14.25" customHeight="1">
      <c r="A769" s="143"/>
      <c r="B769" s="144"/>
      <c r="D769" s="145"/>
      <c r="E769" s="146"/>
      <c r="H769" s="147"/>
    </row>
    <row r="770" spans="1:8" ht="14.25" customHeight="1">
      <c r="A770" s="143"/>
      <c r="B770" s="144"/>
      <c r="D770" s="145"/>
      <c r="E770" s="146"/>
      <c r="H770" s="147"/>
    </row>
    <row r="771" spans="1:8" ht="14.25" customHeight="1">
      <c r="A771" s="143"/>
      <c r="B771" s="144"/>
      <c r="D771" s="145"/>
      <c r="E771" s="146"/>
      <c r="H771" s="147"/>
    </row>
    <row r="772" spans="1:8" ht="14.25" customHeight="1">
      <c r="A772" s="143"/>
      <c r="B772" s="144"/>
      <c r="D772" s="145"/>
      <c r="E772" s="146"/>
      <c r="H772" s="147"/>
    </row>
    <row r="773" spans="1:8" ht="14.25" customHeight="1">
      <c r="A773" s="143"/>
      <c r="B773" s="144"/>
      <c r="D773" s="145"/>
      <c r="E773" s="146"/>
      <c r="H773" s="147"/>
    </row>
    <row r="774" spans="1:8" ht="14.25" customHeight="1">
      <c r="A774" s="143"/>
      <c r="B774" s="144"/>
      <c r="D774" s="145"/>
      <c r="E774" s="146"/>
      <c r="H774" s="147"/>
    </row>
    <row r="775" spans="1:8" ht="14.25" customHeight="1">
      <c r="A775" s="143"/>
      <c r="B775" s="144"/>
      <c r="D775" s="145"/>
      <c r="E775" s="146"/>
      <c r="H775" s="147"/>
    </row>
    <row r="776" spans="1:8" ht="14.25" customHeight="1">
      <c r="A776" s="143"/>
      <c r="B776" s="144"/>
      <c r="D776" s="145"/>
      <c r="E776" s="146"/>
      <c r="H776" s="147"/>
    </row>
    <row r="777" spans="1:8" ht="14.25" customHeight="1">
      <c r="A777" s="143"/>
      <c r="B777" s="144"/>
      <c r="D777" s="145"/>
      <c r="E777" s="146"/>
      <c r="H777" s="147"/>
    </row>
    <row r="778" spans="1:8" ht="14.25" customHeight="1">
      <c r="A778" s="143"/>
      <c r="B778" s="144"/>
      <c r="D778" s="145"/>
      <c r="E778" s="146"/>
      <c r="H778" s="147"/>
    </row>
    <row r="779" spans="1:8" ht="14.25" customHeight="1">
      <c r="A779" s="143"/>
      <c r="B779" s="144"/>
      <c r="D779" s="145"/>
      <c r="E779" s="146"/>
      <c r="H779" s="147"/>
    </row>
    <row r="780" spans="1:8" ht="14.25" customHeight="1">
      <c r="A780" s="143"/>
      <c r="B780" s="144"/>
      <c r="D780" s="145"/>
      <c r="E780" s="146"/>
      <c r="H780" s="147"/>
    </row>
    <row r="781" spans="1:8" ht="14.25" customHeight="1">
      <c r="A781" s="143"/>
      <c r="B781" s="144"/>
      <c r="D781" s="145"/>
      <c r="E781" s="146"/>
      <c r="H781" s="147"/>
    </row>
    <row r="782" spans="1:8" ht="14.25" customHeight="1">
      <c r="A782" s="143"/>
      <c r="B782" s="144"/>
      <c r="D782" s="145"/>
      <c r="E782" s="146"/>
      <c r="H782" s="147"/>
    </row>
    <row r="783" spans="1:8" ht="14.25" customHeight="1">
      <c r="A783" s="143"/>
      <c r="B783" s="144"/>
      <c r="D783" s="145"/>
      <c r="E783" s="146"/>
      <c r="H783" s="147"/>
    </row>
    <row r="784" spans="1:8" ht="14.25" customHeight="1">
      <c r="A784" s="143"/>
      <c r="B784" s="144"/>
      <c r="D784" s="145"/>
      <c r="E784" s="146"/>
      <c r="H784" s="147"/>
    </row>
    <row r="785" spans="1:8" ht="14.25" customHeight="1">
      <c r="A785" s="143"/>
      <c r="B785" s="144"/>
      <c r="D785" s="145"/>
      <c r="E785" s="146"/>
      <c r="H785" s="147"/>
    </row>
    <row r="786" spans="1:8" ht="14.25" customHeight="1">
      <c r="A786" s="143"/>
      <c r="B786" s="144"/>
      <c r="D786" s="145"/>
      <c r="E786" s="146"/>
      <c r="H786" s="147"/>
    </row>
    <row r="787" spans="1:8" ht="14.25" customHeight="1">
      <c r="A787" s="143"/>
      <c r="B787" s="144"/>
      <c r="D787" s="145"/>
      <c r="E787" s="146"/>
      <c r="H787" s="147"/>
    </row>
    <row r="788" spans="1:8" ht="14.25" customHeight="1">
      <c r="A788" s="143"/>
      <c r="B788" s="144"/>
      <c r="D788" s="145"/>
      <c r="E788" s="146"/>
      <c r="H788" s="147"/>
    </row>
    <row r="789" spans="1:8" ht="14.25" customHeight="1">
      <c r="A789" s="143"/>
      <c r="B789" s="144"/>
      <c r="D789" s="145"/>
      <c r="E789" s="146"/>
      <c r="H789" s="147"/>
    </row>
    <row r="790" spans="1:8" ht="14.25" customHeight="1">
      <c r="A790" s="143"/>
      <c r="B790" s="144"/>
      <c r="D790" s="145"/>
      <c r="E790" s="146"/>
      <c r="H790" s="147"/>
    </row>
    <row r="791" spans="1:8" ht="14.25" customHeight="1">
      <c r="A791" s="143"/>
      <c r="B791" s="144"/>
      <c r="D791" s="145"/>
      <c r="E791" s="146"/>
      <c r="H791" s="147"/>
    </row>
    <row r="792" spans="1:8" ht="14.25" customHeight="1">
      <c r="A792" s="143"/>
      <c r="B792" s="144"/>
      <c r="D792" s="145"/>
      <c r="E792" s="146"/>
      <c r="H792" s="147"/>
    </row>
    <row r="793" spans="1:8" ht="14.25" customHeight="1">
      <c r="A793" s="143"/>
      <c r="B793" s="144"/>
      <c r="D793" s="145"/>
      <c r="E793" s="146"/>
      <c r="H793" s="147"/>
    </row>
    <row r="794" spans="1:8" ht="14.25" customHeight="1">
      <c r="A794" s="143"/>
      <c r="B794" s="144"/>
      <c r="D794" s="145"/>
      <c r="E794" s="146"/>
      <c r="H794" s="147"/>
    </row>
    <row r="795" spans="1:8" ht="14.25" customHeight="1">
      <c r="A795" s="143"/>
      <c r="B795" s="144"/>
      <c r="D795" s="145"/>
      <c r="E795" s="146"/>
      <c r="H795" s="147"/>
    </row>
    <row r="796" spans="1:8" ht="14.25" customHeight="1">
      <c r="A796" s="143"/>
      <c r="B796" s="144"/>
      <c r="D796" s="145"/>
      <c r="E796" s="146"/>
      <c r="H796" s="147"/>
    </row>
    <row r="797" spans="1:8" ht="14.25" customHeight="1">
      <c r="A797" s="143"/>
      <c r="B797" s="144"/>
      <c r="D797" s="145"/>
      <c r="E797" s="146"/>
      <c r="H797" s="147"/>
    </row>
    <row r="798" spans="1:8" ht="14.25" customHeight="1">
      <c r="A798" s="143"/>
      <c r="B798" s="144"/>
      <c r="D798" s="145"/>
      <c r="E798" s="146"/>
      <c r="H798" s="147"/>
    </row>
    <row r="799" spans="1:8" ht="14.25" customHeight="1">
      <c r="A799" s="143"/>
      <c r="B799" s="144"/>
      <c r="D799" s="145"/>
      <c r="E799" s="146"/>
      <c r="H799" s="147"/>
    </row>
    <row r="800" spans="1:8" ht="14.25" customHeight="1">
      <c r="A800" s="143"/>
      <c r="B800" s="144"/>
      <c r="D800" s="145"/>
      <c r="E800" s="146"/>
      <c r="H800" s="147"/>
    </row>
    <row r="801" spans="1:8" ht="14.25" customHeight="1">
      <c r="A801" s="143"/>
      <c r="B801" s="144"/>
      <c r="D801" s="145"/>
      <c r="E801" s="146"/>
      <c r="H801" s="147"/>
    </row>
    <row r="802" spans="1:8" ht="14.25" customHeight="1">
      <c r="A802" s="143"/>
      <c r="B802" s="144"/>
      <c r="D802" s="145"/>
      <c r="E802" s="146"/>
      <c r="H802" s="147"/>
    </row>
    <row r="803" spans="1:8" ht="14.25" customHeight="1">
      <c r="A803" s="143"/>
      <c r="B803" s="144"/>
      <c r="D803" s="145"/>
      <c r="E803" s="146"/>
      <c r="H803" s="147"/>
    </row>
    <row r="804" spans="1:8" ht="14.25" customHeight="1">
      <c r="A804" s="143"/>
      <c r="B804" s="144"/>
      <c r="D804" s="145"/>
      <c r="E804" s="146"/>
      <c r="H804" s="147"/>
    </row>
    <row r="805" spans="1:8" ht="14.25" customHeight="1">
      <c r="A805" s="143"/>
      <c r="B805" s="144"/>
      <c r="D805" s="145"/>
      <c r="E805" s="146"/>
      <c r="H805" s="147"/>
    </row>
    <row r="806" spans="1:8" ht="14.25" customHeight="1">
      <c r="A806" s="143"/>
      <c r="B806" s="144"/>
      <c r="D806" s="145"/>
      <c r="E806" s="146"/>
      <c r="H806" s="147"/>
    </row>
    <row r="807" spans="1:8" ht="14.25" customHeight="1">
      <c r="A807" s="143"/>
      <c r="B807" s="144"/>
      <c r="D807" s="145"/>
      <c r="E807" s="146"/>
      <c r="H807" s="147"/>
    </row>
    <row r="808" spans="1:8" ht="14.25" customHeight="1">
      <c r="A808" s="143"/>
      <c r="B808" s="144"/>
      <c r="D808" s="145"/>
      <c r="E808" s="146"/>
      <c r="H808" s="147"/>
    </row>
    <row r="809" spans="1:8" ht="14.25" customHeight="1">
      <c r="A809" s="143"/>
      <c r="B809" s="144"/>
      <c r="D809" s="145"/>
      <c r="E809" s="146"/>
      <c r="H809" s="147"/>
    </row>
    <row r="810" spans="1:8" ht="14.25" customHeight="1">
      <c r="A810" s="143"/>
      <c r="B810" s="144"/>
      <c r="D810" s="145"/>
      <c r="E810" s="146"/>
      <c r="H810" s="147"/>
    </row>
    <row r="811" spans="1:8" ht="14.25" customHeight="1">
      <c r="A811" s="143"/>
      <c r="B811" s="144"/>
      <c r="D811" s="145"/>
      <c r="E811" s="146"/>
      <c r="H811" s="147"/>
    </row>
    <row r="812" spans="1:8" ht="14.25" customHeight="1">
      <c r="A812" s="143"/>
      <c r="B812" s="144"/>
      <c r="D812" s="145"/>
      <c r="E812" s="146"/>
      <c r="H812" s="147"/>
    </row>
    <row r="813" spans="1:8" ht="14.25" customHeight="1">
      <c r="A813" s="143"/>
      <c r="B813" s="144"/>
      <c r="D813" s="145"/>
      <c r="E813" s="146"/>
      <c r="H813" s="147"/>
    </row>
    <row r="814" spans="1:8" ht="14.25" customHeight="1">
      <c r="A814" s="143"/>
      <c r="B814" s="144"/>
      <c r="D814" s="145"/>
      <c r="E814" s="146"/>
      <c r="H814" s="147"/>
    </row>
    <row r="815" spans="1:8" ht="14.25" customHeight="1">
      <c r="A815" s="143"/>
      <c r="B815" s="144"/>
      <c r="D815" s="145"/>
      <c r="E815" s="146"/>
      <c r="H815" s="147"/>
    </row>
    <row r="816" spans="1:8" ht="14.25" customHeight="1">
      <c r="A816" s="143"/>
      <c r="B816" s="144"/>
      <c r="D816" s="145"/>
      <c r="E816" s="146"/>
      <c r="H816" s="147"/>
    </row>
    <row r="817" spans="1:8" ht="14.25" customHeight="1">
      <c r="A817" s="143"/>
      <c r="B817" s="144"/>
      <c r="D817" s="145"/>
      <c r="E817" s="146"/>
      <c r="H817" s="147"/>
    </row>
    <row r="818" spans="1:8" ht="14.25" customHeight="1">
      <c r="A818" s="143"/>
      <c r="B818" s="144"/>
      <c r="D818" s="145"/>
      <c r="E818" s="146"/>
      <c r="H818" s="147"/>
    </row>
    <row r="819" spans="1:8" ht="14.25" customHeight="1">
      <c r="A819" s="143"/>
      <c r="B819" s="144"/>
      <c r="D819" s="145"/>
      <c r="E819" s="146"/>
      <c r="H819" s="147"/>
    </row>
    <row r="820" spans="1:8" ht="14.25" customHeight="1">
      <c r="A820" s="143"/>
      <c r="B820" s="144"/>
      <c r="D820" s="145"/>
      <c r="E820" s="146"/>
      <c r="H820" s="147"/>
    </row>
    <row r="821" spans="1:8" ht="14.25" customHeight="1">
      <c r="A821" s="143"/>
      <c r="B821" s="144"/>
      <c r="D821" s="145"/>
      <c r="E821" s="146"/>
      <c r="H821" s="147"/>
    </row>
    <row r="822" spans="1:8" ht="14.25" customHeight="1">
      <c r="A822" s="143"/>
      <c r="B822" s="144"/>
      <c r="D822" s="145"/>
      <c r="E822" s="146"/>
      <c r="H822" s="147"/>
    </row>
    <row r="823" spans="1:8" ht="14.25" customHeight="1">
      <c r="A823" s="143"/>
      <c r="B823" s="144"/>
      <c r="D823" s="145"/>
      <c r="E823" s="146"/>
      <c r="H823" s="147"/>
    </row>
    <row r="824" spans="1:8" ht="14.25" customHeight="1">
      <c r="A824" s="143"/>
      <c r="B824" s="144"/>
      <c r="D824" s="145"/>
      <c r="E824" s="146"/>
      <c r="H824" s="147"/>
    </row>
    <row r="825" spans="1:8" ht="14.25" customHeight="1">
      <c r="A825" s="143"/>
      <c r="B825" s="144"/>
      <c r="D825" s="145"/>
      <c r="E825" s="146"/>
      <c r="H825" s="147"/>
    </row>
    <row r="826" spans="1:8" ht="14.25" customHeight="1">
      <c r="A826" s="143"/>
      <c r="B826" s="144"/>
      <c r="D826" s="145"/>
      <c r="E826" s="146"/>
      <c r="H826" s="147"/>
    </row>
    <row r="827" spans="1:8" ht="14.25" customHeight="1">
      <c r="A827" s="143"/>
      <c r="B827" s="144"/>
      <c r="D827" s="145"/>
      <c r="E827" s="146"/>
      <c r="H827" s="147"/>
    </row>
    <row r="828" spans="1:8" ht="14.25" customHeight="1">
      <c r="A828" s="143"/>
      <c r="B828" s="144"/>
      <c r="D828" s="145"/>
      <c r="E828" s="146"/>
      <c r="H828" s="147"/>
    </row>
    <row r="829" spans="1:8" ht="14.25" customHeight="1">
      <c r="A829" s="143"/>
      <c r="B829" s="144"/>
      <c r="D829" s="145"/>
      <c r="E829" s="146"/>
      <c r="H829" s="147"/>
    </row>
    <row r="830" spans="1:8" ht="14.25" customHeight="1">
      <c r="A830" s="143"/>
      <c r="B830" s="144"/>
      <c r="D830" s="145"/>
      <c r="E830" s="146"/>
      <c r="H830" s="147"/>
    </row>
    <row r="831" spans="1:8" ht="14.25" customHeight="1">
      <c r="A831" s="143"/>
      <c r="B831" s="144"/>
      <c r="D831" s="145"/>
      <c r="E831" s="146"/>
      <c r="H831" s="147"/>
    </row>
    <row r="832" spans="1:8" ht="14.25" customHeight="1">
      <c r="A832" s="143"/>
      <c r="B832" s="144"/>
      <c r="D832" s="145"/>
      <c r="E832" s="146"/>
      <c r="H832" s="147"/>
    </row>
    <row r="833" spans="1:8" ht="14.25" customHeight="1">
      <c r="A833" s="143"/>
      <c r="B833" s="144"/>
      <c r="D833" s="145"/>
      <c r="E833" s="146"/>
      <c r="H833" s="147"/>
    </row>
    <row r="834" spans="1:8" ht="14.25" customHeight="1">
      <c r="A834" s="143"/>
      <c r="B834" s="144"/>
      <c r="D834" s="145"/>
      <c r="E834" s="146"/>
      <c r="H834" s="147"/>
    </row>
    <row r="835" spans="1:8" ht="14.25" customHeight="1">
      <c r="A835" s="143"/>
      <c r="B835" s="144"/>
      <c r="D835" s="145"/>
      <c r="E835" s="146"/>
      <c r="H835" s="147"/>
    </row>
    <row r="836" spans="1:8" ht="14.25" customHeight="1">
      <c r="A836" s="143"/>
      <c r="B836" s="144"/>
      <c r="D836" s="145"/>
      <c r="E836" s="146"/>
      <c r="H836" s="147"/>
    </row>
    <row r="837" spans="1:8" ht="14.25" customHeight="1">
      <c r="A837" s="143"/>
      <c r="B837" s="144"/>
      <c r="D837" s="145"/>
      <c r="E837" s="146"/>
      <c r="H837" s="147"/>
    </row>
    <row r="838" spans="1:8" ht="14.25" customHeight="1">
      <c r="A838" s="143"/>
      <c r="B838" s="144"/>
      <c r="D838" s="145"/>
      <c r="E838" s="146"/>
      <c r="H838" s="147"/>
    </row>
    <row r="839" spans="1:8" ht="14.25" customHeight="1">
      <c r="A839" s="143"/>
      <c r="B839" s="144"/>
      <c r="D839" s="145"/>
      <c r="E839" s="146"/>
      <c r="H839" s="147"/>
    </row>
    <row r="840" spans="1:8" ht="14.25" customHeight="1">
      <c r="A840" s="143"/>
      <c r="B840" s="144"/>
      <c r="D840" s="145"/>
      <c r="E840" s="146"/>
      <c r="H840" s="147"/>
    </row>
    <row r="841" spans="1:8" ht="14.25" customHeight="1">
      <c r="A841" s="143"/>
      <c r="B841" s="144"/>
      <c r="D841" s="145"/>
      <c r="E841" s="146"/>
      <c r="H841" s="147"/>
    </row>
    <row r="842" spans="1:8" ht="14.25" customHeight="1">
      <c r="A842" s="143"/>
      <c r="B842" s="144"/>
      <c r="D842" s="145"/>
      <c r="E842" s="146"/>
      <c r="H842" s="147"/>
    </row>
    <row r="843" spans="1:8" ht="14.25" customHeight="1">
      <c r="A843" s="143"/>
      <c r="B843" s="144"/>
      <c r="D843" s="145"/>
      <c r="E843" s="146"/>
      <c r="H843" s="147"/>
    </row>
    <row r="844" spans="1:8" ht="14.25" customHeight="1">
      <c r="A844" s="143"/>
      <c r="B844" s="144"/>
      <c r="D844" s="145"/>
      <c r="E844" s="146"/>
      <c r="H844" s="147"/>
    </row>
    <row r="845" spans="1:8" ht="14.25" customHeight="1">
      <c r="A845" s="143"/>
      <c r="B845" s="144"/>
      <c r="D845" s="145"/>
      <c r="E845" s="146"/>
      <c r="H845" s="147"/>
    </row>
    <row r="846" spans="1:8" ht="14.25" customHeight="1">
      <c r="A846" s="143"/>
      <c r="B846" s="144"/>
      <c r="D846" s="145"/>
      <c r="E846" s="146"/>
      <c r="H846" s="147"/>
    </row>
    <row r="847" spans="1:8" ht="14.25" customHeight="1">
      <c r="A847" s="143"/>
      <c r="B847" s="144"/>
      <c r="D847" s="145"/>
      <c r="E847" s="146"/>
      <c r="H847" s="147"/>
    </row>
    <row r="848" spans="1:8" ht="14.25" customHeight="1">
      <c r="A848" s="143"/>
      <c r="B848" s="144"/>
      <c r="D848" s="145"/>
      <c r="E848" s="146"/>
      <c r="H848" s="147"/>
    </row>
    <row r="849" spans="1:8" ht="14.25" customHeight="1">
      <c r="A849" s="143"/>
      <c r="B849" s="144"/>
      <c r="D849" s="145"/>
      <c r="E849" s="146"/>
      <c r="H849" s="147"/>
    </row>
    <row r="850" spans="1:8" ht="14.25" customHeight="1">
      <c r="A850" s="143"/>
      <c r="B850" s="144"/>
      <c r="D850" s="145"/>
      <c r="E850" s="146"/>
      <c r="H850" s="147"/>
    </row>
    <row r="851" spans="1:8" ht="14.25" customHeight="1">
      <c r="A851" s="143"/>
      <c r="B851" s="144"/>
      <c r="D851" s="145"/>
      <c r="E851" s="146"/>
      <c r="H851" s="147"/>
    </row>
    <row r="852" spans="1:8" ht="14.25" customHeight="1">
      <c r="A852" s="143"/>
      <c r="B852" s="144"/>
      <c r="D852" s="145"/>
      <c r="E852" s="146"/>
      <c r="H852" s="147"/>
    </row>
    <row r="853" spans="1:8" ht="14.25" customHeight="1">
      <c r="A853" s="143"/>
      <c r="B853" s="144"/>
      <c r="D853" s="145"/>
      <c r="E853" s="146"/>
      <c r="H853" s="147"/>
    </row>
    <row r="854" spans="1:8" ht="14.25" customHeight="1">
      <c r="A854" s="143"/>
      <c r="B854" s="144"/>
      <c r="D854" s="145"/>
      <c r="E854" s="146"/>
      <c r="H854" s="147"/>
    </row>
    <row r="855" spans="1:8" ht="14.25" customHeight="1">
      <c r="A855" s="143"/>
      <c r="B855" s="144"/>
      <c r="D855" s="145"/>
      <c r="E855" s="146"/>
      <c r="H855" s="147"/>
    </row>
    <row r="856" spans="1:8" ht="14.25" customHeight="1">
      <c r="A856" s="143"/>
      <c r="B856" s="144"/>
      <c r="D856" s="145"/>
      <c r="E856" s="146"/>
      <c r="H856" s="147"/>
    </row>
    <row r="857" spans="1:8" ht="14.25" customHeight="1">
      <c r="A857" s="143"/>
      <c r="B857" s="144"/>
      <c r="D857" s="145"/>
      <c r="E857" s="146"/>
      <c r="H857" s="147"/>
    </row>
    <row r="858" spans="1:8" ht="14.25" customHeight="1">
      <c r="A858" s="143"/>
      <c r="B858" s="144"/>
      <c r="D858" s="145"/>
      <c r="E858" s="146"/>
      <c r="H858" s="147"/>
    </row>
    <row r="859" spans="1:8" ht="14.25" customHeight="1">
      <c r="A859" s="143"/>
      <c r="B859" s="144"/>
      <c r="D859" s="145"/>
      <c r="E859" s="146"/>
      <c r="H859" s="147"/>
    </row>
    <row r="860" spans="1:8" ht="14.25" customHeight="1">
      <c r="A860" s="143"/>
      <c r="B860" s="144"/>
      <c r="D860" s="145"/>
      <c r="E860" s="146"/>
      <c r="H860" s="147"/>
    </row>
    <row r="861" spans="1:8" ht="14.25" customHeight="1">
      <c r="A861" s="143"/>
      <c r="B861" s="144"/>
      <c r="D861" s="145"/>
      <c r="E861" s="146"/>
      <c r="H861" s="147"/>
    </row>
    <row r="862" spans="1:8" ht="14.25" customHeight="1">
      <c r="A862" s="143"/>
      <c r="B862" s="144"/>
      <c r="D862" s="145"/>
      <c r="E862" s="146"/>
      <c r="H862" s="147"/>
    </row>
    <row r="863" spans="1:8" ht="14.25" customHeight="1">
      <c r="A863" s="143"/>
      <c r="B863" s="144"/>
      <c r="D863" s="145"/>
      <c r="E863" s="146"/>
      <c r="H863" s="147"/>
    </row>
    <row r="864" spans="1:8" ht="14.25" customHeight="1">
      <c r="A864" s="143"/>
      <c r="B864" s="144"/>
      <c r="D864" s="145"/>
      <c r="E864" s="146"/>
      <c r="H864" s="147"/>
    </row>
    <row r="865" spans="1:8" ht="14.25" customHeight="1">
      <c r="A865" s="143"/>
      <c r="B865" s="144"/>
      <c r="D865" s="145"/>
      <c r="E865" s="146"/>
      <c r="H865" s="147"/>
    </row>
    <row r="866" spans="1:8" ht="14.25" customHeight="1">
      <c r="A866" s="143"/>
      <c r="B866" s="144"/>
      <c r="D866" s="145"/>
      <c r="E866" s="146"/>
      <c r="H866" s="147"/>
    </row>
    <row r="867" spans="1:8" ht="14.25" customHeight="1">
      <c r="A867" s="143"/>
      <c r="B867" s="144"/>
      <c r="D867" s="145"/>
      <c r="E867" s="146"/>
      <c r="H867" s="147"/>
    </row>
    <row r="868" spans="1:8" ht="14.25" customHeight="1">
      <c r="A868" s="143"/>
      <c r="B868" s="144"/>
      <c r="D868" s="145"/>
      <c r="E868" s="146"/>
      <c r="H868" s="147"/>
    </row>
    <row r="869" spans="1:8" ht="14.25" customHeight="1">
      <c r="A869" s="143"/>
      <c r="B869" s="144"/>
      <c r="D869" s="145"/>
      <c r="E869" s="146"/>
      <c r="H869" s="147"/>
    </row>
    <row r="870" spans="1:8" ht="14.25" customHeight="1">
      <c r="A870" s="143"/>
      <c r="B870" s="144"/>
      <c r="D870" s="145"/>
      <c r="E870" s="146"/>
      <c r="H870" s="147"/>
    </row>
    <row r="871" spans="1:8" ht="14.25" customHeight="1">
      <c r="A871" s="143"/>
      <c r="B871" s="144"/>
      <c r="D871" s="145"/>
      <c r="E871" s="146"/>
      <c r="H871" s="147"/>
    </row>
    <row r="872" spans="1:8" ht="14.25" customHeight="1">
      <c r="A872" s="143"/>
      <c r="B872" s="144"/>
      <c r="D872" s="145"/>
      <c r="E872" s="146"/>
      <c r="H872" s="147"/>
    </row>
    <row r="873" spans="1:8" ht="14.25" customHeight="1">
      <c r="A873" s="143"/>
      <c r="B873" s="144"/>
      <c r="D873" s="145"/>
      <c r="E873" s="146"/>
      <c r="H873" s="147"/>
    </row>
    <row r="874" spans="1:8" ht="14.25" customHeight="1">
      <c r="A874" s="143"/>
      <c r="B874" s="144"/>
      <c r="D874" s="145"/>
      <c r="E874" s="146"/>
      <c r="H874" s="147"/>
    </row>
    <row r="875" spans="1:8" ht="14.25" customHeight="1">
      <c r="A875" s="143"/>
      <c r="B875" s="144"/>
      <c r="D875" s="145"/>
      <c r="E875" s="146"/>
      <c r="H875" s="147"/>
    </row>
    <row r="876" spans="1:8" ht="14.25" customHeight="1">
      <c r="A876" s="143"/>
      <c r="B876" s="144"/>
      <c r="D876" s="145"/>
      <c r="E876" s="146"/>
      <c r="H876" s="147"/>
    </row>
    <row r="877" spans="1:8" ht="14.25" customHeight="1">
      <c r="A877" s="143"/>
      <c r="B877" s="144"/>
      <c r="D877" s="145"/>
      <c r="E877" s="146"/>
      <c r="H877" s="147"/>
    </row>
    <row r="878" spans="1:8" ht="14.25" customHeight="1">
      <c r="A878" s="143"/>
      <c r="B878" s="144"/>
      <c r="D878" s="145"/>
      <c r="E878" s="146"/>
      <c r="H878" s="147"/>
    </row>
    <row r="879" spans="1:8" ht="14.25" customHeight="1">
      <c r="A879" s="143"/>
      <c r="B879" s="144"/>
      <c r="D879" s="145"/>
      <c r="E879" s="146"/>
      <c r="H879" s="147"/>
    </row>
    <row r="880" spans="1:8" ht="14.25" customHeight="1">
      <c r="A880" s="143"/>
      <c r="B880" s="144"/>
      <c r="D880" s="145"/>
      <c r="E880" s="146"/>
      <c r="H880" s="147"/>
    </row>
    <row r="881" spans="1:8" ht="14.25" customHeight="1">
      <c r="A881" s="143"/>
      <c r="B881" s="144"/>
      <c r="D881" s="145"/>
      <c r="E881" s="146"/>
      <c r="H881" s="147"/>
    </row>
    <row r="882" spans="1:8" ht="14.25" customHeight="1">
      <c r="A882" s="143"/>
      <c r="B882" s="144"/>
      <c r="D882" s="145"/>
      <c r="E882" s="146"/>
      <c r="H882" s="147"/>
    </row>
    <row r="883" spans="1:8" ht="14.25" customHeight="1">
      <c r="A883" s="143"/>
      <c r="B883" s="144"/>
      <c r="D883" s="145"/>
      <c r="E883" s="146"/>
      <c r="H883" s="147"/>
    </row>
    <row r="884" spans="1:8" ht="14.25" customHeight="1">
      <c r="A884" s="143"/>
      <c r="B884" s="144"/>
      <c r="D884" s="145"/>
      <c r="E884" s="146"/>
      <c r="H884" s="147"/>
    </row>
    <row r="885" spans="1:8" ht="14.25" customHeight="1">
      <c r="A885" s="143"/>
      <c r="B885" s="144"/>
      <c r="D885" s="145"/>
      <c r="E885" s="146"/>
      <c r="H885" s="147"/>
    </row>
    <row r="886" spans="1:8" ht="14.25" customHeight="1">
      <c r="A886" s="143"/>
      <c r="B886" s="144"/>
      <c r="D886" s="145"/>
      <c r="E886" s="146"/>
      <c r="H886" s="147"/>
    </row>
    <row r="887" spans="1:8" ht="14.25" customHeight="1">
      <c r="A887" s="143"/>
      <c r="B887" s="144"/>
      <c r="D887" s="145"/>
      <c r="E887" s="146"/>
      <c r="H887" s="147"/>
    </row>
    <row r="888" spans="1:8" ht="14.25" customHeight="1">
      <c r="A888" s="143"/>
      <c r="B888" s="144"/>
      <c r="D888" s="145"/>
      <c r="E888" s="146"/>
      <c r="H888" s="147"/>
    </row>
    <row r="889" spans="1:8" ht="14.25" customHeight="1">
      <c r="A889" s="143"/>
      <c r="B889" s="144"/>
      <c r="D889" s="145"/>
      <c r="E889" s="146"/>
      <c r="H889" s="147"/>
    </row>
    <row r="890" spans="1:8" ht="14.25" customHeight="1">
      <c r="A890" s="143"/>
      <c r="B890" s="144"/>
      <c r="D890" s="145"/>
      <c r="E890" s="146"/>
      <c r="H890" s="147"/>
    </row>
    <row r="891" spans="1:8" ht="14.25" customHeight="1">
      <c r="A891" s="143"/>
      <c r="B891" s="144"/>
      <c r="D891" s="145"/>
      <c r="E891" s="146"/>
      <c r="H891" s="147"/>
    </row>
    <row r="892" spans="1:8" ht="14.25" customHeight="1">
      <c r="A892" s="143"/>
      <c r="B892" s="144"/>
      <c r="D892" s="145"/>
      <c r="E892" s="146"/>
      <c r="H892" s="147"/>
    </row>
    <row r="893" spans="1:8" ht="14.25" customHeight="1">
      <c r="A893" s="143"/>
      <c r="B893" s="144"/>
      <c r="D893" s="145"/>
      <c r="E893" s="146"/>
      <c r="H893" s="147"/>
    </row>
    <row r="894" spans="1:8" ht="14.25" customHeight="1">
      <c r="A894" s="143"/>
      <c r="B894" s="144"/>
      <c r="D894" s="145"/>
      <c r="E894" s="146"/>
      <c r="H894" s="147"/>
    </row>
    <row r="895" spans="1:8" ht="14.25" customHeight="1">
      <c r="A895" s="143"/>
      <c r="B895" s="144"/>
      <c r="D895" s="145"/>
      <c r="E895" s="146"/>
      <c r="H895" s="147"/>
    </row>
    <row r="896" spans="1:8" ht="14.25" customHeight="1">
      <c r="A896" s="143"/>
      <c r="B896" s="144"/>
      <c r="D896" s="145"/>
      <c r="E896" s="146"/>
      <c r="H896" s="147"/>
    </row>
    <row r="897" spans="1:8" ht="14.25" customHeight="1">
      <c r="A897" s="143"/>
      <c r="B897" s="144"/>
      <c r="D897" s="145"/>
      <c r="E897" s="146"/>
      <c r="H897" s="147"/>
    </row>
    <row r="898" spans="1:8" ht="14.25" customHeight="1">
      <c r="A898" s="143"/>
      <c r="B898" s="144"/>
      <c r="D898" s="145"/>
      <c r="E898" s="146"/>
      <c r="H898" s="147"/>
    </row>
    <row r="899" spans="1:8" ht="14.25" customHeight="1">
      <c r="A899" s="143"/>
      <c r="B899" s="144"/>
      <c r="D899" s="145"/>
      <c r="E899" s="146"/>
      <c r="H899" s="147"/>
    </row>
    <row r="900" spans="1:8" ht="14.25" customHeight="1">
      <c r="A900" s="143"/>
      <c r="B900" s="144"/>
      <c r="D900" s="145"/>
      <c r="E900" s="146"/>
      <c r="H900" s="147"/>
    </row>
    <row r="901" spans="1:8" ht="14.25" customHeight="1">
      <c r="A901" s="143"/>
      <c r="B901" s="144"/>
      <c r="D901" s="145"/>
      <c r="E901" s="146"/>
      <c r="H901" s="147"/>
    </row>
    <row r="902" spans="1:8" ht="14.25" customHeight="1">
      <c r="A902" s="143"/>
      <c r="B902" s="144"/>
      <c r="D902" s="145"/>
      <c r="E902" s="146"/>
      <c r="H902" s="147"/>
    </row>
    <row r="903" spans="1:8" ht="14.25" customHeight="1">
      <c r="A903" s="143"/>
      <c r="B903" s="144"/>
      <c r="D903" s="145"/>
      <c r="E903" s="146"/>
      <c r="H903" s="147"/>
    </row>
    <row r="904" spans="1:8" ht="14.25" customHeight="1">
      <c r="A904" s="143"/>
      <c r="B904" s="144"/>
      <c r="D904" s="145"/>
      <c r="E904" s="146"/>
      <c r="H904" s="147"/>
    </row>
    <row r="905" spans="1:8" ht="14.25" customHeight="1">
      <c r="A905" s="143"/>
      <c r="B905" s="144"/>
      <c r="D905" s="145"/>
      <c r="E905" s="146"/>
      <c r="H905" s="147"/>
    </row>
    <row r="906" spans="1:8" ht="14.25" customHeight="1">
      <c r="A906" s="143"/>
      <c r="B906" s="144"/>
      <c r="D906" s="145"/>
      <c r="E906" s="146"/>
      <c r="H906" s="147"/>
    </row>
    <row r="907" spans="1:8" ht="14.25" customHeight="1">
      <c r="A907" s="143"/>
      <c r="B907" s="144"/>
      <c r="D907" s="145"/>
      <c r="E907" s="146"/>
      <c r="H907" s="147"/>
    </row>
    <row r="908" spans="1:8" ht="14.25" customHeight="1">
      <c r="A908" s="143"/>
      <c r="B908" s="144"/>
      <c r="D908" s="145"/>
      <c r="E908" s="146"/>
      <c r="H908" s="147"/>
    </row>
    <row r="909" spans="1:8" ht="14.25" customHeight="1">
      <c r="A909" s="143"/>
      <c r="B909" s="144"/>
      <c r="D909" s="145"/>
      <c r="E909" s="146"/>
      <c r="H909" s="147"/>
    </row>
    <row r="910" spans="1:8" ht="14.25" customHeight="1">
      <c r="A910" s="143"/>
      <c r="B910" s="144"/>
      <c r="D910" s="145"/>
      <c r="E910" s="146"/>
      <c r="H910" s="147"/>
    </row>
    <row r="911" spans="1:8" ht="14.25" customHeight="1">
      <c r="A911" s="143"/>
      <c r="B911" s="144"/>
      <c r="D911" s="145"/>
      <c r="E911" s="146"/>
      <c r="H911" s="147"/>
    </row>
    <row r="912" spans="1:8" ht="14.25" customHeight="1">
      <c r="A912" s="143"/>
      <c r="B912" s="144"/>
      <c r="D912" s="145"/>
      <c r="E912" s="146"/>
      <c r="H912" s="147"/>
    </row>
    <row r="913" spans="1:8" ht="14.25" customHeight="1">
      <c r="A913" s="143"/>
      <c r="B913" s="144"/>
      <c r="D913" s="145"/>
      <c r="E913" s="146"/>
      <c r="H913" s="147"/>
    </row>
    <row r="914" spans="1:8" ht="14.25" customHeight="1">
      <c r="A914" s="143"/>
      <c r="B914" s="144"/>
      <c r="D914" s="145"/>
      <c r="E914" s="146"/>
      <c r="H914" s="147"/>
    </row>
    <row r="915" spans="1:8" ht="14.25" customHeight="1">
      <c r="A915" s="143"/>
      <c r="B915" s="144"/>
      <c r="D915" s="145"/>
      <c r="E915" s="146"/>
      <c r="H915" s="147"/>
    </row>
    <row r="916" spans="1:8" ht="14.25" customHeight="1">
      <c r="A916" s="143"/>
      <c r="B916" s="144"/>
      <c r="D916" s="145"/>
      <c r="E916" s="146"/>
      <c r="H916" s="147"/>
    </row>
    <row r="917" spans="1:8" ht="14.25" customHeight="1">
      <c r="A917" s="143"/>
      <c r="B917" s="144"/>
      <c r="D917" s="145"/>
      <c r="E917" s="146"/>
      <c r="H917" s="147"/>
    </row>
    <row r="918" spans="1:8" ht="14.25" customHeight="1">
      <c r="A918" s="143"/>
      <c r="B918" s="144"/>
      <c r="D918" s="145"/>
      <c r="E918" s="146"/>
      <c r="H918" s="147"/>
    </row>
    <row r="919" spans="1:8" ht="14.25" customHeight="1">
      <c r="A919" s="143"/>
      <c r="B919" s="144"/>
      <c r="D919" s="145"/>
      <c r="E919" s="146"/>
      <c r="H919" s="147"/>
    </row>
    <row r="920" spans="1:8" ht="14.25" customHeight="1">
      <c r="A920" s="143"/>
      <c r="B920" s="144"/>
      <c r="D920" s="145"/>
      <c r="E920" s="146"/>
      <c r="H920" s="147"/>
    </row>
    <row r="921" spans="1:8" ht="14.25" customHeight="1">
      <c r="A921" s="143"/>
      <c r="B921" s="144"/>
      <c r="D921" s="145"/>
      <c r="E921" s="146"/>
      <c r="H921" s="147"/>
    </row>
    <row r="922" spans="1:8" ht="14.25" customHeight="1">
      <c r="A922" s="143"/>
      <c r="B922" s="144"/>
      <c r="D922" s="145"/>
      <c r="E922" s="146"/>
      <c r="H922" s="147"/>
    </row>
    <row r="923" spans="1:8" ht="14.25" customHeight="1">
      <c r="A923" s="143"/>
      <c r="B923" s="144"/>
      <c r="D923" s="145"/>
      <c r="E923" s="146"/>
      <c r="H923" s="147"/>
    </row>
    <row r="924" spans="1:8" ht="14.25" customHeight="1">
      <c r="A924" s="143"/>
      <c r="B924" s="144"/>
      <c r="D924" s="145"/>
      <c r="E924" s="146"/>
      <c r="H924" s="147"/>
    </row>
    <row r="925" spans="1:8" ht="14.25" customHeight="1">
      <c r="A925" s="143"/>
      <c r="B925" s="144"/>
      <c r="D925" s="145"/>
      <c r="E925" s="146"/>
      <c r="H925" s="147"/>
    </row>
    <row r="926" spans="1:8" ht="14.25" customHeight="1">
      <c r="A926" s="143"/>
      <c r="B926" s="144"/>
      <c r="D926" s="145"/>
      <c r="E926" s="146"/>
      <c r="H926" s="147"/>
    </row>
    <row r="927" spans="1:8" ht="14.25" customHeight="1">
      <c r="A927" s="143"/>
      <c r="B927" s="144"/>
      <c r="D927" s="145"/>
      <c r="E927" s="146"/>
      <c r="H927" s="147"/>
    </row>
    <row r="928" spans="1:8" ht="14.25" customHeight="1">
      <c r="A928" s="143"/>
      <c r="B928" s="144"/>
      <c r="D928" s="145"/>
      <c r="E928" s="146"/>
      <c r="H928" s="147"/>
    </row>
    <row r="929" spans="1:8" ht="14.25" customHeight="1">
      <c r="A929" s="143"/>
      <c r="B929" s="144"/>
      <c r="D929" s="145"/>
      <c r="E929" s="146"/>
      <c r="H929" s="147"/>
    </row>
    <row r="930" spans="1:8" ht="14.25" customHeight="1">
      <c r="A930" s="143"/>
      <c r="B930" s="144"/>
      <c r="D930" s="145"/>
      <c r="E930" s="146"/>
      <c r="H930" s="147"/>
    </row>
    <row r="931" spans="1:8" ht="14.25" customHeight="1">
      <c r="A931" s="143"/>
      <c r="B931" s="144"/>
      <c r="D931" s="145"/>
      <c r="E931" s="146"/>
      <c r="H931" s="147"/>
    </row>
    <row r="932" spans="1:8" ht="14.25" customHeight="1">
      <c r="A932" s="143"/>
      <c r="B932" s="144"/>
      <c r="D932" s="145"/>
      <c r="E932" s="146"/>
      <c r="H932" s="147"/>
    </row>
    <row r="933" spans="1:8" ht="14.25" customHeight="1">
      <c r="A933" s="143"/>
      <c r="B933" s="144"/>
      <c r="D933" s="145"/>
      <c r="E933" s="146"/>
      <c r="H933" s="147"/>
    </row>
    <row r="934" spans="1:8" ht="14.25" customHeight="1">
      <c r="A934" s="143"/>
      <c r="B934" s="144"/>
      <c r="D934" s="145"/>
      <c r="E934" s="146"/>
      <c r="H934" s="147"/>
    </row>
    <row r="935" spans="1:8" ht="14.25" customHeight="1">
      <c r="A935" s="143"/>
      <c r="B935" s="144"/>
      <c r="D935" s="145"/>
      <c r="E935" s="146"/>
      <c r="H935" s="147"/>
    </row>
    <row r="936" spans="1:8" ht="14.25" customHeight="1">
      <c r="A936" s="143"/>
      <c r="B936" s="144"/>
      <c r="D936" s="145"/>
      <c r="E936" s="146"/>
      <c r="H936" s="147"/>
    </row>
    <row r="937" spans="1:8" ht="14.25" customHeight="1">
      <c r="A937" s="143"/>
      <c r="B937" s="144"/>
      <c r="D937" s="145"/>
      <c r="E937" s="146"/>
      <c r="H937" s="147"/>
    </row>
    <row r="938" spans="1:8" ht="14.25" customHeight="1">
      <c r="A938" s="143"/>
      <c r="B938" s="144"/>
      <c r="D938" s="145"/>
      <c r="E938" s="146"/>
      <c r="H938" s="147"/>
    </row>
    <row r="939" spans="1:8" ht="14.25" customHeight="1">
      <c r="A939" s="143"/>
      <c r="B939" s="144"/>
      <c r="D939" s="145"/>
      <c r="E939" s="146"/>
      <c r="H939" s="147"/>
    </row>
    <row r="940" spans="1:8" ht="14.25" customHeight="1">
      <c r="A940" s="143"/>
      <c r="B940" s="144"/>
      <c r="D940" s="145"/>
      <c r="E940" s="146"/>
      <c r="H940" s="147"/>
    </row>
    <row r="941" spans="1:8" ht="14.25" customHeight="1">
      <c r="A941" s="143"/>
      <c r="B941" s="144"/>
      <c r="D941" s="145"/>
      <c r="E941" s="146"/>
      <c r="H941" s="147"/>
    </row>
    <row r="942" spans="1:8" ht="14.25" customHeight="1">
      <c r="A942" s="143"/>
      <c r="B942" s="144"/>
      <c r="D942" s="145"/>
      <c r="E942" s="146"/>
      <c r="H942" s="147"/>
    </row>
    <row r="943" spans="1:8" ht="14.25" customHeight="1">
      <c r="A943" s="143"/>
      <c r="B943" s="144"/>
      <c r="D943" s="145"/>
      <c r="E943" s="146"/>
      <c r="H943" s="147"/>
    </row>
  </sheetData>
  <mergeCells count="23">
    <mergeCell ref="A1:G1"/>
    <mergeCell ref="H1:M1"/>
    <mergeCell ref="N1:O1"/>
    <mergeCell ref="A4:A9"/>
    <mergeCell ref="B4:B9"/>
    <mergeCell ref="A22:A25"/>
    <mergeCell ref="A26:A29"/>
    <mergeCell ref="A30:A35"/>
    <mergeCell ref="B80:D80"/>
    <mergeCell ref="B81:D81"/>
    <mergeCell ref="A10:A13"/>
    <mergeCell ref="B10:B13"/>
    <mergeCell ref="A14:A17"/>
    <mergeCell ref="B14:B17"/>
    <mergeCell ref="A18:A21"/>
    <mergeCell ref="B18:B21"/>
    <mergeCell ref="B22:B25"/>
    <mergeCell ref="B37:B39"/>
    <mergeCell ref="A37:A39"/>
    <mergeCell ref="A41:A46"/>
    <mergeCell ref="B26:B29"/>
    <mergeCell ref="B30:B35"/>
    <mergeCell ref="B79:D79"/>
  </mergeCells>
  <phoneticPr fontId="55" type="noConversion"/>
  <conditionalFormatting sqref="AF24:AF25 O2:O943">
    <cfRule type="cellIs" dxfId="12" priority="1" operator="lessThanOrEqual">
      <formula>0</formula>
    </cfRule>
  </conditionalFormatting>
  <conditionalFormatting sqref="AF24:AF25 O5:O73">
    <cfRule type="cellIs" dxfId="11" priority="2" operator="lessThan">
      <formula>0</formula>
    </cfRule>
  </conditionalFormatting>
  <hyperlinks>
    <hyperlink ref="C74" r:id="rId1"/>
    <hyperlink ref="C75" r:id="rId2"/>
    <hyperlink ref="C76" r:id="rId3"/>
    <hyperlink ref="C77" r:id="rId4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978"/>
  <sheetViews>
    <sheetView tabSelected="1" workbookViewId="0">
      <pane ySplit="2" topLeftCell="A3" activePane="bottomLeft" state="frozen"/>
      <selection pane="bottomLeft" activeCell="O37" sqref="O37"/>
    </sheetView>
  </sheetViews>
  <sheetFormatPr defaultColWidth="10.109375" defaultRowHeight="15" customHeight="1"/>
  <cols>
    <col min="1" max="1" width="17.5546875" customWidth="1"/>
    <col min="2" max="2" width="23.77734375" customWidth="1"/>
    <col min="3" max="3" width="22.77734375" customWidth="1"/>
    <col min="4" max="4" width="12.44140625" customWidth="1"/>
    <col min="5" max="5" width="6" customWidth="1"/>
    <col min="6" max="7" width="8.33203125" customWidth="1"/>
    <col min="9" max="9" width="11.6640625" customWidth="1"/>
    <col min="10" max="10" width="7.21875" customWidth="1"/>
    <col min="11" max="11" width="11.6640625" customWidth="1"/>
    <col min="12" max="12" width="5.5546875" customWidth="1"/>
    <col min="13" max="13" width="9.33203125" bestFit="1" customWidth="1"/>
    <col min="14" max="14" width="15.33203125" bestFit="1" customWidth="1"/>
    <col min="15" max="15" width="9.33203125" bestFit="1" customWidth="1"/>
    <col min="16" max="16" width="8.21875" bestFit="1" customWidth="1"/>
    <col min="17" max="32" width="6" customWidth="1"/>
  </cols>
  <sheetData>
    <row r="1" spans="1:32" ht="14.25" customHeight="1">
      <c r="A1" s="289" t="s">
        <v>68</v>
      </c>
      <c r="B1" s="290"/>
      <c r="C1" s="290"/>
      <c r="D1" s="290"/>
      <c r="E1" s="290"/>
      <c r="F1" s="290"/>
      <c r="G1" s="290"/>
      <c r="H1" s="291"/>
      <c r="I1" s="292"/>
      <c r="J1" s="290"/>
      <c r="K1" s="291"/>
      <c r="L1" s="293"/>
      <c r="M1" s="291"/>
      <c r="N1" s="149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ht="19.5">
      <c r="A2" s="44" t="s">
        <v>127</v>
      </c>
      <c r="B2" s="45" t="s">
        <v>128</v>
      </c>
      <c r="C2" s="46" t="s">
        <v>72</v>
      </c>
      <c r="D2" s="45" t="s">
        <v>129</v>
      </c>
      <c r="E2" s="45" t="s">
        <v>74</v>
      </c>
      <c r="F2" s="46" t="s">
        <v>76</v>
      </c>
      <c r="G2" s="46" t="s">
        <v>77</v>
      </c>
      <c r="H2" s="46" t="s">
        <v>78</v>
      </c>
      <c r="I2" s="48" t="s">
        <v>10</v>
      </c>
      <c r="J2" s="48" t="s">
        <v>81</v>
      </c>
      <c r="K2" s="48" t="s">
        <v>82</v>
      </c>
      <c r="L2" s="49" t="s">
        <v>83</v>
      </c>
      <c r="M2" s="49" t="s">
        <v>84</v>
      </c>
      <c r="N2" s="150" t="s">
        <v>130</v>
      </c>
      <c r="O2" s="151" t="s">
        <v>131</v>
      </c>
      <c r="P2" s="151" t="s">
        <v>84</v>
      </c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 ht="19.5">
      <c r="A3" s="50" t="s">
        <v>85</v>
      </c>
      <c r="B3" s="51" t="s">
        <v>86</v>
      </c>
      <c r="C3" s="52"/>
      <c r="D3" s="52"/>
      <c r="E3" s="52"/>
      <c r="F3" s="53"/>
      <c r="G3" s="54"/>
      <c r="H3" s="55"/>
      <c r="I3" s="57"/>
      <c r="J3" s="57"/>
      <c r="K3" s="56"/>
      <c r="L3" s="54"/>
      <c r="M3" s="55"/>
      <c r="N3" s="148">
        <f t="shared" ref="N3:O3" si="0">SUM(N4:N51)</f>
        <v>233288.00694799994</v>
      </c>
      <c r="O3" s="43">
        <f t="shared" si="0"/>
        <v>1523247</v>
      </c>
      <c r="P3" s="152">
        <f>N3/O3</f>
        <v>0.15315179150065611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 ht="19.5">
      <c r="A4" s="287" t="s">
        <v>132</v>
      </c>
      <c r="B4" s="282" t="s">
        <v>88</v>
      </c>
      <c r="C4" s="58" t="s">
        <v>89</v>
      </c>
      <c r="D4" s="58"/>
      <c r="E4" s="58">
        <v>130</v>
      </c>
      <c r="F4" s="59">
        <v>25</v>
      </c>
      <c r="G4" s="60">
        <f t="shared" ref="G4:G39" si="1">E4-F4</f>
        <v>105</v>
      </c>
      <c r="H4" s="61">
        <f t="shared" ref="H4:H39" si="2">G4/E4</f>
        <v>0.80769230769230771</v>
      </c>
      <c r="I4" s="63">
        <f>E4*營業基本資訊!$D$5</f>
        <v>67.337746666666675</v>
      </c>
      <c r="J4" s="63">
        <f t="shared" ref="J4:J39" si="3">E4*0.05</f>
        <v>6.5</v>
      </c>
      <c r="K4" s="62">
        <f t="shared" ref="K4:K39" si="4">SUM(I4:J4)</f>
        <v>73.837746666666675</v>
      </c>
      <c r="L4" s="60">
        <f t="shared" ref="L4:L39" si="5">G4-K4</f>
        <v>31.162253333333325</v>
      </c>
      <c r="M4" s="64">
        <f t="shared" ref="M4:M39" si="6">L4/E4</f>
        <v>0.23970964102564096</v>
      </c>
      <c r="N4" s="149">
        <f t="shared" ref="N4:N41" si="7">D4*E4*M4</f>
        <v>0</v>
      </c>
      <c r="O4" s="43">
        <f t="shared" ref="O4:O49" si="8">D4*E4</f>
        <v>0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2" ht="19.5">
      <c r="A5" s="278"/>
      <c r="B5" s="278"/>
      <c r="C5" s="65" t="s">
        <v>90</v>
      </c>
      <c r="D5" s="58"/>
      <c r="E5" s="58">
        <v>140</v>
      </c>
      <c r="F5" s="59">
        <v>28</v>
      </c>
      <c r="G5" s="60">
        <f t="shared" si="1"/>
        <v>112</v>
      </c>
      <c r="H5" s="61">
        <f t="shared" si="2"/>
        <v>0.8</v>
      </c>
      <c r="I5" s="63">
        <f>E5*營業基本資訊!$D$5</f>
        <v>72.517573333333331</v>
      </c>
      <c r="J5" s="63">
        <f t="shared" si="3"/>
        <v>7</v>
      </c>
      <c r="K5" s="62">
        <f t="shared" si="4"/>
        <v>79.517573333333331</v>
      </c>
      <c r="L5" s="66">
        <f t="shared" si="5"/>
        <v>32.482426666666669</v>
      </c>
      <c r="M5" s="64">
        <f t="shared" si="6"/>
        <v>0.23201733333333335</v>
      </c>
      <c r="N5" s="149">
        <f t="shared" si="7"/>
        <v>0</v>
      </c>
      <c r="O5" s="43">
        <f t="shared" si="8"/>
        <v>0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 spans="1:32" ht="14.25" customHeight="1">
      <c r="A6" s="278"/>
      <c r="B6" s="278"/>
      <c r="C6" s="65" t="s">
        <v>91</v>
      </c>
      <c r="D6" s="58"/>
      <c r="E6" s="58">
        <v>140</v>
      </c>
      <c r="F6" s="59">
        <v>31</v>
      </c>
      <c r="G6" s="60">
        <f t="shared" si="1"/>
        <v>109</v>
      </c>
      <c r="H6" s="61">
        <f t="shared" si="2"/>
        <v>0.77857142857142858</v>
      </c>
      <c r="I6" s="63">
        <f>E6*營業基本資訊!$D$5</f>
        <v>72.517573333333331</v>
      </c>
      <c r="J6" s="63">
        <f t="shared" si="3"/>
        <v>7</v>
      </c>
      <c r="K6" s="62">
        <f t="shared" si="4"/>
        <v>79.517573333333331</v>
      </c>
      <c r="L6" s="66">
        <f t="shared" si="5"/>
        <v>29.482426666666669</v>
      </c>
      <c r="M6" s="64">
        <f t="shared" si="6"/>
        <v>0.21058876190476192</v>
      </c>
      <c r="N6" s="149">
        <f t="shared" si="7"/>
        <v>0</v>
      </c>
      <c r="O6" s="43">
        <f t="shared" si="8"/>
        <v>0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 spans="1:32" ht="14.25" customHeight="1">
      <c r="A7" s="278"/>
      <c r="B7" s="278"/>
      <c r="C7" s="65" t="s">
        <v>92</v>
      </c>
      <c r="D7" s="58"/>
      <c r="E7" s="58">
        <v>140</v>
      </c>
      <c r="F7" s="59">
        <v>28</v>
      </c>
      <c r="G7" s="60">
        <f t="shared" si="1"/>
        <v>112</v>
      </c>
      <c r="H7" s="61">
        <f t="shared" si="2"/>
        <v>0.8</v>
      </c>
      <c r="I7" s="63">
        <f>E7*營業基本資訊!$D$5</f>
        <v>72.517573333333331</v>
      </c>
      <c r="J7" s="63">
        <f t="shared" si="3"/>
        <v>7</v>
      </c>
      <c r="K7" s="62">
        <f t="shared" si="4"/>
        <v>79.517573333333331</v>
      </c>
      <c r="L7" s="66">
        <f t="shared" si="5"/>
        <v>32.482426666666669</v>
      </c>
      <c r="M7" s="64">
        <f t="shared" si="6"/>
        <v>0.23201733333333335</v>
      </c>
      <c r="N7" s="149">
        <f t="shared" si="7"/>
        <v>0</v>
      </c>
      <c r="O7" s="43">
        <f t="shared" si="8"/>
        <v>0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</row>
    <row r="8" spans="1:32" ht="14.25" customHeight="1">
      <c r="A8" s="278"/>
      <c r="B8" s="278"/>
      <c r="C8" s="65" t="s">
        <v>93</v>
      </c>
      <c r="D8" s="58">
        <v>272</v>
      </c>
      <c r="E8" s="58">
        <v>140</v>
      </c>
      <c r="F8" s="59">
        <v>31</v>
      </c>
      <c r="G8" s="60">
        <f t="shared" si="1"/>
        <v>109</v>
      </c>
      <c r="H8" s="61">
        <f t="shared" si="2"/>
        <v>0.77857142857142858</v>
      </c>
      <c r="I8" s="63">
        <f>E8*營業基本資訊!$D$5</f>
        <v>72.517573333333331</v>
      </c>
      <c r="J8" s="63">
        <f t="shared" si="3"/>
        <v>7</v>
      </c>
      <c r="K8" s="62">
        <f t="shared" si="4"/>
        <v>79.517573333333331</v>
      </c>
      <c r="L8" s="66">
        <f t="shared" si="5"/>
        <v>29.482426666666669</v>
      </c>
      <c r="M8" s="64">
        <f t="shared" si="6"/>
        <v>0.21058876190476192</v>
      </c>
      <c r="N8" s="149">
        <f t="shared" si="7"/>
        <v>8019.2200533333335</v>
      </c>
      <c r="O8" s="43">
        <f t="shared" si="8"/>
        <v>38080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</row>
    <row r="9" spans="1:32" ht="14.25" customHeight="1">
      <c r="A9" s="278"/>
      <c r="B9" s="278"/>
      <c r="C9" s="58" t="s">
        <v>94</v>
      </c>
      <c r="D9" s="58">
        <v>98</v>
      </c>
      <c r="E9" s="58">
        <v>140</v>
      </c>
      <c r="F9" s="59">
        <v>28</v>
      </c>
      <c r="G9" s="60">
        <f t="shared" si="1"/>
        <v>112</v>
      </c>
      <c r="H9" s="61">
        <f t="shared" si="2"/>
        <v>0.8</v>
      </c>
      <c r="I9" s="63">
        <f>E9*營業基本資訊!$D$5</f>
        <v>72.517573333333331</v>
      </c>
      <c r="J9" s="63">
        <f t="shared" si="3"/>
        <v>7</v>
      </c>
      <c r="K9" s="62">
        <f t="shared" si="4"/>
        <v>79.517573333333331</v>
      </c>
      <c r="L9" s="66">
        <f t="shared" si="5"/>
        <v>32.482426666666669</v>
      </c>
      <c r="M9" s="64">
        <f t="shared" si="6"/>
        <v>0.23201733333333335</v>
      </c>
      <c r="N9" s="149">
        <f t="shared" si="7"/>
        <v>3183.2778133333336</v>
      </c>
      <c r="O9" s="43">
        <f t="shared" si="8"/>
        <v>13720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</row>
    <row r="10" spans="1:32" ht="19.5">
      <c r="A10" s="281" t="s">
        <v>133</v>
      </c>
      <c r="B10" s="282" t="s">
        <v>88</v>
      </c>
      <c r="C10" s="58" t="s">
        <v>89</v>
      </c>
      <c r="D10" s="68">
        <v>300</v>
      </c>
      <c r="E10" s="68">
        <v>117</v>
      </c>
      <c r="F10" s="69">
        <v>22</v>
      </c>
      <c r="G10" s="60">
        <f t="shared" si="1"/>
        <v>95</v>
      </c>
      <c r="H10" s="61">
        <f t="shared" si="2"/>
        <v>0.81196581196581197</v>
      </c>
      <c r="I10" s="63">
        <f>E10*營業基本資訊!$D$5</f>
        <v>60.603972000000006</v>
      </c>
      <c r="J10" s="63">
        <f t="shared" si="3"/>
        <v>5.8500000000000005</v>
      </c>
      <c r="K10" s="62">
        <f t="shared" si="4"/>
        <v>66.453972000000007</v>
      </c>
      <c r="L10" s="66">
        <f t="shared" si="5"/>
        <v>28.546027999999993</v>
      </c>
      <c r="M10" s="64">
        <f t="shared" si="6"/>
        <v>0.24398314529914525</v>
      </c>
      <c r="N10" s="149">
        <f t="shared" si="7"/>
        <v>8563.8083999999981</v>
      </c>
      <c r="O10" s="43">
        <f t="shared" si="8"/>
        <v>35100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</row>
    <row r="11" spans="1:32" ht="19.5">
      <c r="A11" s="278"/>
      <c r="B11" s="278"/>
      <c r="C11" s="65" t="s">
        <v>90</v>
      </c>
      <c r="D11" s="68">
        <v>375</v>
      </c>
      <c r="E11" s="68">
        <v>117</v>
      </c>
      <c r="F11" s="69">
        <v>25</v>
      </c>
      <c r="G11" s="60">
        <f t="shared" si="1"/>
        <v>92</v>
      </c>
      <c r="H11" s="61">
        <f t="shared" si="2"/>
        <v>0.78632478632478631</v>
      </c>
      <c r="I11" s="63">
        <f>E11*營業基本資訊!$D$5</f>
        <v>60.603972000000006</v>
      </c>
      <c r="J11" s="63">
        <f t="shared" si="3"/>
        <v>5.8500000000000005</v>
      </c>
      <c r="K11" s="62">
        <f t="shared" si="4"/>
        <v>66.453972000000007</v>
      </c>
      <c r="L11" s="66">
        <f t="shared" si="5"/>
        <v>25.546027999999993</v>
      </c>
      <c r="M11" s="64">
        <f t="shared" si="6"/>
        <v>0.21834211965811959</v>
      </c>
      <c r="N11" s="149">
        <f t="shared" si="7"/>
        <v>9579.7604999999967</v>
      </c>
      <c r="O11" s="43">
        <f t="shared" si="8"/>
        <v>43875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1:32" ht="19.5">
      <c r="A12" s="278"/>
      <c r="B12" s="278"/>
      <c r="C12" s="65" t="s">
        <v>91</v>
      </c>
      <c r="D12" s="68">
        <v>163</v>
      </c>
      <c r="E12" s="68">
        <v>130</v>
      </c>
      <c r="F12" s="69">
        <v>30</v>
      </c>
      <c r="G12" s="60">
        <f t="shared" si="1"/>
        <v>100</v>
      </c>
      <c r="H12" s="61">
        <f t="shared" si="2"/>
        <v>0.76923076923076927</v>
      </c>
      <c r="I12" s="63">
        <f>E12*營業基本資訊!$D$5</f>
        <v>67.337746666666675</v>
      </c>
      <c r="J12" s="63">
        <f t="shared" si="3"/>
        <v>6.5</v>
      </c>
      <c r="K12" s="62">
        <f t="shared" si="4"/>
        <v>73.837746666666675</v>
      </c>
      <c r="L12" s="66">
        <f t="shared" si="5"/>
        <v>26.162253333333325</v>
      </c>
      <c r="M12" s="64">
        <f t="shared" si="6"/>
        <v>0.2012481025641025</v>
      </c>
      <c r="N12" s="149">
        <f t="shared" si="7"/>
        <v>4264.4472933333318</v>
      </c>
      <c r="O12" s="43">
        <f t="shared" si="8"/>
        <v>21190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 spans="1:32" ht="19.5">
      <c r="A13" s="278"/>
      <c r="B13" s="278"/>
      <c r="C13" s="65" t="s">
        <v>92</v>
      </c>
      <c r="D13" s="68">
        <v>246</v>
      </c>
      <c r="E13" s="68">
        <v>130</v>
      </c>
      <c r="F13" s="69">
        <v>24</v>
      </c>
      <c r="G13" s="60">
        <f t="shared" si="1"/>
        <v>106</v>
      </c>
      <c r="H13" s="61">
        <f t="shared" si="2"/>
        <v>0.81538461538461537</v>
      </c>
      <c r="I13" s="63">
        <f>E13*營業基本資訊!$D$5</f>
        <v>67.337746666666675</v>
      </c>
      <c r="J13" s="63">
        <f t="shared" si="3"/>
        <v>6.5</v>
      </c>
      <c r="K13" s="62">
        <f t="shared" si="4"/>
        <v>73.837746666666675</v>
      </c>
      <c r="L13" s="66">
        <f t="shared" si="5"/>
        <v>32.162253333333325</v>
      </c>
      <c r="M13" s="64">
        <f t="shared" si="6"/>
        <v>0.24740194871794866</v>
      </c>
      <c r="N13" s="149">
        <f t="shared" si="7"/>
        <v>7911.914319999998</v>
      </c>
      <c r="O13" s="43">
        <f t="shared" si="8"/>
        <v>31980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spans="1:32" ht="19.5">
      <c r="A14" s="281" t="s">
        <v>96</v>
      </c>
      <c r="B14" s="283" t="s">
        <v>97</v>
      </c>
      <c r="C14" s="58" t="s">
        <v>89</v>
      </c>
      <c r="D14" s="68">
        <v>360</v>
      </c>
      <c r="E14" s="68">
        <v>110</v>
      </c>
      <c r="F14" s="69">
        <v>22</v>
      </c>
      <c r="G14" s="60">
        <f t="shared" si="1"/>
        <v>88</v>
      </c>
      <c r="H14" s="61">
        <f t="shared" si="2"/>
        <v>0.8</v>
      </c>
      <c r="I14" s="63">
        <f>E14*營業基本資訊!$D$5</f>
        <v>56.978093333333334</v>
      </c>
      <c r="J14" s="63">
        <f t="shared" si="3"/>
        <v>5.5</v>
      </c>
      <c r="K14" s="62">
        <f t="shared" si="4"/>
        <v>62.478093333333334</v>
      </c>
      <c r="L14" s="66">
        <f t="shared" si="5"/>
        <v>25.521906666666666</v>
      </c>
      <c r="M14" s="64">
        <f t="shared" si="6"/>
        <v>0.23201733333333333</v>
      </c>
      <c r="N14" s="149">
        <f t="shared" si="7"/>
        <v>9187.8863999999994</v>
      </c>
      <c r="O14" s="43">
        <f t="shared" si="8"/>
        <v>39600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</row>
    <row r="15" spans="1:32" ht="14.25" customHeight="1">
      <c r="A15" s="278"/>
      <c r="B15" s="278"/>
      <c r="C15" s="65" t="s">
        <v>90</v>
      </c>
      <c r="D15" s="68">
        <v>756</v>
      </c>
      <c r="E15" s="68">
        <v>110</v>
      </c>
      <c r="F15" s="69">
        <v>25</v>
      </c>
      <c r="G15" s="60">
        <f t="shared" si="1"/>
        <v>85</v>
      </c>
      <c r="H15" s="61">
        <f t="shared" si="2"/>
        <v>0.77272727272727271</v>
      </c>
      <c r="I15" s="63">
        <f>E15*營業基本資訊!$D$5</f>
        <v>56.978093333333334</v>
      </c>
      <c r="J15" s="63">
        <f t="shared" si="3"/>
        <v>5.5</v>
      </c>
      <c r="K15" s="62">
        <f t="shared" si="4"/>
        <v>62.478093333333334</v>
      </c>
      <c r="L15" s="66">
        <f t="shared" si="5"/>
        <v>22.521906666666666</v>
      </c>
      <c r="M15" s="64">
        <f t="shared" si="6"/>
        <v>0.20474460606060604</v>
      </c>
      <c r="N15" s="149">
        <f t="shared" si="7"/>
        <v>17026.561439999998</v>
      </c>
      <c r="O15" s="43">
        <f t="shared" si="8"/>
        <v>83160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1:32" ht="14.25" customHeight="1">
      <c r="A16" s="278"/>
      <c r="B16" s="278"/>
      <c r="C16" s="65" t="s">
        <v>91</v>
      </c>
      <c r="D16" s="68">
        <v>396</v>
      </c>
      <c r="E16" s="68">
        <v>122</v>
      </c>
      <c r="F16" s="69">
        <v>30</v>
      </c>
      <c r="G16" s="60">
        <f t="shared" si="1"/>
        <v>92</v>
      </c>
      <c r="H16" s="61">
        <f t="shared" si="2"/>
        <v>0.75409836065573765</v>
      </c>
      <c r="I16" s="63">
        <f>E16*營業基本資訊!$D$5</f>
        <v>63.193885333333341</v>
      </c>
      <c r="J16" s="63">
        <f t="shared" si="3"/>
        <v>6.1000000000000005</v>
      </c>
      <c r="K16" s="62">
        <f t="shared" si="4"/>
        <v>69.293885333333336</v>
      </c>
      <c r="L16" s="66">
        <f t="shared" si="5"/>
        <v>22.706114666666664</v>
      </c>
      <c r="M16" s="64">
        <f t="shared" si="6"/>
        <v>0.18611569398907102</v>
      </c>
      <c r="N16" s="149">
        <f t="shared" si="7"/>
        <v>8991.6214079999991</v>
      </c>
      <c r="O16" s="43">
        <f t="shared" si="8"/>
        <v>48312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</row>
    <row r="17" spans="1:32" ht="14.25" customHeight="1">
      <c r="A17" s="278"/>
      <c r="B17" s="278"/>
      <c r="C17" s="65" t="s">
        <v>92</v>
      </c>
      <c r="D17" s="68">
        <v>360</v>
      </c>
      <c r="E17" s="68">
        <v>122</v>
      </c>
      <c r="F17" s="69">
        <v>24</v>
      </c>
      <c r="G17" s="60">
        <f t="shared" si="1"/>
        <v>98</v>
      </c>
      <c r="H17" s="61">
        <f t="shared" si="2"/>
        <v>0.80327868852459017</v>
      </c>
      <c r="I17" s="63">
        <f>E17*營業基本資訊!$D$5</f>
        <v>63.193885333333341</v>
      </c>
      <c r="J17" s="63">
        <f t="shared" si="3"/>
        <v>6.1000000000000005</v>
      </c>
      <c r="K17" s="62">
        <f t="shared" si="4"/>
        <v>69.293885333333336</v>
      </c>
      <c r="L17" s="66">
        <f t="shared" si="5"/>
        <v>28.706114666666664</v>
      </c>
      <c r="M17" s="64">
        <f t="shared" si="6"/>
        <v>0.23529602185792348</v>
      </c>
      <c r="N17" s="149">
        <f t="shared" si="7"/>
        <v>10334.201279999999</v>
      </c>
      <c r="O17" s="43">
        <f t="shared" si="8"/>
        <v>43920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</row>
    <row r="18" spans="1:32" ht="19.5">
      <c r="A18" s="284" t="s">
        <v>134</v>
      </c>
      <c r="B18" s="283" t="s">
        <v>97</v>
      </c>
      <c r="C18" s="58" t="s">
        <v>89</v>
      </c>
      <c r="D18" s="68">
        <v>288</v>
      </c>
      <c r="E18" s="68">
        <v>99</v>
      </c>
      <c r="F18" s="69">
        <v>22</v>
      </c>
      <c r="G18" s="60">
        <f t="shared" si="1"/>
        <v>77</v>
      </c>
      <c r="H18" s="61">
        <f t="shared" si="2"/>
        <v>0.77777777777777779</v>
      </c>
      <c r="I18" s="63">
        <f>E18*營業基本資訊!$D$5</f>
        <v>51.280284000000002</v>
      </c>
      <c r="J18" s="63">
        <f t="shared" si="3"/>
        <v>4.95</v>
      </c>
      <c r="K18" s="62">
        <f t="shared" si="4"/>
        <v>56.230284000000005</v>
      </c>
      <c r="L18" s="66">
        <f t="shared" si="5"/>
        <v>20.769715999999995</v>
      </c>
      <c r="M18" s="64">
        <f t="shared" si="6"/>
        <v>0.20979511111111107</v>
      </c>
      <c r="N18" s="149">
        <f t="shared" si="7"/>
        <v>5981.6782079999984</v>
      </c>
      <c r="O18" s="43">
        <f t="shared" si="8"/>
        <v>28512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</row>
    <row r="19" spans="1:32" ht="14.25" customHeight="1">
      <c r="A19" s="278"/>
      <c r="B19" s="278"/>
      <c r="C19" s="65" t="s">
        <v>90</v>
      </c>
      <c r="D19" s="68">
        <v>1980</v>
      </c>
      <c r="E19" s="68">
        <v>99</v>
      </c>
      <c r="F19" s="69">
        <v>25</v>
      </c>
      <c r="G19" s="60">
        <f t="shared" si="1"/>
        <v>74</v>
      </c>
      <c r="H19" s="61">
        <f t="shared" si="2"/>
        <v>0.74747474747474751</v>
      </c>
      <c r="I19" s="63">
        <f>E19*營業基本資訊!$D$5</f>
        <v>51.280284000000002</v>
      </c>
      <c r="J19" s="63">
        <f t="shared" si="3"/>
        <v>4.95</v>
      </c>
      <c r="K19" s="62">
        <f t="shared" si="4"/>
        <v>56.230284000000005</v>
      </c>
      <c r="L19" s="66">
        <f t="shared" si="5"/>
        <v>17.769715999999995</v>
      </c>
      <c r="M19" s="64">
        <f t="shared" si="6"/>
        <v>0.17949208080808077</v>
      </c>
      <c r="N19" s="149">
        <f t="shared" si="7"/>
        <v>35184.037679999994</v>
      </c>
      <c r="O19" s="43">
        <f t="shared" si="8"/>
        <v>196020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1:32" ht="14.25" customHeight="1">
      <c r="A20" s="278"/>
      <c r="B20" s="278"/>
      <c r="C20" s="65" t="s">
        <v>91</v>
      </c>
      <c r="D20" s="68">
        <v>828</v>
      </c>
      <c r="E20" s="68">
        <v>110</v>
      </c>
      <c r="F20" s="69">
        <v>30</v>
      </c>
      <c r="G20" s="60">
        <f t="shared" si="1"/>
        <v>80</v>
      </c>
      <c r="H20" s="61">
        <f t="shared" si="2"/>
        <v>0.72727272727272729</v>
      </c>
      <c r="I20" s="63">
        <f>E20*營業基本資訊!$D$5</f>
        <v>56.978093333333334</v>
      </c>
      <c r="J20" s="63">
        <f t="shared" si="3"/>
        <v>5.5</v>
      </c>
      <c r="K20" s="62">
        <f t="shared" si="4"/>
        <v>62.478093333333334</v>
      </c>
      <c r="L20" s="66">
        <f t="shared" si="5"/>
        <v>17.521906666666666</v>
      </c>
      <c r="M20" s="64">
        <f t="shared" si="6"/>
        <v>0.1592900606060606</v>
      </c>
      <c r="N20" s="149">
        <f t="shared" si="7"/>
        <v>14508.138719999999</v>
      </c>
      <c r="O20" s="43">
        <f t="shared" si="8"/>
        <v>91080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spans="1:32" ht="14.25" customHeight="1">
      <c r="A21" s="278"/>
      <c r="B21" s="278"/>
      <c r="C21" s="65" t="s">
        <v>92</v>
      </c>
      <c r="D21" s="68">
        <v>468</v>
      </c>
      <c r="E21" s="68">
        <v>110</v>
      </c>
      <c r="F21" s="69">
        <v>24</v>
      </c>
      <c r="G21" s="60">
        <f t="shared" si="1"/>
        <v>86</v>
      </c>
      <c r="H21" s="61">
        <f t="shared" si="2"/>
        <v>0.78181818181818186</v>
      </c>
      <c r="I21" s="63">
        <f>E21*營業基本資訊!$D$5</f>
        <v>56.978093333333334</v>
      </c>
      <c r="J21" s="63">
        <f t="shared" si="3"/>
        <v>5.5</v>
      </c>
      <c r="K21" s="62">
        <f t="shared" si="4"/>
        <v>62.478093333333334</v>
      </c>
      <c r="L21" s="66">
        <f t="shared" si="5"/>
        <v>23.521906666666666</v>
      </c>
      <c r="M21" s="64">
        <f t="shared" si="6"/>
        <v>0.21383551515151514</v>
      </c>
      <c r="N21" s="149">
        <f t="shared" si="7"/>
        <v>11008.25232</v>
      </c>
      <c r="O21" s="43">
        <f t="shared" si="8"/>
        <v>51480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spans="1:32" ht="15.75" customHeight="1">
      <c r="A22" s="281" t="s">
        <v>99</v>
      </c>
      <c r="B22" s="283" t="s">
        <v>97</v>
      </c>
      <c r="C22" s="58" t="s">
        <v>89</v>
      </c>
      <c r="D22" s="68"/>
      <c r="E22" s="68">
        <v>135</v>
      </c>
      <c r="F22" s="69">
        <v>33.299999999999997</v>
      </c>
      <c r="G22" s="60">
        <f t="shared" si="1"/>
        <v>101.7</v>
      </c>
      <c r="H22" s="61">
        <f t="shared" si="2"/>
        <v>0.7533333333333333</v>
      </c>
      <c r="I22" s="63">
        <f>E22*營業基本資訊!$D$5</f>
        <v>69.927660000000003</v>
      </c>
      <c r="J22" s="63">
        <f t="shared" si="3"/>
        <v>6.75</v>
      </c>
      <c r="K22" s="62">
        <f t="shared" si="4"/>
        <v>76.677660000000003</v>
      </c>
      <c r="L22" s="66">
        <f t="shared" si="5"/>
        <v>25.02234</v>
      </c>
      <c r="M22" s="64">
        <f t="shared" si="6"/>
        <v>0.18535066666666666</v>
      </c>
      <c r="N22" s="149">
        <f t="shared" si="7"/>
        <v>0</v>
      </c>
      <c r="O22" s="43">
        <f t="shared" si="8"/>
        <v>0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1:32" ht="15.75" customHeight="1">
      <c r="A23" s="278"/>
      <c r="B23" s="278"/>
      <c r="C23" s="65" t="s">
        <v>90</v>
      </c>
      <c r="D23" s="68"/>
      <c r="E23" s="68">
        <v>135</v>
      </c>
      <c r="F23" s="69">
        <v>36.299999999999997</v>
      </c>
      <c r="G23" s="60">
        <f t="shared" si="1"/>
        <v>98.7</v>
      </c>
      <c r="H23" s="61">
        <f t="shared" si="2"/>
        <v>0.73111111111111116</v>
      </c>
      <c r="I23" s="63">
        <f>E23*營業基本資訊!$D$5</f>
        <v>69.927660000000003</v>
      </c>
      <c r="J23" s="63">
        <f t="shared" si="3"/>
        <v>6.75</v>
      </c>
      <c r="K23" s="62">
        <f t="shared" si="4"/>
        <v>76.677660000000003</v>
      </c>
      <c r="L23" s="66">
        <f t="shared" si="5"/>
        <v>22.02234</v>
      </c>
      <c r="M23" s="64">
        <f t="shared" si="6"/>
        <v>0.16312844444444444</v>
      </c>
      <c r="N23" s="149">
        <f t="shared" si="7"/>
        <v>0</v>
      </c>
      <c r="O23" s="43">
        <f t="shared" si="8"/>
        <v>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1:32" ht="15.75" customHeight="1">
      <c r="A24" s="278"/>
      <c r="B24" s="278"/>
      <c r="C24" s="65" t="s">
        <v>91</v>
      </c>
      <c r="D24" s="68"/>
      <c r="E24" s="68">
        <v>150</v>
      </c>
      <c r="F24" s="69">
        <v>41.5</v>
      </c>
      <c r="G24" s="60">
        <f t="shared" si="1"/>
        <v>108.5</v>
      </c>
      <c r="H24" s="61">
        <f t="shared" si="2"/>
        <v>0.72333333333333338</v>
      </c>
      <c r="I24" s="63">
        <f>E24*營業基本資訊!$D$5</f>
        <v>77.697400000000002</v>
      </c>
      <c r="J24" s="63">
        <f t="shared" si="3"/>
        <v>7.5</v>
      </c>
      <c r="K24" s="62">
        <f t="shared" si="4"/>
        <v>85.197400000000002</v>
      </c>
      <c r="L24" s="66">
        <f t="shared" si="5"/>
        <v>23.302599999999998</v>
      </c>
      <c r="M24" s="64">
        <f t="shared" si="6"/>
        <v>0.15535066666666666</v>
      </c>
      <c r="N24" s="149">
        <f t="shared" si="7"/>
        <v>0</v>
      </c>
      <c r="O24" s="43">
        <f t="shared" si="8"/>
        <v>0</v>
      </c>
      <c r="P24" s="71"/>
      <c r="Q24" s="72"/>
      <c r="R24" s="73"/>
      <c r="S24" s="74"/>
      <c r="T24" s="153"/>
      <c r="U24" s="75"/>
      <c r="V24" s="76"/>
      <c r="W24" s="77"/>
      <c r="X24" s="78"/>
      <c r="Y24" s="78"/>
      <c r="Z24" s="78"/>
      <c r="AA24" s="78"/>
      <c r="AB24" s="77"/>
      <c r="AC24" s="79"/>
      <c r="AD24" s="64"/>
      <c r="AE24" s="43"/>
      <c r="AF24" s="43"/>
    </row>
    <row r="25" spans="1:32" ht="15.75" customHeight="1">
      <c r="A25" s="278"/>
      <c r="B25" s="278"/>
      <c r="C25" s="65" t="s">
        <v>92</v>
      </c>
      <c r="D25" s="68"/>
      <c r="E25" s="68">
        <v>150</v>
      </c>
      <c r="F25" s="69">
        <v>35.299999999999997</v>
      </c>
      <c r="G25" s="60">
        <f t="shared" si="1"/>
        <v>114.7</v>
      </c>
      <c r="H25" s="61">
        <f t="shared" si="2"/>
        <v>0.76466666666666672</v>
      </c>
      <c r="I25" s="63">
        <f>E25*營業基本資訊!$D$5</f>
        <v>77.697400000000002</v>
      </c>
      <c r="J25" s="63">
        <f t="shared" si="3"/>
        <v>7.5</v>
      </c>
      <c r="K25" s="62">
        <f t="shared" si="4"/>
        <v>85.197400000000002</v>
      </c>
      <c r="L25" s="66">
        <f t="shared" si="5"/>
        <v>29.502600000000001</v>
      </c>
      <c r="M25" s="64">
        <f t="shared" si="6"/>
        <v>0.196684</v>
      </c>
      <c r="N25" s="149">
        <f t="shared" si="7"/>
        <v>0</v>
      </c>
      <c r="O25" s="43">
        <f t="shared" si="8"/>
        <v>0</v>
      </c>
      <c r="P25" s="71"/>
      <c r="Q25" s="72"/>
      <c r="R25" s="73"/>
      <c r="S25" s="74"/>
      <c r="T25" s="153"/>
      <c r="U25" s="75"/>
      <c r="V25" s="76"/>
      <c r="W25" s="77"/>
      <c r="X25" s="78"/>
      <c r="Y25" s="78"/>
      <c r="Z25" s="78"/>
      <c r="AA25" s="78"/>
      <c r="AB25" s="77"/>
      <c r="AC25" s="79"/>
      <c r="AD25" s="64"/>
      <c r="AE25" s="43"/>
      <c r="AF25" s="43"/>
    </row>
    <row r="26" spans="1:32" ht="15.75" customHeight="1">
      <c r="A26" s="287" t="s">
        <v>100</v>
      </c>
      <c r="B26" s="286" t="s">
        <v>101</v>
      </c>
      <c r="C26" s="58" t="s">
        <v>89</v>
      </c>
      <c r="D26" s="68">
        <v>240</v>
      </c>
      <c r="E26" s="68">
        <v>100</v>
      </c>
      <c r="F26" s="69">
        <v>21</v>
      </c>
      <c r="G26" s="60">
        <f t="shared" si="1"/>
        <v>79</v>
      </c>
      <c r="H26" s="61">
        <f t="shared" si="2"/>
        <v>0.79</v>
      </c>
      <c r="I26" s="63">
        <f>E26*營業基本資訊!$D$5</f>
        <v>51.79826666666667</v>
      </c>
      <c r="J26" s="63">
        <f t="shared" si="3"/>
        <v>5</v>
      </c>
      <c r="K26" s="62">
        <f t="shared" si="4"/>
        <v>56.79826666666667</v>
      </c>
      <c r="L26" s="66">
        <f t="shared" si="5"/>
        <v>22.20173333333333</v>
      </c>
      <c r="M26" s="64">
        <f t="shared" si="6"/>
        <v>0.22201733333333329</v>
      </c>
      <c r="N26" s="149">
        <f t="shared" si="7"/>
        <v>5328.4159999999993</v>
      </c>
      <c r="O26" s="43">
        <f t="shared" si="8"/>
        <v>24000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 ht="15.75" customHeight="1">
      <c r="A27" s="278"/>
      <c r="B27" s="278"/>
      <c r="C27" s="65" t="s">
        <v>90</v>
      </c>
      <c r="D27" s="68">
        <v>1020</v>
      </c>
      <c r="E27" s="68">
        <v>110</v>
      </c>
      <c r="F27" s="69">
        <v>27</v>
      </c>
      <c r="G27" s="60">
        <f t="shared" si="1"/>
        <v>83</v>
      </c>
      <c r="H27" s="61">
        <f t="shared" si="2"/>
        <v>0.75454545454545452</v>
      </c>
      <c r="I27" s="63">
        <f>E27*營業基本資訊!$D$5</f>
        <v>56.978093333333334</v>
      </c>
      <c r="J27" s="63">
        <f t="shared" si="3"/>
        <v>5.5</v>
      </c>
      <c r="K27" s="62">
        <f t="shared" si="4"/>
        <v>62.478093333333334</v>
      </c>
      <c r="L27" s="66">
        <f t="shared" si="5"/>
        <v>20.521906666666666</v>
      </c>
      <c r="M27" s="64">
        <f t="shared" si="6"/>
        <v>0.18656278787878788</v>
      </c>
      <c r="N27" s="149">
        <f t="shared" si="7"/>
        <v>20932.344799999999</v>
      </c>
      <c r="O27" s="43">
        <f t="shared" si="8"/>
        <v>112200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 ht="15.75" customHeight="1">
      <c r="A28" s="278"/>
      <c r="B28" s="278"/>
      <c r="C28" s="65" t="s">
        <v>91</v>
      </c>
      <c r="D28" s="68">
        <v>120</v>
      </c>
      <c r="E28" s="68">
        <v>140</v>
      </c>
      <c r="F28" s="69">
        <v>33</v>
      </c>
      <c r="G28" s="60">
        <f t="shared" si="1"/>
        <v>107</v>
      </c>
      <c r="H28" s="61">
        <f t="shared" si="2"/>
        <v>0.76428571428571423</v>
      </c>
      <c r="I28" s="63">
        <f>E28*營業基本資訊!$D$5</f>
        <v>72.517573333333331</v>
      </c>
      <c r="J28" s="63">
        <f t="shared" si="3"/>
        <v>7</v>
      </c>
      <c r="K28" s="62">
        <f t="shared" si="4"/>
        <v>79.517573333333331</v>
      </c>
      <c r="L28" s="66">
        <f t="shared" si="5"/>
        <v>27.482426666666669</v>
      </c>
      <c r="M28" s="64">
        <f t="shared" si="6"/>
        <v>0.19630304761904763</v>
      </c>
      <c r="N28" s="149">
        <f t="shared" si="7"/>
        <v>3297.8912</v>
      </c>
      <c r="O28" s="43">
        <f t="shared" si="8"/>
        <v>16800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 ht="15.75" customHeight="1">
      <c r="A29" s="278"/>
      <c r="B29" s="278"/>
      <c r="C29" s="65" t="s">
        <v>92</v>
      </c>
      <c r="D29" s="68">
        <v>40</v>
      </c>
      <c r="E29" s="68">
        <v>130</v>
      </c>
      <c r="F29" s="69">
        <v>26</v>
      </c>
      <c r="G29" s="60">
        <f t="shared" si="1"/>
        <v>104</v>
      </c>
      <c r="H29" s="61">
        <f t="shared" si="2"/>
        <v>0.8</v>
      </c>
      <c r="I29" s="63">
        <f>E29*營業基本資訊!$D$5</f>
        <v>67.337746666666675</v>
      </c>
      <c r="J29" s="63">
        <f t="shared" si="3"/>
        <v>6.5</v>
      </c>
      <c r="K29" s="62">
        <f t="shared" si="4"/>
        <v>73.837746666666675</v>
      </c>
      <c r="L29" s="66">
        <f t="shared" si="5"/>
        <v>30.162253333333325</v>
      </c>
      <c r="M29" s="64">
        <f t="shared" si="6"/>
        <v>0.23201733333333327</v>
      </c>
      <c r="N29" s="149">
        <f t="shared" si="7"/>
        <v>1206.490133333333</v>
      </c>
      <c r="O29" s="43">
        <f t="shared" si="8"/>
        <v>5200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spans="1:32" ht="15.75" customHeight="1">
      <c r="A30" s="281" t="s">
        <v>102</v>
      </c>
      <c r="B30" s="285" t="s">
        <v>103</v>
      </c>
      <c r="C30" s="58" t="s">
        <v>89</v>
      </c>
      <c r="D30" s="80"/>
      <c r="E30" s="68">
        <v>100</v>
      </c>
      <c r="F30" s="69">
        <v>34</v>
      </c>
      <c r="G30" s="60">
        <f t="shared" si="1"/>
        <v>66</v>
      </c>
      <c r="H30" s="61">
        <f t="shared" si="2"/>
        <v>0.66</v>
      </c>
      <c r="I30" s="63">
        <f>E30*營業基本資訊!$D$5</f>
        <v>51.79826666666667</v>
      </c>
      <c r="J30" s="63">
        <f t="shared" si="3"/>
        <v>5</v>
      </c>
      <c r="K30" s="62">
        <f t="shared" si="4"/>
        <v>56.79826666666667</v>
      </c>
      <c r="L30" s="66">
        <f t="shared" si="5"/>
        <v>9.2017333333333298</v>
      </c>
      <c r="M30" s="64">
        <f t="shared" si="6"/>
        <v>9.2017333333333298E-2</v>
      </c>
      <c r="N30" s="149">
        <f t="shared" si="7"/>
        <v>0</v>
      </c>
      <c r="O30" s="43">
        <f t="shared" si="8"/>
        <v>0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 ht="15.75" customHeight="1">
      <c r="A31" s="278"/>
      <c r="B31" s="278"/>
      <c r="C31" s="65" t="s">
        <v>90</v>
      </c>
      <c r="D31" s="80"/>
      <c r="E31" s="68">
        <v>130</v>
      </c>
      <c r="F31" s="69">
        <v>40</v>
      </c>
      <c r="G31" s="60">
        <f t="shared" si="1"/>
        <v>90</v>
      </c>
      <c r="H31" s="61">
        <f t="shared" si="2"/>
        <v>0.69230769230769229</v>
      </c>
      <c r="I31" s="63">
        <f>E31*營業基本資訊!$D$5</f>
        <v>67.337746666666675</v>
      </c>
      <c r="J31" s="63">
        <f t="shared" si="3"/>
        <v>6.5</v>
      </c>
      <c r="K31" s="62">
        <f t="shared" si="4"/>
        <v>73.837746666666675</v>
      </c>
      <c r="L31" s="66">
        <f t="shared" si="5"/>
        <v>16.162253333333325</v>
      </c>
      <c r="M31" s="64">
        <f t="shared" si="6"/>
        <v>0.12432502564102557</v>
      </c>
      <c r="N31" s="149">
        <f t="shared" si="7"/>
        <v>0</v>
      </c>
      <c r="O31" s="43">
        <f t="shared" si="8"/>
        <v>0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 ht="15.75" customHeight="1">
      <c r="A32" s="278"/>
      <c r="B32" s="278"/>
      <c r="C32" s="65" t="s">
        <v>91</v>
      </c>
      <c r="D32" s="80"/>
      <c r="E32" s="68">
        <v>130</v>
      </c>
      <c r="F32" s="69">
        <v>47</v>
      </c>
      <c r="G32" s="60">
        <f t="shared" si="1"/>
        <v>83</v>
      </c>
      <c r="H32" s="61">
        <f t="shared" si="2"/>
        <v>0.63846153846153841</v>
      </c>
      <c r="I32" s="63">
        <f>E32*營業基本資訊!$D$5</f>
        <v>67.337746666666675</v>
      </c>
      <c r="J32" s="63">
        <f t="shared" si="3"/>
        <v>6.5</v>
      </c>
      <c r="K32" s="62">
        <f t="shared" si="4"/>
        <v>73.837746666666675</v>
      </c>
      <c r="L32" s="66">
        <f t="shared" si="5"/>
        <v>9.1622533333333251</v>
      </c>
      <c r="M32" s="64">
        <f t="shared" si="6"/>
        <v>7.0478871794871736E-2</v>
      </c>
      <c r="N32" s="149">
        <f t="shared" si="7"/>
        <v>0</v>
      </c>
      <c r="O32" s="43">
        <f t="shared" si="8"/>
        <v>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 ht="15.75" customHeight="1">
      <c r="A33" s="278"/>
      <c r="B33" s="278"/>
      <c r="C33" s="65" t="s">
        <v>92</v>
      </c>
      <c r="D33" s="80"/>
      <c r="E33" s="68">
        <v>130</v>
      </c>
      <c r="F33" s="69">
        <v>39</v>
      </c>
      <c r="G33" s="60">
        <f t="shared" si="1"/>
        <v>91</v>
      </c>
      <c r="H33" s="61">
        <f t="shared" si="2"/>
        <v>0.7</v>
      </c>
      <c r="I33" s="63">
        <f>E33*營業基本資訊!$D$5</f>
        <v>67.337746666666675</v>
      </c>
      <c r="J33" s="63">
        <f t="shared" si="3"/>
        <v>6.5</v>
      </c>
      <c r="K33" s="62">
        <f t="shared" si="4"/>
        <v>73.837746666666675</v>
      </c>
      <c r="L33" s="66">
        <f t="shared" si="5"/>
        <v>17.162253333333325</v>
      </c>
      <c r="M33" s="64">
        <f t="shared" si="6"/>
        <v>0.13201733333333326</v>
      </c>
      <c r="N33" s="149">
        <f t="shared" si="7"/>
        <v>0</v>
      </c>
      <c r="O33" s="43">
        <f t="shared" si="8"/>
        <v>0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spans="1:32" ht="15.75" customHeight="1">
      <c r="A34" s="278"/>
      <c r="B34" s="278"/>
      <c r="C34" s="82" t="s">
        <v>104</v>
      </c>
      <c r="D34" s="80"/>
      <c r="E34" s="68">
        <v>150</v>
      </c>
      <c r="F34" s="69">
        <v>46</v>
      </c>
      <c r="G34" s="60">
        <f t="shared" si="1"/>
        <v>104</v>
      </c>
      <c r="H34" s="61">
        <f t="shared" si="2"/>
        <v>0.69333333333333336</v>
      </c>
      <c r="I34" s="63">
        <f>E34*營業基本資訊!$D$5</f>
        <v>77.697400000000002</v>
      </c>
      <c r="J34" s="63">
        <f t="shared" si="3"/>
        <v>7.5</v>
      </c>
      <c r="K34" s="62">
        <f t="shared" si="4"/>
        <v>85.197400000000002</v>
      </c>
      <c r="L34" s="66">
        <f t="shared" si="5"/>
        <v>18.802599999999998</v>
      </c>
      <c r="M34" s="64">
        <f t="shared" si="6"/>
        <v>0.12535066666666667</v>
      </c>
      <c r="N34" s="149">
        <f t="shared" si="7"/>
        <v>0</v>
      </c>
      <c r="O34" s="43">
        <f t="shared" si="8"/>
        <v>0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 ht="15.75" customHeight="1">
      <c r="A35" s="278"/>
      <c r="B35" s="278"/>
      <c r="C35" s="82" t="s">
        <v>94</v>
      </c>
      <c r="D35" s="80"/>
      <c r="E35" s="68">
        <v>140</v>
      </c>
      <c r="F35" s="69">
        <v>41</v>
      </c>
      <c r="G35" s="60">
        <f t="shared" si="1"/>
        <v>99</v>
      </c>
      <c r="H35" s="61">
        <f t="shared" si="2"/>
        <v>0.70714285714285718</v>
      </c>
      <c r="I35" s="63">
        <f>E35*營業基本資訊!$D$5</f>
        <v>72.517573333333331</v>
      </c>
      <c r="J35" s="63">
        <f t="shared" si="3"/>
        <v>7</v>
      </c>
      <c r="K35" s="62">
        <f t="shared" si="4"/>
        <v>79.517573333333331</v>
      </c>
      <c r="L35" s="66">
        <f t="shared" si="5"/>
        <v>19.482426666666669</v>
      </c>
      <c r="M35" s="64">
        <f t="shared" si="6"/>
        <v>0.13916019047619049</v>
      </c>
      <c r="N35" s="149">
        <f t="shared" si="7"/>
        <v>0</v>
      </c>
      <c r="O35" s="43">
        <f t="shared" si="8"/>
        <v>0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 ht="15.75" customHeight="1">
      <c r="A36" s="67" t="s">
        <v>105</v>
      </c>
      <c r="B36" s="83"/>
      <c r="C36" s="82" t="s">
        <v>106</v>
      </c>
      <c r="D36" s="84">
        <v>2362</v>
      </c>
      <c r="E36" s="68">
        <v>130</v>
      </c>
      <c r="F36" s="69">
        <v>38.6</v>
      </c>
      <c r="G36" s="60">
        <f t="shared" si="1"/>
        <v>91.4</v>
      </c>
      <c r="H36" s="61">
        <f t="shared" si="2"/>
        <v>0.70307692307692315</v>
      </c>
      <c r="I36" s="63">
        <f>E36*營業基本資訊!$D$5</f>
        <v>67.337746666666675</v>
      </c>
      <c r="J36" s="63">
        <f t="shared" si="3"/>
        <v>6.5</v>
      </c>
      <c r="K36" s="62">
        <f t="shared" si="4"/>
        <v>73.837746666666675</v>
      </c>
      <c r="L36" s="66">
        <f t="shared" si="5"/>
        <v>17.562253333333331</v>
      </c>
      <c r="M36" s="64">
        <f t="shared" si="6"/>
        <v>0.13509425641025638</v>
      </c>
      <c r="N36" s="149">
        <f t="shared" si="7"/>
        <v>41482.042373333323</v>
      </c>
      <c r="O36" s="43">
        <f t="shared" si="8"/>
        <v>307060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 ht="15.75" customHeight="1">
      <c r="A37" s="281" t="s">
        <v>107</v>
      </c>
      <c r="B37" s="83"/>
      <c r="C37" s="82" t="s">
        <v>108</v>
      </c>
      <c r="D37" s="84">
        <v>63</v>
      </c>
      <c r="E37" s="68">
        <v>117</v>
      </c>
      <c r="F37" s="69">
        <v>51.3</v>
      </c>
      <c r="G37" s="60">
        <f t="shared" si="1"/>
        <v>65.7</v>
      </c>
      <c r="H37" s="61">
        <f t="shared" si="2"/>
        <v>0.56153846153846154</v>
      </c>
      <c r="I37" s="63">
        <f>E37*營業基本資訊!$D$5</f>
        <v>60.603972000000006</v>
      </c>
      <c r="J37" s="63">
        <f t="shared" si="3"/>
        <v>5.8500000000000005</v>
      </c>
      <c r="K37" s="62">
        <f t="shared" si="4"/>
        <v>66.453972000000007</v>
      </c>
      <c r="L37" s="66">
        <f t="shared" si="5"/>
        <v>-0.75397200000000453</v>
      </c>
      <c r="M37" s="64">
        <f t="shared" si="6"/>
        <v>-6.4442051282051667E-3</v>
      </c>
      <c r="N37" s="149">
        <f t="shared" si="7"/>
        <v>-47.500236000000285</v>
      </c>
      <c r="O37" s="43">
        <f t="shared" si="8"/>
        <v>7371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spans="1:32" ht="15.75" customHeight="1">
      <c r="A38" s="278"/>
      <c r="B38" s="83"/>
      <c r="C38" s="82" t="s">
        <v>109</v>
      </c>
      <c r="D38" s="84">
        <v>40</v>
      </c>
      <c r="E38" s="68">
        <v>117</v>
      </c>
      <c r="F38" s="69">
        <v>48</v>
      </c>
      <c r="G38" s="60">
        <f t="shared" si="1"/>
        <v>69</v>
      </c>
      <c r="H38" s="61">
        <f t="shared" si="2"/>
        <v>0.58974358974358976</v>
      </c>
      <c r="I38" s="63">
        <f>E38*營業基本資訊!$D$5</f>
        <v>60.603972000000006</v>
      </c>
      <c r="J38" s="63">
        <f t="shared" si="3"/>
        <v>5.8500000000000005</v>
      </c>
      <c r="K38" s="62">
        <f t="shared" si="4"/>
        <v>66.453972000000007</v>
      </c>
      <c r="L38" s="66">
        <f t="shared" si="5"/>
        <v>2.5460279999999926</v>
      </c>
      <c r="M38" s="64">
        <f t="shared" si="6"/>
        <v>2.1760923076923015E-2</v>
      </c>
      <c r="N38" s="149">
        <f t="shared" si="7"/>
        <v>101.84111999999971</v>
      </c>
      <c r="O38" s="43">
        <f t="shared" si="8"/>
        <v>4680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</row>
    <row r="39" spans="1:32" ht="15.75" customHeight="1">
      <c r="A39" s="278"/>
      <c r="B39" s="83"/>
      <c r="C39" s="82" t="s">
        <v>110</v>
      </c>
      <c r="D39" s="84">
        <v>109</v>
      </c>
      <c r="E39" s="68">
        <v>143</v>
      </c>
      <c r="F39" s="69">
        <v>47</v>
      </c>
      <c r="G39" s="60">
        <f t="shared" si="1"/>
        <v>96</v>
      </c>
      <c r="H39" s="61">
        <f t="shared" si="2"/>
        <v>0.67132867132867136</v>
      </c>
      <c r="I39" s="63">
        <f>E39*營業基本資訊!$D$5</f>
        <v>74.071521333333337</v>
      </c>
      <c r="J39" s="63">
        <f t="shared" si="3"/>
        <v>7.15</v>
      </c>
      <c r="K39" s="62">
        <f t="shared" si="4"/>
        <v>81.221521333333342</v>
      </c>
      <c r="L39" s="66">
        <f t="shared" si="5"/>
        <v>14.778478666666658</v>
      </c>
      <c r="M39" s="64">
        <f t="shared" si="6"/>
        <v>0.1033460046620046</v>
      </c>
      <c r="N39" s="149">
        <f t="shared" si="7"/>
        <v>1610.8541746666656</v>
      </c>
      <c r="O39" s="43">
        <f t="shared" si="8"/>
        <v>15587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0" spans="1:32" ht="15.75" customHeight="1">
      <c r="A40" s="67" t="s">
        <v>135</v>
      </c>
      <c r="B40" s="83"/>
      <c r="C40" s="82" t="s">
        <v>106</v>
      </c>
      <c r="D40" s="84">
        <v>50</v>
      </c>
      <c r="E40" s="80"/>
      <c r="F40" s="69"/>
      <c r="G40" s="75"/>
      <c r="H40" s="76"/>
      <c r="I40" s="78"/>
      <c r="J40" s="78"/>
      <c r="K40" s="77"/>
      <c r="L40" s="79"/>
      <c r="M40" s="64"/>
      <c r="N40" s="149">
        <f t="shared" si="7"/>
        <v>0</v>
      </c>
      <c r="O40" s="43">
        <f t="shared" si="8"/>
        <v>0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</row>
    <row r="41" spans="1:32" ht="15.75" customHeight="1">
      <c r="A41" s="67" t="s">
        <v>135</v>
      </c>
      <c r="B41" s="83"/>
      <c r="C41" s="82" t="s">
        <v>110</v>
      </c>
      <c r="D41" s="84">
        <v>45</v>
      </c>
      <c r="E41" s="80"/>
      <c r="F41" s="69"/>
      <c r="G41" s="75"/>
      <c r="H41" s="76"/>
      <c r="I41" s="78"/>
      <c r="J41" s="78"/>
      <c r="K41" s="77"/>
      <c r="L41" s="88"/>
      <c r="M41" s="89"/>
      <c r="N41" s="149">
        <f t="shared" si="7"/>
        <v>0</v>
      </c>
      <c r="O41" s="43">
        <f t="shared" si="8"/>
        <v>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</row>
    <row r="42" spans="1:32" ht="15.75" customHeight="1">
      <c r="A42" s="90" t="s">
        <v>111</v>
      </c>
      <c r="B42" s="91"/>
      <c r="C42" s="92"/>
      <c r="D42" s="93"/>
      <c r="E42" s="94"/>
      <c r="F42" s="95"/>
      <c r="G42" s="96"/>
      <c r="H42" s="97"/>
      <c r="I42" s="99"/>
      <c r="J42" s="99"/>
      <c r="K42" s="98"/>
      <c r="L42" s="100"/>
      <c r="M42" s="101"/>
      <c r="N42" s="149"/>
      <c r="O42" s="43">
        <f t="shared" si="8"/>
        <v>0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</row>
    <row r="43" spans="1:32" ht="15.75" customHeight="1">
      <c r="A43" s="281" t="s">
        <v>112</v>
      </c>
      <c r="B43" s="83"/>
      <c r="C43" s="58" t="s">
        <v>89</v>
      </c>
      <c r="D43" s="68"/>
      <c r="E43" s="68">
        <v>126</v>
      </c>
      <c r="F43" s="69">
        <v>43</v>
      </c>
      <c r="G43" s="60">
        <f t="shared" ref="G43:G49" si="9">E43-F43</f>
        <v>83</v>
      </c>
      <c r="H43" s="61">
        <f t="shared" ref="H43:H49" si="10">G43/E43</f>
        <v>0.65873015873015872</v>
      </c>
      <c r="I43" s="63">
        <f>E43*營業基本資訊!$D$5</f>
        <v>65.265816000000001</v>
      </c>
      <c r="J43" s="63">
        <f t="shared" ref="J43:J49" si="11">E43*0.05</f>
        <v>6.3000000000000007</v>
      </c>
      <c r="K43" s="62">
        <f t="shared" ref="K43:K49" si="12">SUM(I43:J43)</f>
        <v>71.565815999999998</v>
      </c>
      <c r="L43" s="66">
        <f t="shared" ref="L43:L49" si="13">G43-K43</f>
        <v>11.434184000000002</v>
      </c>
      <c r="M43" s="64">
        <f t="shared" ref="M43:M49" si="14">L43/E43</f>
        <v>9.0747492063492072E-2</v>
      </c>
      <c r="N43" s="149"/>
      <c r="O43" s="43">
        <f t="shared" si="8"/>
        <v>0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1:32" ht="15.75" customHeight="1">
      <c r="A44" s="278"/>
      <c r="B44" s="83"/>
      <c r="C44" s="65" t="s">
        <v>90</v>
      </c>
      <c r="D44" s="68"/>
      <c r="E44" s="68">
        <v>126</v>
      </c>
      <c r="F44" s="69">
        <v>43</v>
      </c>
      <c r="G44" s="60">
        <f t="shared" si="9"/>
        <v>83</v>
      </c>
      <c r="H44" s="61">
        <f t="shared" si="10"/>
        <v>0.65873015873015872</v>
      </c>
      <c r="I44" s="63">
        <f>E44*營業基本資訊!$D$5</f>
        <v>65.265816000000001</v>
      </c>
      <c r="J44" s="63">
        <f t="shared" si="11"/>
        <v>6.3000000000000007</v>
      </c>
      <c r="K44" s="62">
        <f t="shared" si="12"/>
        <v>71.565815999999998</v>
      </c>
      <c r="L44" s="66">
        <f t="shared" si="13"/>
        <v>11.434184000000002</v>
      </c>
      <c r="M44" s="64">
        <f t="shared" si="14"/>
        <v>9.0747492063492072E-2</v>
      </c>
      <c r="N44" s="149"/>
      <c r="O44" s="43">
        <f t="shared" si="8"/>
        <v>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</row>
    <row r="45" spans="1:32" ht="15.75" customHeight="1">
      <c r="A45" s="278"/>
      <c r="B45" s="83"/>
      <c r="C45" s="65" t="s">
        <v>91</v>
      </c>
      <c r="D45" s="68"/>
      <c r="E45" s="68">
        <v>126</v>
      </c>
      <c r="F45" s="69">
        <v>43</v>
      </c>
      <c r="G45" s="60">
        <f t="shared" si="9"/>
        <v>83</v>
      </c>
      <c r="H45" s="61">
        <f t="shared" si="10"/>
        <v>0.65873015873015872</v>
      </c>
      <c r="I45" s="63">
        <f>E45*營業基本資訊!$D$5</f>
        <v>65.265816000000001</v>
      </c>
      <c r="J45" s="63">
        <f t="shared" si="11"/>
        <v>6.3000000000000007</v>
      </c>
      <c r="K45" s="62">
        <f t="shared" si="12"/>
        <v>71.565815999999998</v>
      </c>
      <c r="L45" s="66">
        <f t="shared" si="13"/>
        <v>11.434184000000002</v>
      </c>
      <c r="M45" s="64">
        <f t="shared" si="14"/>
        <v>9.0747492063492072E-2</v>
      </c>
      <c r="N45" s="149"/>
      <c r="O45" s="43">
        <f t="shared" si="8"/>
        <v>0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</row>
    <row r="46" spans="1:32" ht="15.75" customHeight="1">
      <c r="A46" s="278"/>
      <c r="B46" s="83"/>
      <c r="C46" s="65" t="s">
        <v>92</v>
      </c>
      <c r="D46" s="68"/>
      <c r="E46" s="68">
        <v>126</v>
      </c>
      <c r="F46" s="69">
        <v>43</v>
      </c>
      <c r="G46" s="60">
        <f t="shared" si="9"/>
        <v>83</v>
      </c>
      <c r="H46" s="61">
        <f t="shared" si="10"/>
        <v>0.65873015873015872</v>
      </c>
      <c r="I46" s="63">
        <f>E46*營業基本資訊!$D$5</f>
        <v>65.265816000000001</v>
      </c>
      <c r="J46" s="63">
        <f t="shared" si="11"/>
        <v>6.3000000000000007</v>
      </c>
      <c r="K46" s="62">
        <f t="shared" si="12"/>
        <v>71.565815999999998</v>
      </c>
      <c r="L46" s="66">
        <f t="shared" si="13"/>
        <v>11.434184000000002</v>
      </c>
      <c r="M46" s="64">
        <f t="shared" si="14"/>
        <v>9.0747492063492072E-2</v>
      </c>
      <c r="N46" s="149"/>
      <c r="O46" s="43">
        <f t="shared" si="8"/>
        <v>0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</row>
    <row r="47" spans="1:32" ht="15.75" customHeight="1">
      <c r="A47" s="278"/>
      <c r="B47" s="83"/>
      <c r="C47" s="82" t="s">
        <v>104</v>
      </c>
      <c r="D47" s="68"/>
      <c r="E47" s="68">
        <v>126</v>
      </c>
      <c r="F47" s="69">
        <v>43</v>
      </c>
      <c r="G47" s="60">
        <f t="shared" si="9"/>
        <v>83</v>
      </c>
      <c r="H47" s="61">
        <f t="shared" si="10"/>
        <v>0.65873015873015872</v>
      </c>
      <c r="I47" s="63">
        <f>E47*營業基本資訊!$D$5</f>
        <v>65.265816000000001</v>
      </c>
      <c r="J47" s="63">
        <f t="shared" si="11"/>
        <v>6.3000000000000007</v>
      </c>
      <c r="K47" s="62">
        <f t="shared" si="12"/>
        <v>71.565815999999998</v>
      </c>
      <c r="L47" s="66">
        <f t="shared" si="13"/>
        <v>11.434184000000002</v>
      </c>
      <c r="M47" s="64">
        <f t="shared" si="14"/>
        <v>9.0747492063492072E-2</v>
      </c>
      <c r="N47" s="149"/>
      <c r="O47" s="43">
        <f t="shared" si="8"/>
        <v>0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ht="15.75" customHeight="1">
      <c r="A48" s="278"/>
      <c r="B48" s="83"/>
      <c r="C48" s="82" t="s">
        <v>94</v>
      </c>
      <c r="D48" s="68"/>
      <c r="E48" s="68">
        <v>126</v>
      </c>
      <c r="F48" s="69">
        <v>43</v>
      </c>
      <c r="G48" s="60">
        <f t="shared" si="9"/>
        <v>83</v>
      </c>
      <c r="H48" s="61">
        <f t="shared" si="10"/>
        <v>0.65873015873015872</v>
      </c>
      <c r="I48" s="63">
        <f>E48*營業基本資訊!$D$5</f>
        <v>65.265816000000001</v>
      </c>
      <c r="J48" s="63">
        <f t="shared" si="11"/>
        <v>6.3000000000000007</v>
      </c>
      <c r="K48" s="62">
        <f t="shared" si="12"/>
        <v>71.565815999999998</v>
      </c>
      <c r="L48" s="66">
        <f t="shared" si="13"/>
        <v>11.434184000000002</v>
      </c>
      <c r="M48" s="64">
        <f t="shared" si="14"/>
        <v>9.0747492063492072E-2</v>
      </c>
      <c r="N48" s="149"/>
      <c r="O48" s="43">
        <f t="shared" si="8"/>
        <v>0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</row>
    <row r="49" spans="1:32" ht="15.75" customHeight="1">
      <c r="A49" s="85" t="s">
        <v>113</v>
      </c>
      <c r="B49" s="83"/>
      <c r="C49" s="82" t="s">
        <v>114</v>
      </c>
      <c r="D49" s="68"/>
      <c r="E49" s="68">
        <v>301</v>
      </c>
      <c r="F49" s="69">
        <v>172</v>
      </c>
      <c r="G49" s="60">
        <f t="shared" si="9"/>
        <v>129</v>
      </c>
      <c r="H49" s="61">
        <f t="shared" si="10"/>
        <v>0.42857142857142855</v>
      </c>
      <c r="I49" s="63">
        <f>E49*營業基本資訊!$D$5</f>
        <v>155.91278266666669</v>
      </c>
      <c r="J49" s="63">
        <f t="shared" si="11"/>
        <v>15.05</v>
      </c>
      <c r="K49" s="62">
        <f t="shared" si="12"/>
        <v>170.9627826666667</v>
      </c>
      <c r="L49" s="66">
        <f t="shared" si="13"/>
        <v>-41.962782666666698</v>
      </c>
      <c r="M49" s="64">
        <f t="shared" si="14"/>
        <v>-0.1394112380952382</v>
      </c>
      <c r="N49" s="149"/>
      <c r="O49" s="43">
        <f t="shared" si="8"/>
        <v>0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</row>
    <row r="50" spans="1:32" ht="15.75" customHeight="1">
      <c r="A50" s="104" t="s">
        <v>115</v>
      </c>
      <c r="B50" s="105"/>
      <c r="C50" s="92"/>
      <c r="D50" s="93"/>
      <c r="E50" s="94"/>
      <c r="F50" s="106"/>
      <c r="G50" s="107"/>
      <c r="H50" s="97"/>
      <c r="I50" s="99"/>
      <c r="J50" s="99"/>
      <c r="K50" s="98"/>
      <c r="L50" s="100"/>
      <c r="M50" s="97"/>
      <c r="N50" s="14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</row>
    <row r="51" spans="1:32" ht="15.75" customHeight="1">
      <c r="A51" s="67" t="s">
        <v>116</v>
      </c>
      <c r="B51" s="81" t="s">
        <v>101</v>
      </c>
      <c r="C51" s="82" t="s">
        <v>117</v>
      </c>
      <c r="D51" s="68">
        <v>2360</v>
      </c>
      <c r="E51" s="68">
        <v>112</v>
      </c>
      <c r="F51" s="69">
        <v>46</v>
      </c>
      <c r="G51" s="60">
        <f>E51-F51</f>
        <v>66</v>
      </c>
      <c r="H51" s="61">
        <f>G51/E51</f>
        <v>0.5892857142857143</v>
      </c>
      <c r="I51" s="63">
        <f>E51*營業基本資訊!$D$5</f>
        <v>58.014058666666671</v>
      </c>
      <c r="J51" s="63">
        <f>E51*0.05</f>
        <v>5.6000000000000005</v>
      </c>
      <c r="K51" s="62">
        <f>SUM(I51:J51)</f>
        <v>63.614058666666672</v>
      </c>
      <c r="L51" s="66">
        <f>G51-K51</f>
        <v>2.3859413333333279</v>
      </c>
      <c r="M51" s="64">
        <f>L51/E51</f>
        <v>2.1303047619047572E-2</v>
      </c>
      <c r="N51" s="149">
        <f>D51*E51*M51</f>
        <v>5630.8215466666543</v>
      </c>
      <c r="O51" s="43">
        <f>D51*E51</f>
        <v>264320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</row>
    <row r="52" spans="1:32" ht="15.75" customHeight="1">
      <c r="A52" s="85"/>
      <c r="B52" s="83"/>
      <c r="C52" s="86"/>
      <c r="D52" s="87"/>
      <c r="E52" s="80"/>
      <c r="F52" s="103"/>
      <c r="G52" s="75"/>
      <c r="H52" s="76"/>
      <c r="I52" s="78"/>
      <c r="J52" s="78"/>
      <c r="K52" s="77"/>
      <c r="L52" s="75"/>
      <c r="M52" s="102"/>
      <c r="N52" s="148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</row>
    <row r="53" spans="1:32" ht="15.75" customHeight="1">
      <c r="A53" s="85"/>
      <c r="B53" s="83"/>
      <c r="C53" s="86"/>
      <c r="D53" s="87"/>
      <c r="E53" s="80"/>
      <c r="F53" s="108"/>
      <c r="G53" s="75"/>
      <c r="H53" s="76"/>
      <c r="I53" s="78"/>
      <c r="J53" s="78"/>
      <c r="K53" s="77"/>
      <c r="L53" s="88"/>
      <c r="M53" s="102"/>
      <c r="N53" s="148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</row>
    <row r="54" spans="1:32" ht="15.75" customHeight="1">
      <c r="A54" s="85"/>
      <c r="B54" s="109"/>
      <c r="C54" s="86"/>
      <c r="D54" s="87"/>
      <c r="E54" s="80"/>
      <c r="F54" s="108"/>
      <c r="G54" s="75"/>
      <c r="H54" s="76"/>
      <c r="I54" s="78"/>
      <c r="J54" s="78"/>
      <c r="K54" s="77"/>
      <c r="L54" s="88"/>
      <c r="M54" s="102"/>
      <c r="N54" s="148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</row>
    <row r="55" spans="1:32" ht="15.75" customHeight="1">
      <c r="A55" s="85"/>
      <c r="B55" s="83"/>
      <c r="C55" s="86"/>
      <c r="D55" s="87"/>
      <c r="E55" s="80"/>
      <c r="F55" s="108"/>
      <c r="G55" s="75"/>
      <c r="H55" s="76"/>
      <c r="I55" s="78"/>
      <c r="J55" s="78"/>
      <c r="K55" s="77"/>
      <c r="L55" s="88"/>
      <c r="M55" s="102"/>
      <c r="N55" s="148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</row>
    <row r="56" spans="1:32" ht="15.75" customHeight="1">
      <c r="A56" s="85"/>
      <c r="B56" s="83"/>
      <c r="C56" s="86"/>
      <c r="D56" s="87"/>
      <c r="E56" s="80"/>
      <c r="F56" s="108"/>
      <c r="G56" s="75"/>
      <c r="H56" s="76"/>
      <c r="I56" s="110"/>
      <c r="J56" s="78"/>
      <c r="K56" s="77"/>
      <c r="L56" s="88"/>
      <c r="M56" s="102"/>
      <c r="N56" s="148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</row>
    <row r="57" spans="1:32" ht="15.75" customHeight="1">
      <c r="A57" s="85"/>
      <c r="B57" s="83"/>
      <c r="C57" s="86"/>
      <c r="D57" s="87"/>
      <c r="E57" s="80"/>
      <c r="F57" s="108"/>
      <c r="G57" s="75"/>
      <c r="H57" s="76"/>
      <c r="I57" s="78"/>
      <c r="J57" s="78"/>
      <c r="K57" s="77"/>
      <c r="L57" s="88"/>
      <c r="M57" s="102"/>
      <c r="N57" s="148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</row>
    <row r="58" spans="1:32" ht="15.75" customHeight="1">
      <c r="A58" s="85"/>
      <c r="B58" s="83"/>
      <c r="C58" s="86"/>
      <c r="D58" s="87"/>
      <c r="E58" s="80"/>
      <c r="F58" s="108"/>
      <c r="G58" s="75"/>
      <c r="H58" s="76"/>
      <c r="I58" s="78"/>
      <c r="J58" s="78"/>
      <c r="K58" s="77"/>
      <c r="L58" s="88"/>
      <c r="M58" s="102"/>
      <c r="N58" s="148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</row>
    <row r="59" spans="1:32" ht="15.75" customHeight="1">
      <c r="A59" s="85"/>
      <c r="B59" s="83"/>
      <c r="C59" s="86"/>
      <c r="D59" s="87"/>
      <c r="E59" s="80"/>
      <c r="F59" s="108"/>
      <c r="G59" s="75"/>
      <c r="H59" s="76"/>
      <c r="I59" s="78"/>
      <c r="J59" s="78"/>
      <c r="K59" s="77"/>
      <c r="L59" s="88"/>
      <c r="M59" s="102"/>
      <c r="N59" s="148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</row>
    <row r="60" spans="1:32" ht="15.75" customHeight="1">
      <c r="A60" s="85"/>
      <c r="B60" s="83"/>
      <c r="C60" s="86"/>
      <c r="D60" s="87"/>
      <c r="E60" s="80"/>
      <c r="F60" s="108"/>
      <c r="G60" s="75"/>
      <c r="H60" s="76"/>
      <c r="I60" s="78"/>
      <c r="J60" s="78"/>
      <c r="K60" s="77"/>
      <c r="L60" s="88"/>
      <c r="M60" s="102"/>
      <c r="N60" s="148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</row>
    <row r="61" spans="1:32" ht="15.75" customHeight="1">
      <c r="A61" s="85"/>
      <c r="B61" s="83"/>
      <c r="C61" s="86"/>
      <c r="D61" s="87"/>
      <c r="E61" s="80"/>
      <c r="F61" s="108"/>
      <c r="G61" s="75"/>
      <c r="H61" s="76"/>
      <c r="I61" s="78"/>
      <c r="J61" s="78"/>
      <c r="K61" s="77"/>
      <c r="L61" s="88"/>
      <c r="M61" s="102"/>
      <c r="N61" s="148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</row>
    <row r="62" spans="1:32" ht="15.75" customHeight="1">
      <c r="A62" s="85"/>
      <c r="B62" s="83"/>
      <c r="C62" s="86"/>
      <c r="D62" s="87"/>
      <c r="E62" s="80"/>
      <c r="F62" s="108"/>
      <c r="G62" s="75"/>
      <c r="H62" s="76"/>
      <c r="I62" s="78"/>
      <c r="J62" s="78"/>
      <c r="K62" s="77"/>
      <c r="L62" s="88"/>
      <c r="M62" s="102"/>
      <c r="N62" s="148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</row>
    <row r="63" spans="1:32" ht="15.75" customHeight="1">
      <c r="A63" s="85"/>
      <c r="B63" s="83"/>
      <c r="C63" s="86"/>
      <c r="D63" s="87"/>
      <c r="E63" s="80"/>
      <c r="F63" s="108"/>
      <c r="G63" s="75"/>
      <c r="H63" s="76"/>
      <c r="I63" s="78"/>
      <c r="J63" s="78"/>
      <c r="K63" s="77"/>
      <c r="L63" s="88"/>
      <c r="M63" s="102"/>
      <c r="N63" s="148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</row>
    <row r="64" spans="1:32" ht="15.75" customHeight="1">
      <c r="A64" s="85"/>
      <c r="B64" s="83"/>
      <c r="C64" s="86"/>
      <c r="D64" s="87"/>
      <c r="E64" s="80"/>
      <c r="F64" s="108"/>
      <c r="G64" s="75"/>
      <c r="H64" s="76"/>
      <c r="I64" s="78"/>
      <c r="J64" s="78"/>
      <c r="K64" s="77"/>
      <c r="L64" s="88"/>
      <c r="M64" s="102"/>
      <c r="N64" s="148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</row>
    <row r="65" spans="1:32" ht="15.75" customHeight="1">
      <c r="A65" s="85"/>
      <c r="B65" s="83"/>
      <c r="C65" s="86"/>
      <c r="D65" s="87"/>
      <c r="E65" s="80"/>
      <c r="F65" s="108"/>
      <c r="G65" s="75"/>
      <c r="H65" s="76"/>
      <c r="I65" s="78"/>
      <c r="J65" s="78"/>
      <c r="K65" s="77"/>
      <c r="L65" s="88"/>
      <c r="M65" s="102"/>
      <c r="N65" s="148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6" spans="1:32" ht="15.75" customHeight="1">
      <c r="A66" s="85"/>
      <c r="B66" s="83"/>
      <c r="C66" s="86"/>
      <c r="D66" s="87"/>
      <c r="E66" s="80"/>
      <c r="F66" s="108"/>
      <c r="G66" s="75"/>
      <c r="H66" s="76"/>
      <c r="I66" s="78"/>
      <c r="J66" s="78"/>
      <c r="K66" s="77"/>
      <c r="L66" s="88"/>
      <c r="M66" s="102"/>
      <c r="N66" s="148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</row>
    <row r="67" spans="1:32" ht="15.75" customHeight="1">
      <c r="A67" s="85"/>
      <c r="B67" s="83"/>
      <c r="C67" s="86"/>
      <c r="D67" s="87"/>
      <c r="E67" s="80"/>
      <c r="F67" s="108"/>
      <c r="G67" s="75"/>
      <c r="H67" s="76"/>
      <c r="I67" s="78"/>
      <c r="J67" s="78"/>
      <c r="K67" s="77"/>
      <c r="L67" s="88"/>
      <c r="M67" s="102"/>
      <c r="N67" s="148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</row>
    <row r="68" spans="1:32" ht="15.75" customHeight="1">
      <c r="A68" s="85"/>
      <c r="B68" s="83"/>
      <c r="C68" s="86"/>
      <c r="D68" s="87"/>
      <c r="E68" s="80"/>
      <c r="F68" s="108"/>
      <c r="G68" s="75"/>
      <c r="H68" s="76"/>
      <c r="I68" s="78"/>
      <c r="J68" s="78"/>
      <c r="K68" s="77"/>
      <c r="L68" s="88"/>
      <c r="M68" s="102"/>
      <c r="N68" s="148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spans="1:32" ht="15.75" customHeight="1">
      <c r="A69" s="85"/>
      <c r="B69" s="83"/>
      <c r="C69" s="111"/>
      <c r="D69" s="86"/>
      <c r="E69" s="86"/>
      <c r="F69" s="112"/>
      <c r="G69" s="75"/>
      <c r="H69" s="76"/>
      <c r="I69" s="78"/>
      <c r="J69" s="78"/>
      <c r="K69" s="77"/>
      <c r="L69" s="88"/>
      <c r="M69" s="102"/>
      <c r="N69" s="148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</row>
    <row r="70" spans="1:32" ht="15.75" customHeight="1">
      <c r="A70" s="85"/>
      <c r="B70" s="83"/>
      <c r="C70" s="111"/>
      <c r="D70" s="86"/>
      <c r="E70" s="86"/>
      <c r="F70" s="112"/>
      <c r="G70" s="75"/>
      <c r="H70" s="76"/>
      <c r="I70" s="78"/>
      <c r="J70" s="78"/>
      <c r="K70" s="77"/>
      <c r="L70" s="88"/>
      <c r="M70" s="102"/>
      <c r="N70" s="148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 spans="1:32" ht="15.75" customHeight="1">
      <c r="A71" s="113"/>
      <c r="B71" s="114"/>
      <c r="C71" s="115"/>
      <c r="D71" s="116"/>
      <c r="E71" s="116"/>
      <c r="F71" s="117"/>
      <c r="G71" s="75"/>
      <c r="H71" s="76"/>
      <c r="I71" s="78"/>
      <c r="J71" s="78"/>
      <c r="K71" s="77"/>
      <c r="L71" s="88"/>
      <c r="M71" s="102"/>
      <c r="N71" s="148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</row>
    <row r="72" spans="1:32" ht="15.75" customHeight="1">
      <c r="A72" s="85"/>
      <c r="B72" s="83"/>
      <c r="C72" s="111"/>
      <c r="D72" s="86"/>
      <c r="E72" s="86"/>
      <c r="F72" s="112"/>
      <c r="G72" s="75"/>
      <c r="H72" s="76"/>
      <c r="I72" s="78"/>
      <c r="J72" s="78"/>
      <c r="K72" s="77"/>
      <c r="L72" s="88"/>
      <c r="M72" s="102"/>
      <c r="N72" s="148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</row>
    <row r="73" spans="1:32" ht="15.75" customHeight="1">
      <c r="A73" s="85"/>
      <c r="B73" s="83"/>
      <c r="C73" s="111"/>
      <c r="D73" s="86"/>
      <c r="E73" s="86"/>
      <c r="F73" s="112"/>
      <c r="G73" s="75"/>
      <c r="H73" s="76"/>
      <c r="I73" s="78"/>
      <c r="J73" s="78"/>
      <c r="K73" s="77"/>
      <c r="L73" s="88"/>
      <c r="M73" s="102"/>
      <c r="N73" s="148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 spans="1:32" ht="15.75" customHeight="1">
      <c r="A74" s="113"/>
      <c r="B74" s="114"/>
      <c r="C74" s="115"/>
      <c r="D74" s="116"/>
      <c r="E74" s="116"/>
      <c r="F74" s="117"/>
      <c r="G74" s="75"/>
      <c r="H74" s="76"/>
      <c r="I74" s="78"/>
      <c r="J74" s="78"/>
      <c r="K74" s="77"/>
      <c r="L74" s="88"/>
      <c r="M74" s="102"/>
      <c r="N74" s="148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 spans="1:32" ht="15.75" customHeight="1">
      <c r="A75" s="113"/>
      <c r="B75" s="114"/>
      <c r="C75" s="115"/>
      <c r="D75" s="116"/>
      <c r="E75" s="116"/>
      <c r="F75" s="117"/>
      <c r="G75" s="75"/>
      <c r="H75" s="76"/>
      <c r="I75" s="78"/>
      <c r="J75" s="78"/>
      <c r="K75" s="77"/>
      <c r="L75" s="88"/>
      <c r="M75" s="102"/>
      <c r="N75" s="148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</row>
    <row r="76" spans="1:32" ht="15.75" customHeight="1">
      <c r="A76" s="85"/>
      <c r="B76" s="83"/>
      <c r="C76" s="111"/>
      <c r="D76" s="86"/>
      <c r="E76" s="86"/>
      <c r="F76" s="112"/>
      <c r="G76" s="75"/>
      <c r="H76" s="76"/>
      <c r="I76" s="78"/>
      <c r="J76" s="78"/>
      <c r="K76" s="77"/>
      <c r="L76" s="88"/>
      <c r="M76" s="102"/>
      <c r="N76" s="148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</row>
    <row r="77" spans="1:32" ht="15.75" customHeight="1">
      <c r="A77" s="85"/>
      <c r="B77" s="83"/>
      <c r="C77" s="111"/>
      <c r="D77" s="86"/>
      <c r="E77" s="86"/>
      <c r="F77" s="112"/>
      <c r="G77" s="75"/>
      <c r="H77" s="76"/>
      <c r="I77" s="78"/>
      <c r="J77" s="78"/>
      <c r="K77" s="77"/>
      <c r="L77" s="88"/>
      <c r="M77" s="102"/>
      <c r="N77" s="148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</row>
    <row r="78" spans="1:32" ht="15.75" customHeight="1">
      <c r="A78" s="113"/>
      <c r="B78" s="114"/>
      <c r="C78" s="115"/>
      <c r="D78" s="116"/>
      <c r="E78" s="116"/>
      <c r="F78" s="117"/>
      <c r="G78" s="75"/>
      <c r="H78" s="76"/>
      <c r="I78" s="78"/>
      <c r="J78" s="78"/>
      <c r="K78" s="77"/>
      <c r="L78" s="88"/>
      <c r="M78" s="102"/>
      <c r="N78" s="148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</row>
    <row r="79" spans="1:32" ht="15.75" customHeight="1">
      <c r="A79" s="113"/>
      <c r="B79" s="114"/>
      <c r="C79" s="115"/>
      <c r="D79" s="116"/>
      <c r="E79" s="116"/>
      <c r="F79" s="117"/>
      <c r="G79" s="75"/>
      <c r="H79" s="76"/>
      <c r="I79" s="78"/>
      <c r="J79" s="78"/>
      <c r="K79" s="77"/>
      <c r="L79" s="88"/>
      <c r="M79" s="102"/>
      <c r="N79" s="148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</row>
    <row r="80" spans="1:32" ht="15.75" customHeight="1">
      <c r="A80" s="113"/>
      <c r="B80" s="114"/>
      <c r="C80" s="115"/>
      <c r="D80" s="116"/>
      <c r="E80" s="116"/>
      <c r="F80" s="117"/>
      <c r="G80" s="75"/>
      <c r="H80" s="76"/>
      <c r="I80" s="78"/>
      <c r="J80" s="78"/>
      <c r="K80" s="77"/>
      <c r="L80" s="88"/>
      <c r="M80" s="102"/>
      <c r="N80" s="148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</row>
    <row r="81" spans="1:32" ht="15.75" customHeight="1">
      <c r="A81" s="113"/>
      <c r="B81" s="114"/>
      <c r="C81" s="115"/>
      <c r="D81" s="116"/>
      <c r="E81" s="116"/>
      <c r="F81" s="117"/>
      <c r="G81" s="75"/>
      <c r="H81" s="76"/>
      <c r="I81" s="78"/>
      <c r="J81" s="78"/>
      <c r="K81" s="77"/>
      <c r="L81" s="88"/>
      <c r="M81" s="102"/>
      <c r="N81" s="148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</row>
    <row r="82" spans="1:32" ht="15.75" customHeight="1">
      <c r="A82" s="85"/>
      <c r="B82" s="83"/>
      <c r="C82" s="111"/>
      <c r="D82" s="86"/>
      <c r="E82" s="86"/>
      <c r="F82" s="112"/>
      <c r="G82" s="75"/>
      <c r="H82" s="76"/>
      <c r="I82" s="78"/>
      <c r="J82" s="78"/>
      <c r="K82" s="77"/>
      <c r="L82" s="88"/>
      <c r="M82" s="102"/>
      <c r="N82" s="148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</row>
    <row r="83" spans="1:32" ht="15.75" customHeight="1">
      <c r="A83" s="118"/>
      <c r="B83" s="119"/>
      <c r="C83" s="120"/>
      <c r="D83" s="121"/>
      <c r="E83" s="121"/>
      <c r="F83" s="122"/>
      <c r="G83" s="75"/>
      <c r="H83" s="76"/>
      <c r="I83" s="78"/>
      <c r="J83" s="78"/>
      <c r="K83" s="77"/>
      <c r="L83" s="88"/>
      <c r="M83" s="102"/>
      <c r="N83" s="148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</row>
    <row r="84" spans="1:32" ht="15.75" customHeight="1">
      <c r="A84" s="118"/>
      <c r="B84" s="119"/>
      <c r="C84" s="120"/>
      <c r="D84" s="121"/>
      <c r="E84" s="121"/>
      <c r="F84" s="122"/>
      <c r="G84" s="75"/>
      <c r="H84" s="76"/>
      <c r="I84" s="78"/>
      <c r="J84" s="78"/>
      <c r="K84" s="77"/>
      <c r="L84" s="88"/>
      <c r="M84" s="102"/>
      <c r="N84" s="148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</row>
    <row r="85" spans="1:32" ht="15.75" customHeight="1">
      <c r="A85" s="70"/>
      <c r="B85" s="123"/>
      <c r="C85" s="20"/>
      <c r="D85" s="71"/>
      <c r="E85" s="71"/>
      <c r="F85" s="124"/>
      <c r="G85" s="75"/>
      <c r="H85" s="76"/>
      <c r="I85" s="78"/>
      <c r="J85" s="78"/>
      <c r="K85" s="77"/>
      <c r="L85" s="88"/>
      <c r="M85" s="76"/>
      <c r="N85" s="148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</row>
    <row r="86" spans="1:32" ht="15.75" customHeight="1">
      <c r="A86" s="70"/>
      <c r="B86" s="123"/>
      <c r="C86" s="20"/>
      <c r="D86" s="71"/>
      <c r="E86" s="71"/>
      <c r="F86" s="124"/>
      <c r="G86" s="75"/>
      <c r="H86" s="76"/>
      <c r="I86" s="78"/>
      <c r="J86" s="78"/>
      <c r="K86" s="77"/>
      <c r="L86" s="88"/>
      <c r="M86" s="76"/>
      <c r="N86" s="148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</row>
    <row r="87" spans="1:32" ht="15.75" customHeight="1">
      <c r="A87" s="70"/>
      <c r="B87" s="123"/>
      <c r="C87" s="20"/>
      <c r="D87" s="71"/>
      <c r="E87" s="71"/>
      <c r="F87" s="124"/>
      <c r="G87" s="75"/>
      <c r="H87" s="76"/>
      <c r="I87" s="78"/>
      <c r="J87" s="78"/>
      <c r="K87" s="77"/>
      <c r="L87" s="88"/>
      <c r="M87" s="76"/>
      <c r="N87" s="148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</row>
    <row r="88" spans="1:32" ht="15.75" customHeight="1">
      <c r="A88" s="70"/>
      <c r="B88" s="123"/>
      <c r="C88" s="20"/>
      <c r="D88" s="71"/>
      <c r="E88" s="71"/>
      <c r="F88" s="124"/>
      <c r="G88" s="75"/>
      <c r="H88" s="76"/>
      <c r="I88" s="78"/>
      <c r="J88" s="78"/>
      <c r="K88" s="77"/>
      <c r="L88" s="88"/>
      <c r="M88" s="76"/>
      <c r="N88" s="148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</row>
    <row r="89" spans="1:32" ht="15.75" customHeight="1">
      <c r="A89" s="70"/>
      <c r="B89" s="123"/>
      <c r="C89" s="20"/>
      <c r="D89" s="71"/>
      <c r="E89" s="71"/>
      <c r="F89" s="124"/>
      <c r="G89" s="75"/>
      <c r="H89" s="76"/>
      <c r="I89" s="78"/>
      <c r="J89" s="78"/>
      <c r="K89" s="77"/>
      <c r="L89" s="88"/>
      <c r="M89" s="76"/>
      <c r="N89" s="148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</row>
    <row r="90" spans="1:32" ht="15.75" customHeight="1">
      <c r="A90" s="70"/>
      <c r="B90" s="123"/>
      <c r="C90" s="125"/>
      <c r="D90" s="126"/>
      <c r="E90" s="126"/>
      <c r="F90" s="127"/>
      <c r="G90" s="75"/>
      <c r="H90" s="76"/>
      <c r="I90" s="128"/>
      <c r="J90" s="128"/>
      <c r="K90" s="128"/>
      <c r="L90" s="88"/>
      <c r="M90" s="76"/>
      <c r="N90" s="148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</row>
    <row r="91" spans="1:32" ht="15.75" customHeight="1">
      <c r="A91" s="70"/>
      <c r="B91" s="123"/>
      <c r="C91" s="20"/>
      <c r="D91" s="71"/>
      <c r="E91" s="71"/>
      <c r="F91" s="124"/>
      <c r="G91" s="75"/>
      <c r="H91" s="76"/>
      <c r="I91" s="128"/>
      <c r="J91" s="128"/>
      <c r="K91" s="128"/>
      <c r="L91" s="88"/>
      <c r="M91" s="76"/>
      <c r="N91" s="148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</row>
    <row r="92" spans="1:32" ht="15.75" customHeight="1">
      <c r="A92" s="70"/>
      <c r="B92" s="123"/>
      <c r="C92" s="20"/>
      <c r="D92" s="71"/>
      <c r="E92" s="71"/>
      <c r="F92" s="124"/>
      <c r="G92" s="75"/>
      <c r="H92" s="76"/>
      <c r="I92" s="128"/>
      <c r="J92" s="128"/>
      <c r="K92" s="128"/>
      <c r="L92" s="88"/>
      <c r="M92" s="76"/>
      <c r="N92" s="148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</row>
    <row r="93" spans="1:32" ht="15.75" customHeight="1">
      <c r="A93" s="70"/>
      <c r="B93" s="123"/>
      <c r="C93" s="20"/>
      <c r="D93" s="71"/>
      <c r="E93" s="71"/>
      <c r="F93" s="124"/>
      <c r="G93" s="75"/>
      <c r="H93" s="76"/>
      <c r="I93" s="128"/>
      <c r="J93" s="128"/>
      <c r="K93" s="128"/>
      <c r="L93" s="88"/>
      <c r="M93" s="76"/>
      <c r="N93" s="148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</row>
    <row r="94" spans="1:32" ht="15.75" customHeight="1">
      <c r="A94" s="70"/>
      <c r="B94" s="123"/>
      <c r="C94" s="20"/>
      <c r="D94" s="71"/>
      <c r="E94" s="71"/>
      <c r="F94" s="124"/>
      <c r="G94" s="75"/>
      <c r="H94" s="76"/>
      <c r="I94" s="128"/>
      <c r="J94" s="128"/>
      <c r="K94" s="128"/>
      <c r="L94" s="88"/>
      <c r="M94" s="76"/>
      <c r="N94" s="148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</row>
    <row r="95" spans="1:32" ht="15.75" customHeight="1">
      <c r="A95" s="70"/>
      <c r="B95" s="123"/>
      <c r="C95" s="20"/>
      <c r="D95" s="71"/>
      <c r="E95" s="71"/>
      <c r="F95" s="124"/>
      <c r="G95" s="75"/>
      <c r="H95" s="76"/>
      <c r="I95" s="128"/>
      <c r="J95" s="128"/>
      <c r="K95" s="128"/>
      <c r="L95" s="88"/>
      <c r="M95" s="76"/>
      <c r="N95" s="148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</row>
    <row r="96" spans="1:32" ht="15.75" customHeight="1">
      <c r="A96" s="70"/>
      <c r="B96" s="123"/>
      <c r="C96" s="129"/>
      <c r="D96" s="71"/>
      <c r="E96" s="71"/>
      <c r="F96" s="124"/>
      <c r="G96" s="75"/>
      <c r="H96" s="76"/>
      <c r="I96" s="128"/>
      <c r="J96" s="128"/>
      <c r="K96" s="128"/>
      <c r="L96" s="88"/>
      <c r="M96" s="76"/>
      <c r="N96" s="148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</row>
    <row r="97" spans="1:32" ht="15.75" customHeight="1">
      <c r="A97" s="70"/>
      <c r="B97" s="123"/>
      <c r="C97" s="129"/>
      <c r="D97" s="71"/>
      <c r="E97" s="71"/>
      <c r="F97" s="124"/>
      <c r="G97" s="75"/>
      <c r="H97" s="76"/>
      <c r="I97" s="128"/>
      <c r="J97" s="128"/>
      <c r="K97" s="128"/>
      <c r="L97" s="88"/>
      <c r="M97" s="76"/>
      <c r="N97" s="148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</row>
    <row r="98" spans="1:32" ht="15.75" customHeight="1">
      <c r="A98" s="70"/>
      <c r="B98" s="123"/>
      <c r="C98" s="129"/>
      <c r="D98" s="126"/>
      <c r="E98" s="126"/>
      <c r="F98" s="124"/>
      <c r="G98" s="75"/>
      <c r="H98" s="76"/>
      <c r="I98" s="128"/>
      <c r="J98" s="128"/>
      <c r="K98" s="128"/>
      <c r="L98" s="88"/>
      <c r="M98" s="76"/>
      <c r="N98" s="148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</row>
    <row r="99" spans="1:32" ht="15.75" customHeight="1">
      <c r="A99" s="70"/>
      <c r="B99" s="123"/>
      <c r="C99" s="125"/>
      <c r="D99" s="126"/>
      <c r="E99" s="126"/>
      <c r="F99" s="127"/>
      <c r="G99" s="75"/>
      <c r="H99" s="76"/>
      <c r="I99" s="128"/>
      <c r="J99" s="128"/>
      <c r="K99" s="128"/>
      <c r="L99" s="88"/>
      <c r="M99" s="76"/>
      <c r="N99" s="148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</row>
    <row r="100" spans="1:32" ht="15.75" customHeight="1">
      <c r="A100" s="70"/>
      <c r="B100" s="123"/>
      <c r="C100" s="20"/>
      <c r="D100" s="71"/>
      <c r="E100" s="71"/>
      <c r="F100" s="124"/>
      <c r="G100" s="75"/>
      <c r="H100" s="76"/>
      <c r="I100" s="128"/>
      <c r="J100" s="128"/>
      <c r="K100" s="128"/>
      <c r="L100" s="88"/>
      <c r="M100" s="76"/>
      <c r="N100" s="148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</row>
    <row r="101" spans="1:32" ht="15.75" customHeight="1">
      <c r="A101" s="70"/>
      <c r="B101" s="123"/>
      <c r="C101" s="20"/>
      <c r="D101" s="71"/>
      <c r="E101" s="71"/>
      <c r="F101" s="124"/>
      <c r="G101" s="75"/>
      <c r="H101" s="76"/>
      <c r="I101" s="128"/>
      <c r="J101" s="128"/>
      <c r="K101" s="128"/>
      <c r="L101" s="88"/>
      <c r="M101" s="76"/>
      <c r="N101" s="148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</row>
    <row r="102" spans="1:32" ht="15.75" customHeight="1">
      <c r="A102" s="70"/>
      <c r="B102" s="123"/>
      <c r="C102" s="20"/>
      <c r="D102" s="71"/>
      <c r="E102" s="71"/>
      <c r="F102" s="124"/>
      <c r="G102" s="75"/>
      <c r="H102" s="76"/>
      <c r="I102" s="128"/>
      <c r="J102" s="128"/>
      <c r="K102" s="128"/>
      <c r="L102" s="88"/>
      <c r="M102" s="76"/>
      <c r="N102" s="148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</row>
    <row r="103" spans="1:32" ht="15.75" customHeight="1">
      <c r="A103" s="70"/>
      <c r="B103" s="123"/>
      <c r="C103" s="20"/>
      <c r="D103" s="71"/>
      <c r="E103" s="71"/>
      <c r="F103" s="124"/>
      <c r="G103" s="75"/>
      <c r="H103" s="76"/>
      <c r="I103" s="128"/>
      <c r="J103" s="128"/>
      <c r="K103" s="128"/>
      <c r="L103" s="88"/>
      <c r="M103" s="76"/>
      <c r="N103" s="148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</row>
    <row r="104" spans="1:32" ht="15.75" customHeight="1">
      <c r="A104" s="70"/>
      <c r="B104" s="123"/>
      <c r="C104" s="20"/>
      <c r="D104" s="71"/>
      <c r="E104" s="71"/>
      <c r="F104" s="124"/>
      <c r="G104" s="75"/>
      <c r="H104" s="76"/>
      <c r="I104" s="128"/>
      <c r="J104" s="128"/>
      <c r="K104" s="128"/>
      <c r="L104" s="88"/>
      <c r="M104" s="76"/>
      <c r="N104" s="148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</row>
    <row r="105" spans="1:32" ht="15.75" customHeight="1">
      <c r="A105" s="70"/>
      <c r="B105" s="123"/>
      <c r="C105" s="20"/>
      <c r="D105" s="71"/>
      <c r="E105" s="71"/>
      <c r="F105" s="124"/>
      <c r="G105" s="75"/>
      <c r="H105" s="76"/>
      <c r="I105" s="128"/>
      <c r="J105" s="128"/>
      <c r="K105" s="128"/>
      <c r="L105" s="88"/>
      <c r="M105" s="76"/>
      <c r="N105" s="148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</row>
    <row r="106" spans="1:32" ht="15.75" customHeight="1">
      <c r="A106" s="70"/>
      <c r="B106" s="123"/>
      <c r="C106" s="20"/>
      <c r="D106" s="71"/>
      <c r="E106" s="71"/>
      <c r="F106" s="124"/>
      <c r="G106" s="75"/>
      <c r="H106" s="76"/>
      <c r="I106" s="128"/>
      <c r="J106" s="128"/>
      <c r="K106" s="128"/>
      <c r="L106" s="88"/>
      <c r="M106" s="76"/>
      <c r="N106" s="148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</row>
    <row r="107" spans="1:32" ht="15.75" customHeight="1">
      <c r="A107" s="70"/>
      <c r="B107" s="123"/>
      <c r="C107" s="20"/>
      <c r="D107" s="71"/>
      <c r="E107" s="71"/>
      <c r="F107" s="124"/>
      <c r="G107" s="75"/>
      <c r="H107" s="76"/>
      <c r="I107" s="128"/>
      <c r="J107" s="128"/>
      <c r="K107" s="128"/>
      <c r="L107" s="88"/>
      <c r="M107" s="76"/>
      <c r="N107" s="148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</row>
    <row r="108" spans="1:32" ht="15.75" hidden="1" customHeight="1">
      <c r="A108" s="130"/>
      <c r="B108" s="131" t="s">
        <v>118</v>
      </c>
      <c r="F108" s="132"/>
      <c r="N108" s="148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</row>
    <row r="109" spans="1:32" ht="36" hidden="1" customHeight="1">
      <c r="A109" s="130"/>
      <c r="B109" s="131" t="s">
        <v>119</v>
      </c>
      <c r="C109" s="133" t="s">
        <v>120</v>
      </c>
      <c r="D109" s="134">
        <v>6680</v>
      </c>
      <c r="E109" s="135">
        <v>5680</v>
      </c>
      <c r="F109" s="136"/>
      <c r="G109" s="43"/>
      <c r="H109" s="43"/>
      <c r="I109" s="43"/>
      <c r="J109" s="43"/>
      <c r="K109" s="43"/>
      <c r="L109" s="43"/>
      <c r="M109" s="43"/>
      <c r="N109" s="148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</row>
    <row r="110" spans="1:32" ht="15.75" hidden="1" customHeight="1">
      <c r="A110" s="130"/>
      <c r="B110" s="131" t="s">
        <v>121</v>
      </c>
      <c r="C110" s="133" t="s">
        <v>122</v>
      </c>
      <c r="D110" s="134">
        <v>1688</v>
      </c>
      <c r="E110" s="135">
        <v>1570</v>
      </c>
      <c r="F110" s="136"/>
      <c r="G110" s="43"/>
      <c r="H110" s="43"/>
      <c r="I110" s="43"/>
      <c r="J110" s="43"/>
      <c r="K110" s="43"/>
      <c r="L110" s="43"/>
      <c r="M110" s="43"/>
      <c r="N110" s="148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</row>
    <row r="111" spans="1:32" ht="15.75" hidden="1" customHeight="1">
      <c r="A111" s="130"/>
      <c r="B111" s="131" t="s">
        <v>123</v>
      </c>
      <c r="C111" s="133" t="s">
        <v>124</v>
      </c>
      <c r="D111" s="138">
        <v>2000</v>
      </c>
      <c r="E111" s="139">
        <v>2000</v>
      </c>
      <c r="F111" s="136"/>
      <c r="G111" s="43"/>
      <c r="H111" s="43"/>
      <c r="I111" s="43"/>
      <c r="J111" s="43"/>
      <c r="K111" s="43"/>
      <c r="L111" s="43"/>
      <c r="M111" s="43"/>
      <c r="N111" s="148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</row>
    <row r="112" spans="1:32" ht="41.25" hidden="1" customHeight="1">
      <c r="A112" s="130"/>
      <c r="B112" s="131" t="s">
        <v>125</v>
      </c>
      <c r="C112" s="140" t="s">
        <v>126</v>
      </c>
      <c r="D112" s="134">
        <v>2390</v>
      </c>
      <c r="E112" s="135">
        <v>1580</v>
      </c>
      <c r="F112" s="136"/>
      <c r="G112" s="43"/>
      <c r="H112" s="43"/>
      <c r="I112" s="43"/>
      <c r="J112" s="43"/>
      <c r="K112" s="43"/>
      <c r="L112" s="43"/>
      <c r="M112" s="43"/>
      <c r="N112" s="148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</row>
    <row r="113" spans="1:32" ht="15.75" customHeight="1">
      <c r="A113" s="141"/>
      <c r="B113" s="142"/>
      <c r="C113" s="43"/>
      <c r="D113" s="43"/>
      <c r="E113" s="63"/>
      <c r="F113" s="136"/>
      <c r="G113" s="43"/>
      <c r="H113" s="43"/>
      <c r="I113" s="43"/>
      <c r="J113" s="43"/>
      <c r="K113" s="43"/>
      <c r="L113" s="43"/>
      <c r="M113" s="43"/>
      <c r="N113" s="148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</row>
    <row r="114" spans="1:32" ht="15.75" customHeight="1">
      <c r="A114" s="141"/>
      <c r="B114" s="280"/>
      <c r="C114" s="278"/>
      <c r="D114" s="278"/>
      <c r="E114" s="278"/>
      <c r="F114" s="136"/>
      <c r="G114" s="43"/>
      <c r="H114" s="43"/>
      <c r="I114" s="43"/>
      <c r="J114" s="43"/>
      <c r="K114" s="43"/>
      <c r="L114" s="43"/>
      <c r="M114" s="43"/>
      <c r="N114" s="148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</row>
    <row r="115" spans="1:32" ht="15.75" customHeight="1">
      <c r="A115" s="141"/>
      <c r="B115" s="280"/>
      <c r="C115" s="278"/>
      <c r="D115" s="278"/>
      <c r="E115" s="278"/>
      <c r="F115" s="136"/>
      <c r="G115" s="43"/>
      <c r="H115" s="43"/>
      <c r="I115" s="43"/>
      <c r="J115" s="43"/>
      <c r="K115" s="43"/>
      <c r="L115" s="43"/>
      <c r="M115" s="43"/>
      <c r="N115" s="148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</row>
    <row r="116" spans="1:32" ht="15.75" customHeight="1">
      <c r="A116" s="141"/>
      <c r="B116" s="280"/>
      <c r="C116" s="278"/>
      <c r="D116" s="278"/>
      <c r="E116" s="278"/>
      <c r="F116" s="136"/>
      <c r="G116" s="43"/>
      <c r="H116" s="43"/>
      <c r="I116" s="43"/>
      <c r="J116" s="43"/>
      <c r="K116" s="43"/>
      <c r="L116" s="43"/>
      <c r="M116" s="43"/>
      <c r="N116" s="148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</row>
    <row r="117" spans="1:32" ht="15.75" customHeight="1">
      <c r="A117" s="141"/>
      <c r="B117" s="142"/>
      <c r="C117" s="43"/>
      <c r="D117" s="43"/>
      <c r="E117" s="63"/>
      <c r="F117" s="136"/>
      <c r="G117" s="43"/>
      <c r="H117" s="43"/>
      <c r="I117" s="43"/>
      <c r="J117" s="43"/>
      <c r="K117" s="43"/>
      <c r="L117" s="43"/>
      <c r="M117" s="43"/>
      <c r="N117" s="148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</row>
    <row r="118" spans="1:32" ht="15.75" customHeight="1">
      <c r="A118" s="141"/>
      <c r="B118" s="142"/>
      <c r="C118" s="43"/>
      <c r="D118" s="43"/>
      <c r="E118" s="63"/>
      <c r="F118" s="136"/>
      <c r="G118" s="43"/>
      <c r="H118" s="43"/>
      <c r="I118" s="43"/>
      <c r="J118" s="43"/>
      <c r="K118" s="43"/>
      <c r="L118" s="43"/>
      <c r="M118" s="43"/>
      <c r="N118" s="148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</row>
    <row r="119" spans="1:32" ht="15.75" customHeight="1">
      <c r="A119" s="141"/>
      <c r="B119" s="142"/>
      <c r="C119" s="43"/>
      <c r="D119" s="43"/>
      <c r="E119" s="63"/>
      <c r="F119" s="136"/>
      <c r="G119" s="43"/>
      <c r="H119" s="43"/>
      <c r="I119" s="43"/>
      <c r="J119" s="43"/>
      <c r="K119" s="43"/>
      <c r="L119" s="43"/>
      <c r="M119" s="43"/>
      <c r="N119" s="148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</row>
    <row r="120" spans="1:32" ht="15.75" customHeight="1">
      <c r="A120" s="141"/>
      <c r="B120" s="142"/>
      <c r="C120" s="43"/>
      <c r="D120" s="43"/>
      <c r="E120" s="63"/>
      <c r="F120" s="136"/>
      <c r="G120" s="43"/>
      <c r="H120" s="43"/>
      <c r="I120" s="43"/>
      <c r="J120" s="43"/>
      <c r="K120" s="43"/>
      <c r="L120" s="43"/>
      <c r="M120" s="43"/>
      <c r="N120" s="148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</row>
    <row r="121" spans="1:32" ht="15.75" customHeight="1">
      <c r="A121" s="141"/>
      <c r="B121" s="142"/>
      <c r="C121" s="43"/>
      <c r="D121" s="43"/>
      <c r="E121" s="63"/>
      <c r="F121" s="136"/>
      <c r="G121" s="43"/>
      <c r="H121" s="43"/>
      <c r="I121" s="43"/>
      <c r="J121" s="43"/>
      <c r="K121" s="43"/>
      <c r="L121" s="43"/>
      <c r="M121" s="43"/>
      <c r="N121" s="148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</row>
    <row r="122" spans="1:32" ht="15.75" customHeight="1">
      <c r="A122" s="141"/>
      <c r="B122" s="142"/>
      <c r="C122" s="43"/>
      <c r="D122" s="43"/>
      <c r="E122" s="63"/>
      <c r="F122" s="136"/>
      <c r="G122" s="43"/>
      <c r="H122" s="43"/>
      <c r="I122" s="43"/>
      <c r="J122" s="43"/>
      <c r="K122" s="43"/>
      <c r="L122" s="43"/>
      <c r="M122" s="43"/>
      <c r="N122" s="148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</row>
    <row r="123" spans="1:32" ht="15.75" customHeight="1">
      <c r="A123" s="141"/>
      <c r="B123" s="142"/>
      <c r="C123" s="43"/>
      <c r="D123" s="43"/>
      <c r="E123" s="63"/>
      <c r="F123" s="136"/>
      <c r="G123" s="43"/>
      <c r="H123" s="43"/>
      <c r="I123" s="43"/>
      <c r="J123" s="43"/>
      <c r="K123" s="43"/>
      <c r="L123" s="43"/>
      <c r="M123" s="43"/>
      <c r="N123" s="148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</row>
    <row r="124" spans="1:32" ht="15.75" customHeight="1">
      <c r="A124" s="141"/>
      <c r="B124" s="142"/>
      <c r="C124" s="43"/>
      <c r="D124" s="43"/>
      <c r="E124" s="63"/>
      <c r="F124" s="136"/>
      <c r="G124" s="43"/>
      <c r="H124" s="43"/>
      <c r="I124" s="43"/>
      <c r="J124" s="43"/>
      <c r="K124" s="43"/>
      <c r="L124" s="43"/>
      <c r="M124" s="43"/>
      <c r="N124" s="148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</row>
    <row r="125" spans="1:32" ht="15.75" customHeight="1">
      <c r="A125" s="141"/>
      <c r="B125" s="142"/>
      <c r="C125" s="43"/>
      <c r="D125" s="43"/>
      <c r="E125" s="63"/>
      <c r="F125" s="136"/>
      <c r="G125" s="43"/>
      <c r="H125" s="43"/>
      <c r="I125" s="43"/>
      <c r="J125" s="43"/>
      <c r="K125" s="43"/>
      <c r="L125" s="43"/>
      <c r="M125" s="43"/>
      <c r="N125" s="148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</row>
    <row r="126" spans="1:32" ht="15.75" customHeight="1">
      <c r="A126" s="141"/>
      <c r="B126" s="142"/>
      <c r="C126" s="43"/>
      <c r="D126" s="43"/>
      <c r="E126" s="63"/>
      <c r="F126" s="136"/>
      <c r="G126" s="43"/>
      <c r="H126" s="43"/>
      <c r="I126" s="43"/>
      <c r="J126" s="43"/>
      <c r="K126" s="43"/>
      <c r="L126" s="43"/>
      <c r="M126" s="43"/>
      <c r="N126" s="148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</row>
    <row r="127" spans="1:32" ht="15.75" customHeight="1">
      <c r="A127" s="141"/>
      <c r="B127" s="142"/>
      <c r="C127" s="43"/>
      <c r="D127" s="43"/>
      <c r="E127" s="63"/>
      <c r="F127" s="136"/>
      <c r="G127" s="43"/>
      <c r="H127" s="43"/>
      <c r="I127" s="43"/>
      <c r="J127" s="43"/>
      <c r="K127" s="43"/>
      <c r="L127" s="43"/>
      <c r="M127" s="43"/>
      <c r="N127" s="148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</row>
    <row r="128" spans="1:32" ht="15.75" customHeight="1">
      <c r="A128" s="141"/>
      <c r="B128" s="142"/>
      <c r="C128" s="43"/>
      <c r="D128" s="43"/>
      <c r="E128" s="63"/>
      <c r="F128" s="136"/>
      <c r="G128" s="43"/>
      <c r="H128" s="43"/>
      <c r="I128" s="43"/>
      <c r="J128" s="43"/>
      <c r="K128" s="43"/>
      <c r="L128" s="43"/>
      <c r="M128" s="43"/>
      <c r="N128" s="148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</row>
    <row r="129" spans="1:32" ht="15.75" customHeight="1">
      <c r="A129" s="141"/>
      <c r="B129" s="142"/>
      <c r="C129" s="43"/>
      <c r="D129" s="43"/>
      <c r="E129" s="63"/>
      <c r="F129" s="136"/>
      <c r="G129" s="43"/>
      <c r="H129" s="43"/>
      <c r="I129" s="43"/>
      <c r="J129" s="43"/>
      <c r="K129" s="43"/>
      <c r="L129" s="43"/>
      <c r="M129" s="43"/>
      <c r="N129" s="148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</row>
    <row r="130" spans="1:32" ht="15.75" customHeight="1">
      <c r="A130" s="141"/>
      <c r="B130" s="142"/>
      <c r="C130" s="43"/>
      <c r="D130" s="43"/>
      <c r="E130" s="63"/>
      <c r="F130" s="136"/>
      <c r="G130" s="43"/>
      <c r="H130" s="43"/>
      <c r="I130" s="43"/>
      <c r="J130" s="43"/>
      <c r="K130" s="43"/>
      <c r="L130" s="43"/>
      <c r="M130" s="43"/>
      <c r="N130" s="148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</row>
    <row r="131" spans="1:32" ht="15.75" customHeight="1">
      <c r="A131" s="141"/>
      <c r="B131" s="142"/>
      <c r="C131" s="43"/>
      <c r="D131" s="43"/>
      <c r="E131" s="63"/>
      <c r="F131" s="136"/>
      <c r="G131" s="43"/>
      <c r="H131" s="43"/>
      <c r="I131" s="43"/>
      <c r="J131" s="43"/>
      <c r="K131" s="43"/>
      <c r="L131" s="43"/>
      <c r="M131" s="43"/>
      <c r="N131" s="148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</row>
    <row r="132" spans="1:32" ht="15.75" customHeight="1">
      <c r="A132" s="141"/>
      <c r="B132" s="142"/>
      <c r="C132" s="43"/>
      <c r="D132" s="43"/>
      <c r="E132" s="63"/>
      <c r="F132" s="136"/>
      <c r="G132" s="43"/>
      <c r="H132" s="43"/>
      <c r="I132" s="43"/>
      <c r="J132" s="43"/>
      <c r="K132" s="43"/>
      <c r="L132" s="43"/>
      <c r="M132" s="43"/>
      <c r="N132" s="148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</row>
    <row r="133" spans="1:32" ht="15.75" customHeight="1">
      <c r="A133" s="141"/>
      <c r="B133" s="142"/>
      <c r="C133" s="43"/>
      <c r="D133" s="43"/>
      <c r="E133" s="63"/>
      <c r="F133" s="136"/>
      <c r="G133" s="43"/>
      <c r="H133" s="43"/>
      <c r="I133" s="43"/>
      <c r="J133" s="43"/>
      <c r="K133" s="43"/>
      <c r="L133" s="43"/>
      <c r="M133" s="43"/>
      <c r="N133" s="148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</row>
    <row r="134" spans="1:32" ht="15.75" customHeight="1">
      <c r="A134" s="141"/>
      <c r="B134" s="142"/>
      <c r="C134" s="43"/>
      <c r="D134" s="43"/>
      <c r="E134" s="63"/>
      <c r="F134" s="136"/>
      <c r="G134" s="43"/>
      <c r="H134" s="43"/>
      <c r="I134" s="43"/>
      <c r="J134" s="43"/>
      <c r="K134" s="43"/>
      <c r="L134" s="43"/>
      <c r="M134" s="43"/>
      <c r="N134" s="148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 spans="1:32" ht="15.75" customHeight="1">
      <c r="A135" s="141"/>
      <c r="B135" s="142"/>
      <c r="C135" s="43"/>
      <c r="D135" s="43"/>
      <c r="E135" s="63"/>
      <c r="F135" s="136"/>
      <c r="G135" s="43"/>
      <c r="H135" s="43"/>
      <c r="I135" s="43"/>
      <c r="J135" s="43"/>
      <c r="K135" s="43"/>
      <c r="L135" s="43"/>
      <c r="M135" s="43"/>
      <c r="N135" s="148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</row>
    <row r="136" spans="1:32" ht="15.75" customHeight="1">
      <c r="A136" s="141"/>
      <c r="B136" s="142"/>
      <c r="C136" s="43"/>
      <c r="D136" s="43"/>
      <c r="E136" s="63"/>
      <c r="F136" s="136"/>
      <c r="G136" s="43"/>
      <c r="H136" s="43"/>
      <c r="I136" s="43"/>
      <c r="J136" s="43"/>
      <c r="K136" s="43"/>
      <c r="L136" s="43"/>
      <c r="M136" s="43"/>
      <c r="N136" s="148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</row>
    <row r="137" spans="1:32" ht="15.75" customHeight="1">
      <c r="A137" s="141"/>
      <c r="B137" s="142"/>
      <c r="C137" s="43"/>
      <c r="D137" s="43"/>
      <c r="E137" s="63"/>
      <c r="F137" s="136"/>
      <c r="G137" s="43"/>
      <c r="H137" s="43"/>
      <c r="I137" s="43"/>
      <c r="J137" s="43"/>
      <c r="K137" s="43"/>
      <c r="L137" s="43"/>
      <c r="M137" s="43"/>
      <c r="N137" s="148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</row>
    <row r="138" spans="1:32" ht="15.75" customHeight="1">
      <c r="A138" s="141"/>
      <c r="B138" s="142"/>
      <c r="C138" s="43"/>
      <c r="D138" s="43"/>
      <c r="E138" s="63"/>
      <c r="F138" s="136"/>
      <c r="G138" s="43"/>
      <c r="H138" s="43"/>
      <c r="I138" s="43"/>
      <c r="J138" s="43"/>
      <c r="K138" s="43"/>
      <c r="L138" s="43"/>
      <c r="M138" s="43"/>
      <c r="N138" s="148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</row>
    <row r="139" spans="1:32" ht="15.75" customHeight="1">
      <c r="A139" s="141"/>
      <c r="B139" s="142"/>
      <c r="C139" s="43"/>
      <c r="D139" s="43"/>
      <c r="E139" s="63"/>
      <c r="F139" s="136"/>
      <c r="G139" s="43"/>
      <c r="H139" s="43"/>
      <c r="I139" s="43"/>
      <c r="J139" s="43"/>
      <c r="K139" s="43"/>
      <c r="L139" s="43"/>
      <c r="M139" s="43"/>
      <c r="N139" s="148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</row>
    <row r="140" spans="1:32" ht="15.75" customHeight="1">
      <c r="A140" s="141"/>
      <c r="B140" s="142"/>
      <c r="C140" s="43"/>
      <c r="D140" s="43"/>
      <c r="E140" s="63"/>
      <c r="F140" s="136"/>
      <c r="G140" s="43"/>
      <c r="H140" s="43"/>
      <c r="I140" s="43"/>
      <c r="J140" s="43"/>
      <c r="K140" s="43"/>
      <c r="L140" s="43"/>
      <c r="M140" s="43"/>
      <c r="N140" s="148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</row>
    <row r="141" spans="1:32" ht="15.75" customHeight="1">
      <c r="A141" s="141"/>
      <c r="B141" s="142"/>
      <c r="C141" s="43"/>
      <c r="D141" s="43"/>
      <c r="E141" s="63"/>
      <c r="F141" s="136"/>
      <c r="G141" s="43"/>
      <c r="H141" s="43"/>
      <c r="I141" s="43"/>
      <c r="J141" s="43"/>
      <c r="K141" s="43"/>
      <c r="L141" s="43"/>
      <c r="M141" s="43"/>
      <c r="N141" s="148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</row>
    <row r="142" spans="1:32" ht="15.75" customHeight="1">
      <c r="A142" s="141"/>
      <c r="B142" s="142"/>
      <c r="C142" s="43"/>
      <c r="D142" s="43"/>
      <c r="E142" s="63"/>
      <c r="F142" s="136"/>
      <c r="G142" s="43"/>
      <c r="H142" s="43"/>
      <c r="I142" s="43"/>
      <c r="J142" s="43"/>
      <c r="K142" s="43"/>
      <c r="L142" s="43"/>
      <c r="M142" s="43"/>
      <c r="N142" s="148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</row>
    <row r="143" spans="1:32" ht="15.75" customHeight="1">
      <c r="A143" s="141"/>
      <c r="B143" s="142"/>
      <c r="C143" s="43"/>
      <c r="D143" s="43"/>
      <c r="E143" s="63"/>
      <c r="F143" s="136"/>
      <c r="G143" s="43"/>
      <c r="H143" s="43"/>
      <c r="I143" s="43"/>
      <c r="J143" s="43"/>
      <c r="K143" s="43"/>
      <c r="L143" s="43"/>
      <c r="M143" s="43"/>
      <c r="N143" s="148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</row>
    <row r="144" spans="1:32" ht="15.75" customHeight="1">
      <c r="A144" s="141"/>
      <c r="B144" s="142"/>
      <c r="C144" s="43"/>
      <c r="D144" s="43"/>
      <c r="E144" s="63"/>
      <c r="F144" s="136"/>
      <c r="G144" s="43"/>
      <c r="H144" s="43"/>
      <c r="I144" s="43"/>
      <c r="J144" s="43"/>
      <c r="K144" s="43"/>
      <c r="L144" s="43"/>
      <c r="M144" s="43"/>
      <c r="N144" s="148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</row>
    <row r="145" spans="1:32" ht="15.75" customHeight="1">
      <c r="A145" s="141"/>
      <c r="B145" s="142"/>
      <c r="C145" s="43"/>
      <c r="D145" s="43"/>
      <c r="E145" s="63"/>
      <c r="F145" s="136"/>
      <c r="G145" s="43"/>
      <c r="H145" s="43"/>
      <c r="I145" s="43"/>
      <c r="J145" s="43"/>
      <c r="K145" s="43"/>
      <c r="L145" s="43"/>
      <c r="M145" s="43"/>
      <c r="N145" s="148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</row>
    <row r="146" spans="1:32" ht="15.75" customHeight="1">
      <c r="A146" s="141"/>
      <c r="B146" s="142"/>
      <c r="C146" s="43"/>
      <c r="D146" s="43"/>
      <c r="E146" s="63"/>
      <c r="F146" s="136"/>
      <c r="G146" s="43"/>
      <c r="H146" s="43"/>
      <c r="I146" s="43"/>
      <c r="J146" s="43"/>
      <c r="K146" s="43"/>
      <c r="L146" s="43"/>
      <c r="M146" s="43"/>
      <c r="N146" s="148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</row>
    <row r="147" spans="1:32" ht="15.75" customHeight="1">
      <c r="A147" s="141"/>
      <c r="B147" s="142"/>
      <c r="C147" s="43"/>
      <c r="D147" s="43"/>
      <c r="E147" s="63"/>
      <c r="F147" s="136"/>
      <c r="G147" s="43"/>
      <c r="H147" s="43"/>
      <c r="I147" s="43"/>
      <c r="J147" s="43"/>
      <c r="K147" s="43"/>
      <c r="L147" s="43"/>
      <c r="M147" s="43"/>
      <c r="N147" s="148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</row>
    <row r="148" spans="1:32" ht="15.75" customHeight="1">
      <c r="A148" s="141"/>
      <c r="B148" s="142"/>
      <c r="C148" s="43"/>
      <c r="D148" s="43"/>
      <c r="E148" s="63"/>
      <c r="F148" s="136"/>
      <c r="G148" s="43"/>
      <c r="H148" s="43"/>
      <c r="I148" s="43"/>
      <c r="J148" s="43"/>
      <c r="K148" s="43"/>
      <c r="L148" s="43"/>
      <c r="M148" s="43"/>
      <c r="N148" s="148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</row>
    <row r="149" spans="1:32" ht="15.75" customHeight="1">
      <c r="A149" s="141"/>
      <c r="B149" s="142"/>
      <c r="C149" s="43"/>
      <c r="D149" s="43"/>
      <c r="E149" s="63"/>
      <c r="F149" s="136"/>
      <c r="G149" s="43"/>
      <c r="H149" s="43"/>
      <c r="I149" s="43"/>
      <c r="J149" s="43"/>
      <c r="K149" s="43"/>
      <c r="L149" s="43"/>
      <c r="M149" s="43"/>
      <c r="N149" s="148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</row>
    <row r="150" spans="1:32" ht="15.75" customHeight="1">
      <c r="A150" s="141"/>
      <c r="B150" s="142"/>
      <c r="C150" s="43"/>
      <c r="D150" s="43"/>
      <c r="E150" s="63"/>
      <c r="F150" s="136"/>
      <c r="G150" s="43"/>
      <c r="H150" s="43"/>
      <c r="I150" s="43"/>
      <c r="J150" s="43"/>
      <c r="K150" s="43"/>
      <c r="L150" s="43"/>
      <c r="M150" s="43"/>
      <c r="N150" s="148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</row>
    <row r="151" spans="1:32" ht="15.75" customHeight="1">
      <c r="A151" s="141"/>
      <c r="B151" s="142"/>
      <c r="C151" s="43"/>
      <c r="D151" s="43"/>
      <c r="E151" s="63"/>
      <c r="F151" s="136"/>
      <c r="G151" s="43"/>
      <c r="H151" s="43"/>
      <c r="I151" s="43"/>
      <c r="J151" s="43"/>
      <c r="K151" s="43"/>
      <c r="L151" s="43"/>
      <c r="M151" s="43"/>
      <c r="N151" s="148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</row>
    <row r="152" spans="1:32" ht="15.75" customHeight="1">
      <c r="A152" s="141"/>
      <c r="B152" s="142"/>
      <c r="C152" s="43"/>
      <c r="D152" s="43"/>
      <c r="E152" s="63"/>
      <c r="F152" s="136"/>
      <c r="G152" s="43"/>
      <c r="H152" s="43"/>
      <c r="I152" s="43"/>
      <c r="J152" s="43"/>
      <c r="K152" s="43"/>
      <c r="L152" s="43"/>
      <c r="M152" s="43"/>
      <c r="N152" s="148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</row>
    <row r="153" spans="1:32" ht="15.75" customHeight="1">
      <c r="A153" s="141"/>
      <c r="B153" s="142"/>
      <c r="C153" s="43"/>
      <c r="D153" s="43"/>
      <c r="E153" s="63"/>
      <c r="F153" s="136"/>
      <c r="G153" s="43"/>
      <c r="H153" s="43"/>
      <c r="I153" s="43"/>
      <c r="J153" s="43"/>
      <c r="K153" s="43"/>
      <c r="L153" s="43"/>
      <c r="M153" s="43"/>
      <c r="N153" s="148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</row>
    <row r="154" spans="1:32" ht="15.75" customHeight="1">
      <c r="A154" s="141"/>
      <c r="B154" s="142"/>
      <c r="C154" s="43"/>
      <c r="D154" s="43"/>
      <c r="E154" s="63"/>
      <c r="F154" s="136"/>
      <c r="G154" s="43"/>
      <c r="H154" s="43"/>
      <c r="I154" s="43"/>
      <c r="J154" s="43"/>
      <c r="K154" s="43"/>
      <c r="L154" s="43"/>
      <c r="M154" s="43"/>
      <c r="N154" s="148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</row>
    <row r="155" spans="1:32" ht="15.75" customHeight="1">
      <c r="A155" s="141"/>
      <c r="B155" s="142"/>
      <c r="C155" s="43"/>
      <c r="D155" s="43"/>
      <c r="E155" s="63"/>
      <c r="F155" s="136"/>
      <c r="G155" s="43"/>
      <c r="H155" s="43"/>
      <c r="I155" s="43"/>
      <c r="J155" s="43"/>
      <c r="K155" s="43"/>
      <c r="L155" s="43"/>
      <c r="M155" s="43"/>
      <c r="N155" s="148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</row>
    <row r="156" spans="1:32" ht="15.75" customHeight="1">
      <c r="A156" s="141"/>
      <c r="B156" s="142"/>
      <c r="C156" s="43"/>
      <c r="D156" s="43"/>
      <c r="E156" s="63"/>
      <c r="F156" s="136"/>
      <c r="G156" s="43"/>
      <c r="H156" s="43"/>
      <c r="I156" s="43"/>
      <c r="J156" s="43"/>
      <c r="K156" s="43"/>
      <c r="L156" s="43"/>
      <c r="M156" s="43"/>
      <c r="N156" s="148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</row>
    <row r="157" spans="1:32" ht="15.75" customHeight="1">
      <c r="A157" s="141"/>
      <c r="B157" s="142"/>
      <c r="C157" s="43"/>
      <c r="D157" s="43"/>
      <c r="E157" s="63"/>
      <c r="F157" s="136"/>
      <c r="G157" s="43"/>
      <c r="H157" s="43"/>
      <c r="I157" s="43"/>
      <c r="J157" s="43"/>
      <c r="K157" s="43"/>
      <c r="L157" s="43"/>
      <c r="M157" s="43"/>
      <c r="N157" s="148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</row>
    <row r="158" spans="1:32" ht="15.75" customHeight="1">
      <c r="A158" s="141"/>
      <c r="B158" s="142"/>
      <c r="C158" s="43"/>
      <c r="D158" s="43"/>
      <c r="E158" s="63"/>
      <c r="F158" s="136"/>
      <c r="G158" s="43"/>
      <c r="H158" s="43"/>
      <c r="I158" s="43"/>
      <c r="J158" s="43"/>
      <c r="K158" s="43"/>
      <c r="L158" s="43"/>
      <c r="M158" s="43"/>
      <c r="N158" s="148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</row>
    <row r="159" spans="1:32" ht="15.75" customHeight="1">
      <c r="A159" s="141"/>
      <c r="B159" s="142"/>
      <c r="C159" s="43"/>
      <c r="D159" s="43"/>
      <c r="E159" s="63"/>
      <c r="F159" s="136"/>
      <c r="G159" s="43"/>
      <c r="H159" s="43"/>
      <c r="I159" s="43"/>
      <c r="J159" s="43"/>
      <c r="K159" s="43"/>
      <c r="L159" s="43"/>
      <c r="M159" s="43"/>
      <c r="N159" s="148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</row>
    <row r="160" spans="1:32" ht="15.75" customHeight="1">
      <c r="A160" s="141"/>
      <c r="B160" s="142"/>
      <c r="C160" s="43"/>
      <c r="D160" s="43"/>
      <c r="E160" s="63"/>
      <c r="F160" s="136"/>
      <c r="G160" s="43"/>
      <c r="H160" s="43"/>
      <c r="I160" s="43"/>
      <c r="J160" s="43"/>
      <c r="K160" s="43"/>
      <c r="L160" s="43"/>
      <c r="M160" s="43"/>
      <c r="N160" s="148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</row>
    <row r="161" spans="1:32" ht="15.75" customHeight="1">
      <c r="A161" s="141"/>
      <c r="B161" s="142"/>
      <c r="C161" s="43"/>
      <c r="D161" s="43"/>
      <c r="E161" s="63"/>
      <c r="F161" s="136"/>
      <c r="G161" s="43"/>
      <c r="H161" s="43"/>
      <c r="I161" s="43"/>
      <c r="J161" s="43"/>
      <c r="K161" s="43"/>
      <c r="L161" s="43"/>
      <c r="M161" s="43"/>
      <c r="N161" s="148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</row>
    <row r="162" spans="1:32" ht="15.75" customHeight="1">
      <c r="A162" s="141"/>
      <c r="B162" s="142"/>
      <c r="C162" s="43"/>
      <c r="D162" s="43"/>
      <c r="E162" s="63"/>
      <c r="F162" s="136"/>
      <c r="G162" s="43"/>
      <c r="H162" s="43"/>
      <c r="I162" s="43"/>
      <c r="J162" s="43"/>
      <c r="K162" s="43"/>
      <c r="L162" s="43"/>
      <c r="M162" s="43"/>
      <c r="N162" s="148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</row>
    <row r="163" spans="1:32" ht="15.75" customHeight="1">
      <c r="A163" s="141"/>
      <c r="B163" s="142"/>
      <c r="C163" s="43"/>
      <c r="D163" s="43"/>
      <c r="E163" s="63"/>
      <c r="F163" s="136"/>
      <c r="G163" s="43"/>
      <c r="H163" s="43"/>
      <c r="I163" s="43"/>
      <c r="J163" s="43"/>
      <c r="K163" s="43"/>
      <c r="L163" s="43"/>
      <c r="M163" s="43"/>
      <c r="N163" s="148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</row>
    <row r="164" spans="1:32" ht="15.75" customHeight="1">
      <c r="A164" s="141"/>
      <c r="B164" s="142"/>
      <c r="C164" s="43"/>
      <c r="D164" s="43"/>
      <c r="E164" s="63"/>
      <c r="F164" s="136"/>
      <c r="G164" s="43"/>
      <c r="H164" s="43"/>
      <c r="I164" s="43"/>
      <c r="J164" s="43"/>
      <c r="K164" s="43"/>
      <c r="L164" s="43"/>
      <c r="M164" s="43"/>
      <c r="N164" s="148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</row>
    <row r="165" spans="1:32" ht="15.75" customHeight="1">
      <c r="A165" s="141"/>
      <c r="B165" s="142"/>
      <c r="C165" s="43"/>
      <c r="D165" s="43"/>
      <c r="E165" s="63"/>
      <c r="F165" s="136"/>
      <c r="G165" s="43"/>
      <c r="H165" s="43"/>
      <c r="I165" s="43"/>
      <c r="J165" s="43"/>
      <c r="K165" s="43"/>
      <c r="L165" s="43"/>
      <c r="M165" s="43"/>
      <c r="N165" s="148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</row>
    <row r="166" spans="1:32" ht="15.75" customHeight="1">
      <c r="A166" s="141"/>
      <c r="B166" s="142"/>
      <c r="C166" s="43"/>
      <c r="D166" s="43"/>
      <c r="E166" s="63"/>
      <c r="F166" s="136"/>
      <c r="G166" s="43"/>
      <c r="H166" s="43"/>
      <c r="I166" s="43"/>
      <c r="J166" s="43"/>
      <c r="K166" s="43"/>
      <c r="L166" s="43"/>
      <c r="M166" s="43"/>
      <c r="N166" s="148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</row>
    <row r="167" spans="1:32" ht="15.75" customHeight="1">
      <c r="A167" s="141"/>
      <c r="B167" s="142"/>
      <c r="C167" s="43"/>
      <c r="D167" s="43"/>
      <c r="E167" s="63"/>
      <c r="F167" s="136"/>
      <c r="G167" s="43"/>
      <c r="H167" s="43"/>
      <c r="I167" s="43"/>
      <c r="J167" s="43"/>
      <c r="K167" s="43"/>
      <c r="L167" s="43"/>
      <c r="M167" s="43"/>
      <c r="N167" s="148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spans="1:32" ht="15.75" customHeight="1">
      <c r="A168" s="141"/>
      <c r="B168" s="142"/>
      <c r="C168" s="43"/>
      <c r="D168" s="43"/>
      <c r="E168" s="63"/>
      <c r="F168" s="136"/>
      <c r="G168" s="43"/>
      <c r="H168" s="43"/>
      <c r="I168" s="43"/>
      <c r="J168" s="43"/>
      <c r="K168" s="43"/>
      <c r="L168" s="43"/>
      <c r="M168" s="43"/>
      <c r="N168" s="148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</row>
    <row r="169" spans="1:32" ht="15.75" customHeight="1">
      <c r="A169" s="141"/>
      <c r="B169" s="142"/>
      <c r="C169" s="43"/>
      <c r="D169" s="43"/>
      <c r="E169" s="63"/>
      <c r="F169" s="136"/>
      <c r="G169" s="43"/>
      <c r="H169" s="43"/>
      <c r="I169" s="43"/>
      <c r="J169" s="43"/>
      <c r="K169" s="43"/>
      <c r="L169" s="43"/>
      <c r="M169" s="43"/>
      <c r="N169" s="148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</row>
    <row r="170" spans="1:32" ht="15.75" customHeight="1">
      <c r="A170" s="141"/>
      <c r="B170" s="142"/>
      <c r="C170" s="43"/>
      <c r="D170" s="43"/>
      <c r="E170" s="63"/>
      <c r="F170" s="136"/>
      <c r="G170" s="43"/>
      <c r="H170" s="43"/>
      <c r="I170" s="43"/>
      <c r="J170" s="43"/>
      <c r="K170" s="43"/>
      <c r="L170" s="43"/>
      <c r="M170" s="43"/>
      <c r="N170" s="148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</row>
    <row r="171" spans="1:32" ht="15.75" customHeight="1">
      <c r="A171" s="141"/>
      <c r="B171" s="142"/>
      <c r="C171" s="43"/>
      <c r="D171" s="43"/>
      <c r="E171" s="63"/>
      <c r="F171" s="136"/>
      <c r="G171" s="43"/>
      <c r="H171" s="43"/>
      <c r="I171" s="43"/>
      <c r="J171" s="43"/>
      <c r="K171" s="43"/>
      <c r="L171" s="43"/>
      <c r="M171" s="43"/>
      <c r="N171" s="148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</row>
    <row r="172" spans="1:32" ht="15.75" customHeight="1">
      <c r="A172" s="141"/>
      <c r="B172" s="142"/>
      <c r="C172" s="43"/>
      <c r="D172" s="43"/>
      <c r="E172" s="63"/>
      <c r="F172" s="136"/>
      <c r="G172" s="43"/>
      <c r="H172" s="43"/>
      <c r="I172" s="43"/>
      <c r="J172" s="43"/>
      <c r="K172" s="43"/>
      <c r="L172" s="43"/>
      <c r="M172" s="43"/>
      <c r="N172" s="148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</row>
    <row r="173" spans="1:32" ht="15.75" customHeight="1">
      <c r="A173" s="141"/>
      <c r="B173" s="142"/>
      <c r="C173" s="43"/>
      <c r="D173" s="43"/>
      <c r="E173" s="63"/>
      <c r="F173" s="136"/>
      <c r="G173" s="43"/>
      <c r="H173" s="43"/>
      <c r="I173" s="43"/>
      <c r="J173" s="43"/>
      <c r="K173" s="43"/>
      <c r="L173" s="43"/>
      <c r="M173" s="43"/>
      <c r="N173" s="148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</row>
    <row r="174" spans="1:32" ht="15.75" customHeight="1">
      <c r="A174" s="141"/>
      <c r="B174" s="142"/>
      <c r="C174" s="43"/>
      <c r="D174" s="43"/>
      <c r="E174" s="63"/>
      <c r="F174" s="136"/>
      <c r="G174" s="43"/>
      <c r="H174" s="43"/>
      <c r="I174" s="43"/>
      <c r="J174" s="43"/>
      <c r="K174" s="43"/>
      <c r="L174" s="43"/>
      <c r="M174" s="43"/>
      <c r="N174" s="148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</row>
    <row r="175" spans="1:32" ht="15.75" customHeight="1">
      <c r="A175" s="141"/>
      <c r="B175" s="142"/>
      <c r="C175" s="43"/>
      <c r="D175" s="43"/>
      <c r="E175" s="63"/>
      <c r="F175" s="136"/>
      <c r="G175" s="43"/>
      <c r="H175" s="43"/>
      <c r="I175" s="43"/>
      <c r="J175" s="43"/>
      <c r="K175" s="43"/>
      <c r="L175" s="43"/>
      <c r="M175" s="43"/>
      <c r="N175" s="148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</row>
    <row r="176" spans="1:32" ht="15.75" customHeight="1">
      <c r="A176" s="141"/>
      <c r="B176" s="142"/>
      <c r="C176" s="43"/>
      <c r="D176" s="43"/>
      <c r="E176" s="63"/>
      <c r="F176" s="136"/>
      <c r="G176" s="43"/>
      <c r="H176" s="43"/>
      <c r="I176" s="43"/>
      <c r="J176" s="43"/>
      <c r="K176" s="43"/>
      <c r="L176" s="43"/>
      <c r="M176" s="43"/>
      <c r="N176" s="148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</row>
    <row r="177" spans="1:32" ht="15.75" customHeight="1">
      <c r="A177" s="141"/>
      <c r="B177" s="142"/>
      <c r="C177" s="43"/>
      <c r="D177" s="43"/>
      <c r="E177" s="63"/>
      <c r="F177" s="136"/>
      <c r="G177" s="43"/>
      <c r="H177" s="43"/>
      <c r="I177" s="43"/>
      <c r="J177" s="43"/>
      <c r="K177" s="43"/>
      <c r="L177" s="43"/>
      <c r="M177" s="43"/>
      <c r="N177" s="148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</row>
    <row r="178" spans="1:32" ht="15.75" customHeight="1">
      <c r="A178" s="141"/>
      <c r="B178" s="142"/>
      <c r="C178" s="43"/>
      <c r="D178" s="43"/>
      <c r="E178" s="63"/>
      <c r="F178" s="136"/>
      <c r="G178" s="43"/>
      <c r="H178" s="43"/>
      <c r="I178" s="43"/>
      <c r="J178" s="43"/>
      <c r="K178" s="43"/>
      <c r="L178" s="43"/>
      <c r="M178" s="43"/>
      <c r="N178" s="148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</row>
    <row r="179" spans="1:32" ht="15.75" customHeight="1">
      <c r="A179" s="141"/>
      <c r="B179" s="142"/>
      <c r="C179" s="43"/>
      <c r="D179" s="43"/>
      <c r="E179" s="63"/>
      <c r="F179" s="136"/>
      <c r="G179" s="43"/>
      <c r="H179" s="43"/>
      <c r="I179" s="43"/>
      <c r="J179" s="43"/>
      <c r="K179" s="43"/>
      <c r="L179" s="43"/>
      <c r="M179" s="43"/>
      <c r="N179" s="148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</row>
    <row r="180" spans="1:32" ht="15.75" customHeight="1">
      <c r="A180" s="141"/>
      <c r="B180" s="142"/>
      <c r="C180" s="43"/>
      <c r="D180" s="43"/>
      <c r="E180" s="63"/>
      <c r="F180" s="136"/>
      <c r="G180" s="43"/>
      <c r="H180" s="43"/>
      <c r="I180" s="43"/>
      <c r="J180" s="43"/>
      <c r="K180" s="43"/>
      <c r="L180" s="43"/>
      <c r="M180" s="43"/>
      <c r="N180" s="148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</row>
    <row r="181" spans="1:32" ht="15.75" customHeight="1">
      <c r="A181" s="141"/>
      <c r="B181" s="142"/>
      <c r="C181" s="43"/>
      <c r="D181" s="43"/>
      <c r="E181" s="63"/>
      <c r="F181" s="136"/>
      <c r="G181" s="43"/>
      <c r="H181" s="43"/>
      <c r="I181" s="43"/>
      <c r="J181" s="43"/>
      <c r="K181" s="43"/>
      <c r="L181" s="43"/>
      <c r="M181" s="43"/>
      <c r="N181" s="148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</row>
    <row r="182" spans="1:32" ht="15.75" customHeight="1">
      <c r="A182" s="141"/>
      <c r="B182" s="142"/>
      <c r="C182" s="43"/>
      <c r="D182" s="43"/>
      <c r="E182" s="63"/>
      <c r="F182" s="136"/>
      <c r="G182" s="43"/>
      <c r="H182" s="43"/>
      <c r="I182" s="43"/>
      <c r="J182" s="43"/>
      <c r="K182" s="43"/>
      <c r="L182" s="43"/>
      <c r="M182" s="43"/>
      <c r="N182" s="148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</row>
    <row r="183" spans="1:32" ht="15.75" customHeight="1">
      <c r="A183" s="141"/>
      <c r="B183" s="142"/>
      <c r="C183" s="43"/>
      <c r="D183" s="43"/>
      <c r="E183" s="63"/>
      <c r="F183" s="136"/>
      <c r="G183" s="43"/>
      <c r="H183" s="43"/>
      <c r="I183" s="43"/>
      <c r="J183" s="43"/>
      <c r="K183" s="43"/>
      <c r="L183" s="43"/>
      <c r="M183" s="43"/>
      <c r="N183" s="148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</row>
    <row r="184" spans="1:32" ht="15.75" customHeight="1">
      <c r="A184" s="141"/>
      <c r="B184" s="142"/>
      <c r="C184" s="43"/>
      <c r="D184" s="43"/>
      <c r="E184" s="63"/>
      <c r="F184" s="136"/>
      <c r="G184" s="43"/>
      <c r="H184" s="43"/>
      <c r="I184" s="43"/>
      <c r="J184" s="43"/>
      <c r="K184" s="43"/>
      <c r="L184" s="43"/>
      <c r="M184" s="43"/>
      <c r="N184" s="148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</row>
    <row r="185" spans="1:32" ht="15.75" customHeight="1">
      <c r="A185" s="141"/>
      <c r="B185" s="142"/>
      <c r="C185" s="43"/>
      <c r="D185" s="43"/>
      <c r="E185" s="63"/>
      <c r="F185" s="136"/>
      <c r="G185" s="43"/>
      <c r="H185" s="43"/>
      <c r="I185" s="43"/>
      <c r="J185" s="43"/>
      <c r="K185" s="43"/>
      <c r="L185" s="43"/>
      <c r="M185" s="43"/>
      <c r="N185" s="148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</row>
    <row r="186" spans="1:32" ht="15.75" customHeight="1">
      <c r="A186" s="141"/>
      <c r="B186" s="142"/>
      <c r="C186" s="43"/>
      <c r="D186" s="43"/>
      <c r="E186" s="63"/>
      <c r="F186" s="136"/>
      <c r="G186" s="43"/>
      <c r="H186" s="43"/>
      <c r="I186" s="43"/>
      <c r="J186" s="43"/>
      <c r="K186" s="43"/>
      <c r="L186" s="43"/>
      <c r="M186" s="43"/>
      <c r="N186" s="148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</row>
    <row r="187" spans="1:32" ht="15.75" customHeight="1">
      <c r="A187" s="141"/>
      <c r="B187" s="142"/>
      <c r="C187" s="43"/>
      <c r="D187" s="43"/>
      <c r="E187" s="63"/>
      <c r="F187" s="136"/>
      <c r="G187" s="43"/>
      <c r="H187" s="43"/>
      <c r="I187" s="43"/>
      <c r="J187" s="43"/>
      <c r="K187" s="43"/>
      <c r="L187" s="43"/>
      <c r="M187" s="43"/>
      <c r="N187" s="148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</row>
    <row r="188" spans="1:32" ht="15.75" customHeight="1">
      <c r="A188" s="141"/>
      <c r="B188" s="142"/>
      <c r="C188" s="43"/>
      <c r="D188" s="43"/>
      <c r="E188" s="63"/>
      <c r="F188" s="136"/>
      <c r="G188" s="43"/>
      <c r="H188" s="43"/>
      <c r="I188" s="43"/>
      <c r="J188" s="43"/>
      <c r="K188" s="43"/>
      <c r="L188" s="43"/>
      <c r="M188" s="43"/>
      <c r="N188" s="148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</row>
    <row r="189" spans="1:32" ht="15.75" customHeight="1">
      <c r="A189" s="141"/>
      <c r="B189" s="142"/>
      <c r="C189" s="43"/>
      <c r="D189" s="43"/>
      <c r="E189" s="63"/>
      <c r="F189" s="136"/>
      <c r="G189" s="43"/>
      <c r="H189" s="43"/>
      <c r="I189" s="43"/>
      <c r="J189" s="43"/>
      <c r="K189" s="43"/>
      <c r="L189" s="43"/>
      <c r="M189" s="43"/>
      <c r="N189" s="148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</row>
    <row r="190" spans="1:32" ht="15.75" customHeight="1">
      <c r="A190" s="141"/>
      <c r="B190" s="142"/>
      <c r="C190" s="43"/>
      <c r="D190" s="43"/>
      <c r="E190" s="63"/>
      <c r="F190" s="136"/>
      <c r="G190" s="43"/>
      <c r="H190" s="43"/>
      <c r="I190" s="43"/>
      <c r="J190" s="43"/>
      <c r="K190" s="43"/>
      <c r="L190" s="43"/>
      <c r="M190" s="43"/>
      <c r="N190" s="148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</row>
    <row r="191" spans="1:32" ht="15.75" customHeight="1">
      <c r="A191" s="141"/>
      <c r="B191" s="142"/>
      <c r="C191" s="43"/>
      <c r="D191" s="43"/>
      <c r="E191" s="63"/>
      <c r="F191" s="136"/>
      <c r="G191" s="43"/>
      <c r="H191" s="43"/>
      <c r="I191" s="43"/>
      <c r="J191" s="43"/>
      <c r="K191" s="43"/>
      <c r="L191" s="43"/>
      <c r="M191" s="43"/>
      <c r="N191" s="148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</row>
    <row r="192" spans="1:32" ht="15.75" customHeight="1">
      <c r="A192" s="141"/>
      <c r="B192" s="142"/>
      <c r="C192" s="43"/>
      <c r="D192" s="43"/>
      <c r="E192" s="63"/>
      <c r="F192" s="136"/>
      <c r="G192" s="43"/>
      <c r="H192" s="43"/>
      <c r="I192" s="43"/>
      <c r="J192" s="43"/>
      <c r="K192" s="43"/>
      <c r="L192" s="43"/>
      <c r="M192" s="43"/>
      <c r="N192" s="148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</row>
    <row r="193" spans="1:32" ht="15.75" customHeight="1">
      <c r="A193" s="141"/>
      <c r="B193" s="142"/>
      <c r="C193" s="43"/>
      <c r="D193" s="43"/>
      <c r="E193" s="63"/>
      <c r="F193" s="136"/>
      <c r="G193" s="43"/>
      <c r="H193" s="43"/>
      <c r="I193" s="43"/>
      <c r="J193" s="43"/>
      <c r="K193" s="43"/>
      <c r="L193" s="43"/>
      <c r="M193" s="43"/>
      <c r="N193" s="148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</row>
    <row r="194" spans="1:32" ht="15.75" customHeight="1">
      <c r="A194" s="141"/>
      <c r="B194" s="142"/>
      <c r="C194" s="43"/>
      <c r="D194" s="43"/>
      <c r="E194" s="63"/>
      <c r="F194" s="136"/>
      <c r="G194" s="43"/>
      <c r="H194" s="43"/>
      <c r="I194" s="43"/>
      <c r="J194" s="43"/>
      <c r="K194" s="43"/>
      <c r="L194" s="43"/>
      <c r="M194" s="43"/>
      <c r="N194" s="148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</row>
    <row r="195" spans="1:32" ht="15.75" customHeight="1">
      <c r="A195" s="141"/>
      <c r="B195" s="142"/>
      <c r="C195" s="43"/>
      <c r="D195" s="43"/>
      <c r="E195" s="63"/>
      <c r="F195" s="136"/>
      <c r="G195" s="43"/>
      <c r="H195" s="43"/>
      <c r="I195" s="43"/>
      <c r="J195" s="43"/>
      <c r="K195" s="43"/>
      <c r="L195" s="43"/>
      <c r="M195" s="43"/>
      <c r="N195" s="148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</row>
    <row r="196" spans="1:32" ht="15.75" customHeight="1">
      <c r="A196" s="141"/>
      <c r="B196" s="142"/>
      <c r="C196" s="43"/>
      <c r="D196" s="43"/>
      <c r="E196" s="63"/>
      <c r="F196" s="136"/>
      <c r="G196" s="43"/>
      <c r="H196" s="43"/>
      <c r="I196" s="43"/>
      <c r="J196" s="43"/>
      <c r="K196" s="43"/>
      <c r="L196" s="43"/>
      <c r="M196" s="43"/>
      <c r="N196" s="148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</row>
    <row r="197" spans="1:32" ht="15.75" customHeight="1">
      <c r="A197" s="141"/>
      <c r="B197" s="142"/>
      <c r="C197" s="43"/>
      <c r="D197" s="43"/>
      <c r="E197" s="63"/>
      <c r="F197" s="136"/>
      <c r="G197" s="43"/>
      <c r="H197" s="43"/>
      <c r="I197" s="43"/>
      <c r="J197" s="43"/>
      <c r="K197" s="43"/>
      <c r="L197" s="43"/>
      <c r="M197" s="43"/>
      <c r="N197" s="148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</row>
    <row r="198" spans="1:32" ht="15.75" customHeight="1">
      <c r="A198" s="141"/>
      <c r="B198" s="142"/>
      <c r="C198" s="43"/>
      <c r="D198" s="43"/>
      <c r="E198" s="63"/>
      <c r="F198" s="136"/>
      <c r="G198" s="43"/>
      <c r="H198" s="43"/>
      <c r="I198" s="43"/>
      <c r="J198" s="43"/>
      <c r="K198" s="43"/>
      <c r="L198" s="43"/>
      <c r="M198" s="43"/>
      <c r="N198" s="148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</row>
    <row r="199" spans="1:32" ht="15.75" customHeight="1">
      <c r="A199" s="141"/>
      <c r="B199" s="142"/>
      <c r="C199" s="43"/>
      <c r="D199" s="43"/>
      <c r="E199" s="63"/>
      <c r="F199" s="136"/>
      <c r="G199" s="43"/>
      <c r="H199" s="43"/>
      <c r="I199" s="43"/>
      <c r="J199" s="43"/>
      <c r="K199" s="43"/>
      <c r="L199" s="43"/>
      <c r="M199" s="43"/>
      <c r="N199" s="148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</row>
    <row r="200" spans="1:32" ht="15.75" customHeight="1">
      <c r="A200" s="141"/>
      <c r="B200" s="142"/>
      <c r="C200" s="43"/>
      <c r="D200" s="43"/>
      <c r="E200" s="63"/>
      <c r="F200" s="136"/>
      <c r="G200" s="43"/>
      <c r="H200" s="43"/>
      <c r="I200" s="43"/>
      <c r="J200" s="43"/>
      <c r="K200" s="43"/>
      <c r="L200" s="43"/>
      <c r="M200" s="43"/>
      <c r="N200" s="148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 spans="1:32" ht="15.75" customHeight="1">
      <c r="A201" s="141"/>
      <c r="B201" s="142"/>
      <c r="C201" s="43"/>
      <c r="D201" s="43"/>
      <c r="E201" s="63"/>
      <c r="F201" s="136"/>
      <c r="G201" s="43"/>
      <c r="H201" s="43"/>
      <c r="I201" s="43"/>
      <c r="J201" s="43"/>
      <c r="K201" s="43"/>
      <c r="L201" s="43"/>
      <c r="M201" s="43"/>
      <c r="N201" s="148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</row>
    <row r="202" spans="1:32" ht="15.75" customHeight="1">
      <c r="A202" s="141"/>
      <c r="B202" s="142"/>
      <c r="C202" s="43"/>
      <c r="D202" s="43"/>
      <c r="E202" s="63"/>
      <c r="F202" s="136"/>
      <c r="G202" s="43"/>
      <c r="H202" s="43"/>
      <c r="I202" s="43"/>
      <c r="J202" s="43"/>
      <c r="K202" s="43"/>
      <c r="L202" s="43"/>
      <c r="M202" s="43"/>
      <c r="N202" s="148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</row>
    <row r="203" spans="1:32" ht="15.75" customHeight="1">
      <c r="A203" s="141"/>
      <c r="B203" s="142"/>
      <c r="C203" s="43"/>
      <c r="D203" s="43"/>
      <c r="E203" s="63"/>
      <c r="F203" s="136"/>
      <c r="G203" s="43"/>
      <c r="H203" s="43"/>
      <c r="I203" s="43"/>
      <c r="J203" s="43"/>
      <c r="K203" s="43"/>
      <c r="L203" s="43"/>
      <c r="M203" s="43"/>
      <c r="N203" s="148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</row>
    <row r="204" spans="1:32" ht="15.75" customHeight="1">
      <c r="A204" s="141"/>
      <c r="B204" s="142"/>
      <c r="C204" s="43"/>
      <c r="D204" s="43"/>
      <c r="E204" s="63"/>
      <c r="F204" s="136"/>
      <c r="G204" s="43"/>
      <c r="H204" s="43"/>
      <c r="I204" s="43"/>
      <c r="J204" s="43"/>
      <c r="K204" s="43"/>
      <c r="L204" s="43"/>
      <c r="M204" s="43"/>
      <c r="N204" s="148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</row>
    <row r="205" spans="1:32" ht="15.75" customHeight="1">
      <c r="A205" s="141"/>
      <c r="B205" s="142"/>
      <c r="C205" s="43"/>
      <c r="D205" s="43"/>
      <c r="E205" s="63"/>
      <c r="F205" s="136"/>
      <c r="G205" s="43"/>
      <c r="H205" s="43"/>
      <c r="I205" s="43"/>
      <c r="J205" s="43"/>
      <c r="K205" s="43"/>
      <c r="L205" s="43"/>
      <c r="M205" s="43"/>
      <c r="N205" s="148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</row>
    <row r="206" spans="1:32" ht="15.75" customHeight="1">
      <c r="A206" s="141"/>
      <c r="B206" s="142"/>
      <c r="C206" s="43"/>
      <c r="D206" s="43"/>
      <c r="E206" s="63"/>
      <c r="F206" s="136"/>
      <c r="G206" s="43"/>
      <c r="H206" s="43"/>
      <c r="I206" s="43"/>
      <c r="J206" s="43"/>
      <c r="K206" s="43"/>
      <c r="L206" s="43"/>
      <c r="M206" s="43"/>
      <c r="N206" s="148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</row>
    <row r="207" spans="1:32" ht="15.75" customHeight="1">
      <c r="A207" s="141"/>
      <c r="B207" s="142"/>
      <c r="C207" s="43"/>
      <c r="D207" s="43"/>
      <c r="E207" s="63"/>
      <c r="F207" s="136"/>
      <c r="G207" s="43"/>
      <c r="H207" s="43"/>
      <c r="I207" s="43"/>
      <c r="J207" s="43"/>
      <c r="K207" s="43"/>
      <c r="L207" s="43"/>
      <c r="M207" s="43"/>
      <c r="N207" s="148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</row>
    <row r="208" spans="1:32" ht="15.75" customHeight="1">
      <c r="A208" s="141"/>
      <c r="B208" s="142"/>
      <c r="C208" s="43"/>
      <c r="D208" s="43"/>
      <c r="E208" s="63"/>
      <c r="F208" s="136"/>
      <c r="G208" s="43"/>
      <c r="H208" s="43"/>
      <c r="I208" s="43"/>
      <c r="J208" s="43"/>
      <c r="K208" s="43"/>
      <c r="L208" s="43"/>
      <c r="M208" s="43"/>
      <c r="N208" s="148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</row>
    <row r="209" spans="1:32" ht="15.75" customHeight="1">
      <c r="A209" s="141"/>
      <c r="B209" s="142"/>
      <c r="C209" s="43"/>
      <c r="D209" s="43"/>
      <c r="E209" s="63"/>
      <c r="F209" s="136"/>
      <c r="G209" s="43"/>
      <c r="H209" s="43"/>
      <c r="I209" s="43"/>
      <c r="J209" s="43"/>
      <c r="K209" s="43"/>
      <c r="L209" s="43"/>
      <c r="M209" s="43"/>
      <c r="N209" s="148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</row>
    <row r="210" spans="1:32" ht="15.75" customHeight="1">
      <c r="A210" s="141"/>
      <c r="B210" s="142"/>
      <c r="C210" s="43"/>
      <c r="D210" s="43"/>
      <c r="E210" s="63"/>
      <c r="F210" s="136"/>
      <c r="G210" s="43"/>
      <c r="H210" s="43"/>
      <c r="I210" s="43"/>
      <c r="J210" s="43"/>
      <c r="K210" s="43"/>
      <c r="L210" s="43"/>
      <c r="M210" s="43"/>
      <c r="N210" s="148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</row>
    <row r="211" spans="1:32" ht="15.75" customHeight="1">
      <c r="A211" s="141"/>
      <c r="B211" s="142"/>
      <c r="C211" s="43"/>
      <c r="D211" s="43"/>
      <c r="E211" s="63"/>
      <c r="F211" s="136"/>
      <c r="G211" s="43"/>
      <c r="H211" s="43"/>
      <c r="I211" s="43"/>
      <c r="J211" s="43"/>
      <c r="K211" s="43"/>
      <c r="L211" s="43"/>
      <c r="M211" s="43"/>
      <c r="N211" s="148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</row>
    <row r="212" spans="1:32" ht="15.75" customHeight="1">
      <c r="A212" s="141"/>
      <c r="B212" s="142"/>
      <c r="C212" s="43"/>
      <c r="D212" s="43"/>
      <c r="E212" s="63"/>
      <c r="F212" s="136"/>
      <c r="G212" s="43"/>
      <c r="H212" s="43"/>
      <c r="I212" s="43"/>
      <c r="J212" s="43"/>
      <c r="K212" s="43"/>
      <c r="L212" s="43"/>
      <c r="M212" s="43"/>
      <c r="N212" s="148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</row>
    <row r="213" spans="1:32" ht="15.75" customHeight="1">
      <c r="A213" s="141"/>
      <c r="B213" s="142"/>
      <c r="C213" s="43"/>
      <c r="D213" s="43"/>
      <c r="E213" s="63"/>
      <c r="F213" s="136"/>
      <c r="G213" s="43"/>
      <c r="H213" s="43"/>
      <c r="I213" s="43"/>
      <c r="J213" s="43"/>
      <c r="K213" s="43"/>
      <c r="L213" s="43"/>
      <c r="M213" s="43"/>
      <c r="N213" s="148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</row>
    <row r="214" spans="1:32" ht="15.75" customHeight="1">
      <c r="A214" s="141"/>
      <c r="B214" s="142"/>
      <c r="C214" s="43"/>
      <c r="D214" s="43"/>
      <c r="E214" s="63"/>
      <c r="F214" s="136"/>
      <c r="G214" s="43"/>
      <c r="H214" s="43"/>
      <c r="I214" s="43"/>
      <c r="J214" s="43"/>
      <c r="K214" s="43"/>
      <c r="L214" s="43"/>
      <c r="M214" s="43"/>
      <c r="N214" s="148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</row>
    <row r="215" spans="1:32" ht="15.75" customHeight="1">
      <c r="A215" s="141"/>
      <c r="B215" s="142"/>
      <c r="C215" s="43"/>
      <c r="D215" s="43"/>
      <c r="E215" s="63"/>
      <c r="F215" s="136"/>
      <c r="G215" s="43"/>
      <c r="H215" s="43"/>
      <c r="I215" s="43"/>
      <c r="J215" s="43"/>
      <c r="K215" s="43"/>
      <c r="L215" s="43"/>
      <c r="M215" s="43"/>
      <c r="N215" s="148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</row>
    <row r="216" spans="1:32" ht="15.75" customHeight="1">
      <c r="A216" s="141"/>
      <c r="B216" s="142"/>
      <c r="C216" s="43"/>
      <c r="D216" s="43"/>
      <c r="E216" s="63"/>
      <c r="F216" s="136"/>
      <c r="G216" s="43"/>
      <c r="H216" s="43"/>
      <c r="I216" s="43"/>
      <c r="J216" s="43"/>
      <c r="K216" s="43"/>
      <c r="L216" s="43"/>
      <c r="M216" s="43"/>
      <c r="N216" s="148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</row>
    <row r="217" spans="1:32" ht="14.25" customHeight="1">
      <c r="A217" s="143"/>
      <c r="B217" s="144"/>
      <c r="E217" s="145"/>
      <c r="F217" s="146"/>
      <c r="N217" s="154"/>
    </row>
    <row r="218" spans="1:32" ht="14.25" customHeight="1">
      <c r="A218" s="143"/>
      <c r="B218" s="144"/>
      <c r="E218" s="145"/>
      <c r="F218" s="146"/>
      <c r="N218" s="154"/>
    </row>
    <row r="219" spans="1:32" ht="14.25" customHeight="1">
      <c r="A219" s="143"/>
      <c r="B219" s="144"/>
      <c r="E219" s="145"/>
      <c r="F219" s="146"/>
      <c r="N219" s="154"/>
    </row>
    <row r="220" spans="1:32" ht="14.25" customHeight="1">
      <c r="A220" s="143"/>
      <c r="B220" s="144"/>
      <c r="E220" s="145"/>
      <c r="F220" s="146"/>
      <c r="N220" s="154"/>
    </row>
    <row r="221" spans="1:32" ht="14.25" customHeight="1">
      <c r="A221" s="143"/>
      <c r="B221" s="144"/>
      <c r="E221" s="145"/>
      <c r="F221" s="146"/>
      <c r="N221" s="154"/>
    </row>
    <row r="222" spans="1:32" ht="14.25" customHeight="1">
      <c r="A222" s="143"/>
      <c r="B222" s="144"/>
      <c r="E222" s="145"/>
      <c r="F222" s="146"/>
      <c r="N222" s="154"/>
    </row>
    <row r="223" spans="1:32" ht="14.25" customHeight="1">
      <c r="A223" s="143"/>
      <c r="B223" s="144"/>
      <c r="E223" s="145"/>
      <c r="F223" s="146"/>
      <c r="N223" s="154"/>
    </row>
    <row r="224" spans="1:32" ht="14.25" customHeight="1">
      <c r="A224" s="143"/>
      <c r="B224" s="144"/>
      <c r="E224" s="145"/>
      <c r="F224" s="146"/>
      <c r="N224" s="154"/>
    </row>
    <row r="225" spans="1:14" ht="14.25" customHeight="1">
      <c r="A225" s="143"/>
      <c r="B225" s="144"/>
      <c r="E225" s="145"/>
      <c r="F225" s="146"/>
      <c r="N225" s="154"/>
    </row>
    <row r="226" spans="1:14" ht="14.25" customHeight="1">
      <c r="A226" s="143"/>
      <c r="B226" s="144"/>
      <c r="E226" s="145"/>
      <c r="F226" s="146"/>
      <c r="N226" s="154"/>
    </row>
    <row r="227" spans="1:14" ht="14.25" customHeight="1">
      <c r="A227" s="143"/>
      <c r="B227" s="144"/>
      <c r="E227" s="145"/>
      <c r="F227" s="146"/>
      <c r="N227" s="154"/>
    </row>
    <row r="228" spans="1:14" ht="14.25" customHeight="1">
      <c r="A228" s="143"/>
      <c r="B228" s="144"/>
      <c r="E228" s="145"/>
      <c r="F228" s="146"/>
      <c r="N228" s="154"/>
    </row>
    <row r="229" spans="1:14" ht="14.25" customHeight="1">
      <c r="A229" s="143"/>
      <c r="B229" s="144"/>
      <c r="E229" s="145"/>
      <c r="F229" s="146"/>
      <c r="N229" s="154"/>
    </row>
    <row r="230" spans="1:14" ht="14.25" customHeight="1">
      <c r="A230" s="143"/>
      <c r="B230" s="144"/>
      <c r="E230" s="145"/>
      <c r="F230" s="146"/>
      <c r="N230" s="154"/>
    </row>
    <row r="231" spans="1:14" ht="14.25" customHeight="1">
      <c r="A231" s="143"/>
      <c r="B231" s="144"/>
      <c r="E231" s="145"/>
      <c r="F231" s="146"/>
      <c r="N231" s="154"/>
    </row>
    <row r="232" spans="1:14" ht="14.25" customHeight="1">
      <c r="A232" s="143"/>
      <c r="B232" s="144"/>
      <c r="E232" s="145"/>
      <c r="F232" s="146"/>
      <c r="N232" s="154"/>
    </row>
    <row r="233" spans="1:14" ht="14.25" customHeight="1">
      <c r="A233" s="143"/>
      <c r="B233" s="144"/>
      <c r="E233" s="145"/>
      <c r="F233" s="146"/>
      <c r="N233" s="154"/>
    </row>
    <row r="234" spans="1:14" ht="14.25" customHeight="1">
      <c r="A234" s="143"/>
      <c r="B234" s="144"/>
      <c r="E234" s="145"/>
      <c r="F234" s="146"/>
      <c r="N234" s="154"/>
    </row>
    <row r="235" spans="1:14" ht="14.25" customHeight="1">
      <c r="A235" s="143"/>
      <c r="B235" s="144"/>
      <c r="E235" s="145"/>
      <c r="F235" s="146"/>
      <c r="N235" s="154"/>
    </row>
    <row r="236" spans="1:14" ht="14.25" customHeight="1">
      <c r="A236" s="143"/>
      <c r="B236" s="144"/>
      <c r="E236" s="145"/>
      <c r="F236" s="146"/>
      <c r="N236" s="154"/>
    </row>
    <row r="237" spans="1:14" ht="14.25" customHeight="1">
      <c r="A237" s="143"/>
      <c r="B237" s="144"/>
      <c r="E237" s="145"/>
      <c r="F237" s="146"/>
      <c r="N237" s="154"/>
    </row>
    <row r="238" spans="1:14" ht="14.25" customHeight="1">
      <c r="A238" s="143"/>
      <c r="B238" s="144"/>
      <c r="E238" s="145"/>
      <c r="F238" s="146"/>
      <c r="N238" s="154"/>
    </row>
    <row r="239" spans="1:14" ht="14.25" customHeight="1">
      <c r="A239" s="143"/>
      <c r="B239" s="144"/>
      <c r="E239" s="145"/>
      <c r="F239" s="146"/>
      <c r="N239" s="154"/>
    </row>
    <row r="240" spans="1:14" ht="14.25" customHeight="1">
      <c r="A240" s="143"/>
      <c r="B240" s="144"/>
      <c r="E240" s="145"/>
      <c r="F240" s="146"/>
      <c r="N240" s="154"/>
    </row>
    <row r="241" spans="1:14" ht="14.25" customHeight="1">
      <c r="A241" s="143"/>
      <c r="B241" s="144"/>
      <c r="E241" s="145"/>
      <c r="F241" s="146"/>
      <c r="N241" s="154"/>
    </row>
    <row r="242" spans="1:14" ht="14.25" customHeight="1">
      <c r="A242" s="143"/>
      <c r="B242" s="144"/>
      <c r="E242" s="145"/>
      <c r="F242" s="146"/>
      <c r="N242" s="154"/>
    </row>
    <row r="243" spans="1:14" ht="14.25" customHeight="1">
      <c r="A243" s="143"/>
      <c r="B243" s="144"/>
      <c r="E243" s="145"/>
      <c r="F243" s="146"/>
      <c r="N243" s="154"/>
    </row>
    <row r="244" spans="1:14" ht="14.25" customHeight="1">
      <c r="A244" s="143"/>
      <c r="B244" s="144"/>
      <c r="E244" s="145"/>
      <c r="F244" s="146"/>
      <c r="N244" s="154"/>
    </row>
    <row r="245" spans="1:14" ht="14.25" customHeight="1">
      <c r="A245" s="143"/>
      <c r="B245" s="144"/>
      <c r="E245" s="145"/>
      <c r="F245" s="146"/>
      <c r="N245" s="154"/>
    </row>
    <row r="246" spans="1:14" ht="14.25" customHeight="1">
      <c r="A246" s="143"/>
      <c r="B246" s="144"/>
      <c r="E246" s="145"/>
      <c r="F246" s="146"/>
      <c r="N246" s="154"/>
    </row>
    <row r="247" spans="1:14" ht="14.25" customHeight="1">
      <c r="A247" s="143"/>
      <c r="B247" s="144"/>
      <c r="E247" s="145"/>
      <c r="F247" s="146"/>
      <c r="N247" s="154"/>
    </row>
    <row r="248" spans="1:14" ht="14.25" customHeight="1">
      <c r="A248" s="143"/>
      <c r="B248" s="144"/>
      <c r="E248" s="145"/>
      <c r="F248" s="146"/>
      <c r="N248" s="154"/>
    </row>
    <row r="249" spans="1:14" ht="14.25" customHeight="1">
      <c r="A249" s="143"/>
      <c r="B249" s="144"/>
      <c r="E249" s="145"/>
      <c r="F249" s="146"/>
      <c r="N249" s="154"/>
    </row>
    <row r="250" spans="1:14" ht="14.25" customHeight="1">
      <c r="A250" s="143"/>
      <c r="B250" s="144"/>
      <c r="E250" s="145"/>
      <c r="F250" s="146"/>
      <c r="N250" s="154"/>
    </row>
    <row r="251" spans="1:14" ht="14.25" customHeight="1">
      <c r="A251" s="143"/>
      <c r="B251" s="144"/>
      <c r="E251" s="145"/>
      <c r="F251" s="146"/>
      <c r="N251" s="154"/>
    </row>
    <row r="252" spans="1:14" ht="14.25" customHeight="1">
      <c r="A252" s="143"/>
      <c r="B252" s="144"/>
      <c r="E252" s="145"/>
      <c r="F252" s="146"/>
      <c r="N252" s="154"/>
    </row>
    <row r="253" spans="1:14" ht="14.25" customHeight="1">
      <c r="A253" s="143"/>
      <c r="B253" s="144"/>
      <c r="E253" s="145"/>
      <c r="F253" s="146"/>
      <c r="N253" s="154"/>
    </row>
    <row r="254" spans="1:14" ht="14.25" customHeight="1">
      <c r="A254" s="143"/>
      <c r="B254" s="144"/>
      <c r="E254" s="145"/>
      <c r="F254" s="146"/>
      <c r="N254" s="154"/>
    </row>
    <row r="255" spans="1:14" ht="14.25" customHeight="1">
      <c r="A255" s="143"/>
      <c r="B255" s="144"/>
      <c r="E255" s="145"/>
      <c r="F255" s="146"/>
      <c r="N255" s="154"/>
    </row>
    <row r="256" spans="1:14" ht="14.25" customHeight="1">
      <c r="A256" s="143"/>
      <c r="B256" s="144"/>
      <c r="E256" s="145"/>
      <c r="F256" s="146"/>
      <c r="N256" s="154"/>
    </row>
    <row r="257" spans="1:14" ht="14.25" customHeight="1">
      <c r="A257" s="143"/>
      <c r="B257" s="144"/>
      <c r="E257" s="145"/>
      <c r="F257" s="146"/>
      <c r="N257" s="154"/>
    </row>
    <row r="258" spans="1:14" ht="14.25" customHeight="1">
      <c r="A258" s="143"/>
      <c r="B258" s="144"/>
      <c r="E258" s="145"/>
      <c r="F258" s="146"/>
      <c r="N258" s="154"/>
    </row>
    <row r="259" spans="1:14" ht="14.25" customHeight="1">
      <c r="A259" s="143"/>
      <c r="B259" s="144"/>
      <c r="E259" s="145"/>
      <c r="F259" s="146"/>
      <c r="N259" s="154"/>
    </row>
    <row r="260" spans="1:14" ht="14.25" customHeight="1">
      <c r="A260" s="143"/>
      <c r="B260" s="144"/>
      <c r="E260" s="145"/>
      <c r="F260" s="146"/>
      <c r="N260" s="154"/>
    </row>
    <row r="261" spans="1:14" ht="14.25" customHeight="1">
      <c r="A261" s="143"/>
      <c r="B261" s="144"/>
      <c r="E261" s="145"/>
      <c r="F261" s="146"/>
      <c r="N261" s="154"/>
    </row>
    <row r="262" spans="1:14" ht="14.25" customHeight="1">
      <c r="A262" s="143"/>
      <c r="B262" s="144"/>
      <c r="E262" s="145"/>
      <c r="F262" s="146"/>
      <c r="N262" s="154"/>
    </row>
    <row r="263" spans="1:14" ht="14.25" customHeight="1">
      <c r="A263" s="143"/>
      <c r="B263" s="144"/>
      <c r="E263" s="145"/>
      <c r="F263" s="146"/>
      <c r="N263" s="154"/>
    </row>
    <row r="264" spans="1:14" ht="14.25" customHeight="1">
      <c r="A264" s="143"/>
      <c r="B264" s="144"/>
      <c r="E264" s="145"/>
      <c r="F264" s="146"/>
      <c r="N264" s="154"/>
    </row>
    <row r="265" spans="1:14" ht="14.25" customHeight="1">
      <c r="A265" s="143"/>
      <c r="B265" s="144"/>
      <c r="E265" s="145"/>
      <c r="F265" s="146"/>
      <c r="N265" s="154"/>
    </row>
    <row r="266" spans="1:14" ht="14.25" customHeight="1">
      <c r="A266" s="143"/>
      <c r="B266" s="144"/>
      <c r="E266" s="145"/>
      <c r="F266" s="146"/>
      <c r="N266" s="154"/>
    </row>
    <row r="267" spans="1:14" ht="14.25" customHeight="1">
      <c r="A267" s="143"/>
      <c r="B267" s="144"/>
      <c r="E267" s="145"/>
      <c r="F267" s="146"/>
      <c r="N267" s="154"/>
    </row>
    <row r="268" spans="1:14" ht="14.25" customHeight="1">
      <c r="A268" s="143"/>
      <c r="B268" s="144"/>
      <c r="E268" s="145"/>
      <c r="F268" s="146"/>
      <c r="N268" s="154"/>
    </row>
    <row r="269" spans="1:14" ht="14.25" customHeight="1">
      <c r="A269" s="143"/>
      <c r="B269" s="144"/>
      <c r="E269" s="145"/>
      <c r="F269" s="146"/>
      <c r="N269" s="154"/>
    </row>
    <row r="270" spans="1:14" ht="14.25" customHeight="1">
      <c r="A270" s="143"/>
      <c r="B270" s="144"/>
      <c r="E270" s="145"/>
      <c r="F270" s="146"/>
      <c r="N270" s="154"/>
    </row>
    <row r="271" spans="1:14" ht="14.25" customHeight="1">
      <c r="A271" s="143"/>
      <c r="B271" s="144"/>
      <c r="E271" s="145"/>
      <c r="F271" s="146"/>
      <c r="N271" s="154"/>
    </row>
    <row r="272" spans="1:14" ht="14.25" customHeight="1">
      <c r="A272" s="143"/>
      <c r="B272" s="144"/>
      <c r="E272" s="145"/>
      <c r="F272" s="146"/>
      <c r="N272" s="154"/>
    </row>
    <row r="273" spans="1:14" ht="14.25" customHeight="1">
      <c r="A273" s="143"/>
      <c r="B273" s="144"/>
      <c r="E273" s="145"/>
      <c r="F273" s="146"/>
      <c r="N273" s="154"/>
    </row>
    <row r="274" spans="1:14" ht="14.25" customHeight="1">
      <c r="A274" s="143"/>
      <c r="B274" s="144"/>
      <c r="E274" s="145"/>
      <c r="F274" s="146"/>
      <c r="N274" s="154"/>
    </row>
    <row r="275" spans="1:14" ht="14.25" customHeight="1">
      <c r="A275" s="143"/>
      <c r="B275" s="144"/>
      <c r="E275" s="145"/>
      <c r="F275" s="146"/>
      <c r="N275" s="154"/>
    </row>
    <row r="276" spans="1:14" ht="14.25" customHeight="1">
      <c r="A276" s="143"/>
      <c r="B276" s="144"/>
      <c r="E276" s="145"/>
      <c r="F276" s="146"/>
      <c r="N276" s="154"/>
    </row>
    <row r="277" spans="1:14" ht="14.25" customHeight="1">
      <c r="A277" s="143"/>
      <c r="B277" s="144"/>
      <c r="E277" s="145"/>
      <c r="F277" s="146"/>
      <c r="N277" s="154"/>
    </row>
    <row r="278" spans="1:14" ht="14.25" customHeight="1">
      <c r="A278" s="143"/>
      <c r="B278" s="144"/>
      <c r="E278" s="145"/>
      <c r="F278" s="146"/>
      <c r="N278" s="154"/>
    </row>
    <row r="279" spans="1:14" ht="14.25" customHeight="1">
      <c r="A279" s="143"/>
      <c r="B279" s="144"/>
      <c r="E279" s="145"/>
      <c r="F279" s="146"/>
      <c r="N279" s="154"/>
    </row>
    <row r="280" spans="1:14" ht="14.25" customHeight="1">
      <c r="A280" s="143"/>
      <c r="B280" s="144"/>
      <c r="E280" s="145"/>
      <c r="F280" s="146"/>
      <c r="N280" s="154"/>
    </row>
    <row r="281" spans="1:14" ht="14.25" customHeight="1">
      <c r="A281" s="143"/>
      <c r="B281" s="144"/>
      <c r="E281" s="145"/>
      <c r="F281" s="146"/>
      <c r="N281" s="154"/>
    </row>
    <row r="282" spans="1:14" ht="14.25" customHeight="1">
      <c r="A282" s="143"/>
      <c r="B282" s="144"/>
      <c r="E282" s="145"/>
      <c r="F282" s="146"/>
      <c r="N282" s="154"/>
    </row>
    <row r="283" spans="1:14" ht="14.25" customHeight="1">
      <c r="A283" s="143"/>
      <c r="B283" s="144"/>
      <c r="E283" s="145"/>
      <c r="F283" s="146"/>
      <c r="N283" s="154"/>
    </row>
    <row r="284" spans="1:14" ht="14.25" customHeight="1">
      <c r="A284" s="143"/>
      <c r="B284" s="144"/>
      <c r="E284" s="145"/>
      <c r="F284" s="146"/>
      <c r="N284" s="154"/>
    </row>
    <row r="285" spans="1:14" ht="14.25" customHeight="1">
      <c r="A285" s="143"/>
      <c r="B285" s="144"/>
      <c r="E285" s="145"/>
      <c r="F285" s="146"/>
      <c r="N285" s="154"/>
    </row>
    <row r="286" spans="1:14" ht="14.25" customHeight="1">
      <c r="A286" s="143"/>
      <c r="B286" s="144"/>
      <c r="E286" s="145"/>
      <c r="F286" s="146"/>
      <c r="N286" s="154"/>
    </row>
    <row r="287" spans="1:14" ht="14.25" customHeight="1">
      <c r="A287" s="143"/>
      <c r="B287" s="144"/>
      <c r="E287" s="145"/>
      <c r="F287" s="146"/>
      <c r="N287" s="154"/>
    </row>
    <row r="288" spans="1:14" ht="14.25" customHeight="1">
      <c r="A288" s="143"/>
      <c r="B288" s="144"/>
      <c r="E288" s="145"/>
      <c r="F288" s="146"/>
      <c r="N288" s="154"/>
    </row>
    <row r="289" spans="1:14" ht="14.25" customHeight="1">
      <c r="A289" s="143"/>
      <c r="B289" s="144"/>
      <c r="E289" s="145"/>
      <c r="F289" s="146"/>
      <c r="N289" s="154"/>
    </row>
    <row r="290" spans="1:14" ht="14.25" customHeight="1">
      <c r="A290" s="143"/>
      <c r="B290" s="144"/>
      <c r="E290" s="145"/>
      <c r="F290" s="146"/>
      <c r="N290" s="154"/>
    </row>
    <row r="291" spans="1:14" ht="14.25" customHeight="1">
      <c r="A291" s="143"/>
      <c r="B291" s="144"/>
      <c r="E291" s="145"/>
      <c r="F291" s="146"/>
      <c r="N291" s="154"/>
    </row>
    <row r="292" spans="1:14" ht="14.25" customHeight="1">
      <c r="A292" s="143"/>
      <c r="B292" s="144"/>
      <c r="E292" s="145"/>
      <c r="F292" s="146"/>
      <c r="N292" s="154"/>
    </row>
    <row r="293" spans="1:14" ht="14.25" customHeight="1">
      <c r="A293" s="143"/>
      <c r="B293" s="144"/>
      <c r="E293" s="145"/>
      <c r="F293" s="146"/>
      <c r="N293" s="154"/>
    </row>
    <row r="294" spans="1:14" ht="14.25" customHeight="1">
      <c r="A294" s="143"/>
      <c r="B294" s="144"/>
      <c r="E294" s="145"/>
      <c r="F294" s="146"/>
      <c r="N294" s="154"/>
    </row>
    <row r="295" spans="1:14" ht="14.25" customHeight="1">
      <c r="A295" s="143"/>
      <c r="B295" s="144"/>
      <c r="E295" s="145"/>
      <c r="F295" s="146"/>
      <c r="N295" s="154"/>
    </row>
    <row r="296" spans="1:14" ht="14.25" customHeight="1">
      <c r="A296" s="143"/>
      <c r="B296" s="144"/>
      <c r="E296" s="145"/>
      <c r="F296" s="146"/>
      <c r="N296" s="154"/>
    </row>
    <row r="297" spans="1:14" ht="14.25" customHeight="1">
      <c r="A297" s="143"/>
      <c r="B297" s="144"/>
      <c r="E297" s="145"/>
      <c r="F297" s="146"/>
      <c r="N297" s="154"/>
    </row>
    <row r="298" spans="1:14" ht="14.25" customHeight="1">
      <c r="A298" s="143"/>
      <c r="B298" s="144"/>
      <c r="E298" s="145"/>
      <c r="F298" s="146"/>
      <c r="N298" s="154"/>
    </row>
    <row r="299" spans="1:14" ht="14.25" customHeight="1">
      <c r="A299" s="143"/>
      <c r="B299" s="144"/>
      <c r="E299" s="145"/>
      <c r="F299" s="146"/>
      <c r="N299" s="154"/>
    </row>
    <row r="300" spans="1:14" ht="14.25" customHeight="1">
      <c r="A300" s="143"/>
      <c r="B300" s="144"/>
      <c r="E300" s="145"/>
      <c r="F300" s="146"/>
      <c r="N300" s="154"/>
    </row>
    <row r="301" spans="1:14" ht="14.25" customHeight="1">
      <c r="A301" s="143"/>
      <c r="B301" s="144"/>
      <c r="E301" s="145"/>
      <c r="F301" s="146"/>
      <c r="N301" s="154"/>
    </row>
    <row r="302" spans="1:14" ht="14.25" customHeight="1">
      <c r="A302" s="143"/>
      <c r="B302" s="144"/>
      <c r="E302" s="145"/>
      <c r="F302" s="146"/>
      <c r="N302" s="154"/>
    </row>
    <row r="303" spans="1:14" ht="14.25" customHeight="1">
      <c r="A303" s="143"/>
      <c r="B303" s="144"/>
      <c r="E303" s="145"/>
      <c r="F303" s="146"/>
      <c r="N303" s="154"/>
    </row>
    <row r="304" spans="1:14" ht="14.25" customHeight="1">
      <c r="A304" s="143"/>
      <c r="B304" s="144"/>
      <c r="E304" s="145"/>
      <c r="F304" s="146"/>
      <c r="N304" s="154"/>
    </row>
    <row r="305" spans="1:14" ht="14.25" customHeight="1">
      <c r="A305" s="143"/>
      <c r="B305" s="144"/>
      <c r="E305" s="145"/>
      <c r="F305" s="146"/>
      <c r="N305" s="154"/>
    </row>
    <row r="306" spans="1:14" ht="14.25" customHeight="1">
      <c r="A306" s="143"/>
      <c r="B306" s="144"/>
      <c r="E306" s="145"/>
      <c r="F306" s="146"/>
      <c r="N306" s="154"/>
    </row>
    <row r="307" spans="1:14" ht="14.25" customHeight="1">
      <c r="A307" s="143"/>
      <c r="B307" s="144"/>
      <c r="E307" s="145"/>
      <c r="F307" s="146"/>
      <c r="N307" s="154"/>
    </row>
    <row r="308" spans="1:14" ht="14.25" customHeight="1">
      <c r="A308" s="143"/>
      <c r="B308" s="144"/>
      <c r="E308" s="145"/>
      <c r="F308" s="146"/>
      <c r="N308" s="154"/>
    </row>
    <row r="309" spans="1:14" ht="14.25" customHeight="1">
      <c r="A309" s="143"/>
      <c r="B309" s="144"/>
      <c r="E309" s="145"/>
      <c r="F309" s="146"/>
      <c r="N309" s="154"/>
    </row>
    <row r="310" spans="1:14" ht="14.25" customHeight="1">
      <c r="A310" s="143"/>
      <c r="B310" s="144"/>
      <c r="E310" s="145"/>
      <c r="F310" s="146"/>
      <c r="N310" s="154"/>
    </row>
    <row r="311" spans="1:14" ht="14.25" customHeight="1">
      <c r="A311" s="143"/>
      <c r="B311" s="144"/>
      <c r="E311" s="145"/>
      <c r="F311" s="146"/>
      <c r="N311" s="154"/>
    </row>
    <row r="312" spans="1:14" ht="14.25" customHeight="1">
      <c r="A312" s="143"/>
      <c r="B312" s="144"/>
      <c r="E312" s="145"/>
      <c r="F312" s="146"/>
      <c r="N312" s="154"/>
    </row>
    <row r="313" spans="1:14" ht="14.25" customHeight="1">
      <c r="A313" s="143"/>
      <c r="B313" s="144"/>
      <c r="E313" s="145"/>
      <c r="F313" s="146"/>
      <c r="N313" s="154"/>
    </row>
    <row r="314" spans="1:14" ht="14.25" customHeight="1">
      <c r="A314" s="143"/>
      <c r="B314" s="144"/>
      <c r="E314" s="145"/>
      <c r="F314" s="146"/>
      <c r="N314" s="154"/>
    </row>
    <row r="315" spans="1:14" ht="14.25" customHeight="1">
      <c r="A315" s="143"/>
      <c r="B315" s="144"/>
      <c r="E315" s="145"/>
      <c r="F315" s="146"/>
      <c r="N315" s="154"/>
    </row>
    <row r="316" spans="1:14" ht="14.25" customHeight="1">
      <c r="A316" s="143"/>
      <c r="B316" s="144"/>
      <c r="E316" s="145"/>
      <c r="F316" s="146"/>
      <c r="N316" s="154"/>
    </row>
    <row r="317" spans="1:14" ht="14.25" customHeight="1">
      <c r="A317" s="143"/>
      <c r="B317" s="144"/>
      <c r="E317" s="145"/>
      <c r="F317" s="146"/>
      <c r="N317" s="154"/>
    </row>
    <row r="318" spans="1:14" ht="14.25" customHeight="1">
      <c r="A318" s="143"/>
      <c r="B318" s="144"/>
      <c r="E318" s="145"/>
      <c r="F318" s="146"/>
      <c r="N318" s="154"/>
    </row>
    <row r="319" spans="1:14" ht="14.25" customHeight="1">
      <c r="A319" s="143"/>
      <c r="B319" s="144"/>
      <c r="E319" s="145"/>
      <c r="F319" s="146"/>
      <c r="N319" s="154"/>
    </row>
    <row r="320" spans="1:14" ht="14.25" customHeight="1">
      <c r="A320" s="143"/>
      <c r="B320" s="144"/>
      <c r="E320" s="145"/>
      <c r="F320" s="146"/>
      <c r="N320" s="154"/>
    </row>
    <row r="321" spans="1:14" ht="14.25" customHeight="1">
      <c r="A321" s="143"/>
      <c r="B321" s="144"/>
      <c r="E321" s="145"/>
      <c r="F321" s="146"/>
      <c r="N321" s="154"/>
    </row>
    <row r="322" spans="1:14" ht="14.25" customHeight="1">
      <c r="A322" s="143"/>
      <c r="B322" s="144"/>
      <c r="E322" s="145"/>
      <c r="F322" s="146"/>
      <c r="N322" s="154"/>
    </row>
    <row r="323" spans="1:14" ht="14.25" customHeight="1">
      <c r="A323" s="143"/>
      <c r="B323" s="144"/>
      <c r="E323" s="145"/>
      <c r="F323" s="146"/>
      <c r="N323" s="154"/>
    </row>
    <row r="324" spans="1:14" ht="14.25" customHeight="1">
      <c r="A324" s="143"/>
      <c r="B324" s="144"/>
      <c r="E324" s="145"/>
      <c r="F324" s="146"/>
      <c r="N324" s="154"/>
    </row>
    <row r="325" spans="1:14" ht="14.25" customHeight="1">
      <c r="A325" s="143"/>
      <c r="B325" s="144"/>
      <c r="E325" s="145"/>
      <c r="F325" s="146"/>
      <c r="N325" s="154"/>
    </row>
    <row r="326" spans="1:14" ht="14.25" customHeight="1">
      <c r="A326" s="143"/>
      <c r="B326" s="144"/>
      <c r="E326" s="145"/>
      <c r="F326" s="146"/>
      <c r="N326" s="154"/>
    </row>
    <row r="327" spans="1:14" ht="14.25" customHeight="1">
      <c r="A327" s="143"/>
      <c r="B327" s="144"/>
      <c r="E327" s="145"/>
      <c r="F327" s="146"/>
      <c r="N327" s="154"/>
    </row>
    <row r="328" spans="1:14" ht="14.25" customHeight="1">
      <c r="A328" s="143"/>
      <c r="B328" s="144"/>
      <c r="E328" s="145"/>
      <c r="F328" s="146"/>
      <c r="N328" s="154"/>
    </row>
    <row r="329" spans="1:14" ht="14.25" customHeight="1">
      <c r="A329" s="143"/>
      <c r="B329" s="144"/>
      <c r="E329" s="145"/>
      <c r="F329" s="146"/>
      <c r="N329" s="154"/>
    </row>
    <row r="330" spans="1:14" ht="14.25" customHeight="1">
      <c r="A330" s="143"/>
      <c r="B330" s="144"/>
      <c r="E330" s="145"/>
      <c r="F330" s="146"/>
      <c r="N330" s="154"/>
    </row>
    <row r="331" spans="1:14" ht="14.25" customHeight="1">
      <c r="A331" s="143"/>
      <c r="B331" s="144"/>
      <c r="E331" s="145"/>
      <c r="F331" s="146"/>
      <c r="N331" s="154"/>
    </row>
    <row r="332" spans="1:14" ht="14.25" customHeight="1">
      <c r="A332" s="143"/>
      <c r="B332" s="144"/>
      <c r="E332" s="145"/>
      <c r="F332" s="146"/>
      <c r="N332" s="154"/>
    </row>
    <row r="333" spans="1:14" ht="14.25" customHeight="1">
      <c r="A333" s="143"/>
      <c r="B333" s="144"/>
      <c r="E333" s="145"/>
      <c r="F333" s="146"/>
      <c r="N333" s="154"/>
    </row>
    <row r="334" spans="1:14" ht="14.25" customHeight="1">
      <c r="A334" s="143"/>
      <c r="B334" s="144"/>
      <c r="E334" s="145"/>
      <c r="F334" s="146"/>
      <c r="N334" s="154"/>
    </row>
    <row r="335" spans="1:14" ht="14.25" customHeight="1">
      <c r="A335" s="143"/>
      <c r="B335" s="144"/>
      <c r="E335" s="145"/>
      <c r="F335" s="146"/>
      <c r="N335" s="154"/>
    </row>
    <row r="336" spans="1:14" ht="14.25" customHeight="1">
      <c r="A336" s="143"/>
      <c r="B336" s="144"/>
      <c r="E336" s="145"/>
      <c r="F336" s="146"/>
      <c r="N336" s="154"/>
    </row>
    <row r="337" spans="1:14" ht="14.25" customHeight="1">
      <c r="A337" s="143"/>
      <c r="B337" s="144"/>
      <c r="E337" s="145"/>
      <c r="F337" s="146"/>
      <c r="N337" s="154"/>
    </row>
    <row r="338" spans="1:14" ht="14.25" customHeight="1">
      <c r="A338" s="143"/>
      <c r="B338" s="144"/>
      <c r="E338" s="145"/>
      <c r="F338" s="146"/>
      <c r="N338" s="154"/>
    </row>
    <row r="339" spans="1:14" ht="14.25" customHeight="1">
      <c r="A339" s="143"/>
      <c r="B339" s="144"/>
      <c r="E339" s="145"/>
      <c r="F339" s="146"/>
      <c r="N339" s="154"/>
    </row>
    <row r="340" spans="1:14" ht="14.25" customHeight="1">
      <c r="A340" s="143"/>
      <c r="B340" s="144"/>
      <c r="E340" s="145"/>
      <c r="F340" s="146"/>
      <c r="N340" s="154"/>
    </row>
    <row r="341" spans="1:14" ht="14.25" customHeight="1">
      <c r="A341" s="143"/>
      <c r="B341" s="144"/>
      <c r="E341" s="145"/>
      <c r="F341" s="146"/>
      <c r="N341" s="154"/>
    </row>
    <row r="342" spans="1:14" ht="14.25" customHeight="1">
      <c r="A342" s="143"/>
      <c r="B342" s="144"/>
      <c r="E342" s="145"/>
      <c r="F342" s="146"/>
      <c r="N342" s="154"/>
    </row>
    <row r="343" spans="1:14" ht="14.25" customHeight="1">
      <c r="A343" s="143"/>
      <c r="B343" s="144"/>
      <c r="E343" s="145"/>
      <c r="F343" s="146"/>
      <c r="N343" s="154"/>
    </row>
    <row r="344" spans="1:14" ht="14.25" customHeight="1">
      <c r="A344" s="143"/>
      <c r="B344" s="144"/>
      <c r="E344" s="145"/>
      <c r="F344" s="146"/>
      <c r="N344" s="154"/>
    </row>
    <row r="345" spans="1:14" ht="14.25" customHeight="1">
      <c r="A345" s="143"/>
      <c r="B345" s="144"/>
      <c r="E345" s="145"/>
      <c r="F345" s="146"/>
      <c r="N345" s="154"/>
    </row>
    <row r="346" spans="1:14" ht="14.25" customHeight="1">
      <c r="A346" s="143"/>
      <c r="B346" s="144"/>
      <c r="E346" s="145"/>
      <c r="F346" s="146"/>
      <c r="N346" s="154"/>
    </row>
    <row r="347" spans="1:14" ht="14.25" customHeight="1">
      <c r="A347" s="143"/>
      <c r="B347" s="144"/>
      <c r="E347" s="145"/>
      <c r="F347" s="146"/>
      <c r="N347" s="154"/>
    </row>
    <row r="348" spans="1:14" ht="14.25" customHeight="1">
      <c r="A348" s="143"/>
      <c r="B348" s="144"/>
      <c r="E348" s="145"/>
      <c r="F348" s="146"/>
      <c r="N348" s="154"/>
    </row>
    <row r="349" spans="1:14" ht="14.25" customHeight="1">
      <c r="A349" s="143"/>
      <c r="B349" s="144"/>
      <c r="E349" s="145"/>
      <c r="F349" s="146"/>
      <c r="N349" s="154"/>
    </row>
    <row r="350" spans="1:14" ht="14.25" customHeight="1">
      <c r="A350" s="143"/>
      <c r="B350" s="144"/>
      <c r="E350" s="145"/>
      <c r="F350" s="146"/>
      <c r="N350" s="154"/>
    </row>
    <row r="351" spans="1:14" ht="14.25" customHeight="1">
      <c r="A351" s="143"/>
      <c r="B351" s="144"/>
      <c r="E351" s="145"/>
      <c r="F351" s="146"/>
      <c r="N351" s="154"/>
    </row>
    <row r="352" spans="1:14" ht="14.25" customHeight="1">
      <c r="A352" s="143"/>
      <c r="B352" s="144"/>
      <c r="E352" s="145"/>
      <c r="F352" s="146"/>
      <c r="N352" s="154"/>
    </row>
    <row r="353" spans="1:14" ht="14.25" customHeight="1">
      <c r="A353" s="143"/>
      <c r="B353" s="144"/>
      <c r="E353" s="145"/>
      <c r="F353" s="146"/>
      <c r="N353" s="154"/>
    </row>
    <row r="354" spans="1:14" ht="14.25" customHeight="1">
      <c r="A354" s="143"/>
      <c r="B354" s="144"/>
      <c r="E354" s="145"/>
      <c r="F354" s="146"/>
      <c r="N354" s="154"/>
    </row>
    <row r="355" spans="1:14" ht="14.25" customHeight="1">
      <c r="A355" s="143"/>
      <c r="B355" s="144"/>
      <c r="E355" s="145"/>
      <c r="F355" s="146"/>
      <c r="N355" s="154"/>
    </row>
    <row r="356" spans="1:14" ht="14.25" customHeight="1">
      <c r="A356" s="143"/>
      <c r="B356" s="144"/>
      <c r="E356" s="145"/>
      <c r="F356" s="146"/>
      <c r="N356" s="154"/>
    </row>
    <row r="357" spans="1:14" ht="14.25" customHeight="1">
      <c r="A357" s="143"/>
      <c r="B357" s="144"/>
      <c r="E357" s="145"/>
      <c r="F357" s="146"/>
      <c r="N357" s="154"/>
    </row>
    <row r="358" spans="1:14" ht="14.25" customHeight="1">
      <c r="A358" s="143"/>
      <c r="B358" s="144"/>
      <c r="E358" s="145"/>
      <c r="F358" s="146"/>
      <c r="N358" s="154"/>
    </row>
    <row r="359" spans="1:14" ht="14.25" customHeight="1">
      <c r="A359" s="143"/>
      <c r="B359" s="144"/>
      <c r="E359" s="145"/>
      <c r="F359" s="146"/>
      <c r="N359" s="154"/>
    </row>
    <row r="360" spans="1:14" ht="14.25" customHeight="1">
      <c r="A360" s="143"/>
      <c r="B360" s="144"/>
      <c r="E360" s="145"/>
      <c r="F360" s="146"/>
      <c r="N360" s="154"/>
    </row>
    <row r="361" spans="1:14" ht="14.25" customHeight="1">
      <c r="A361" s="143"/>
      <c r="B361" s="144"/>
      <c r="E361" s="145"/>
      <c r="F361" s="146"/>
      <c r="N361" s="154"/>
    </row>
    <row r="362" spans="1:14" ht="14.25" customHeight="1">
      <c r="A362" s="143"/>
      <c r="B362" s="144"/>
      <c r="E362" s="145"/>
      <c r="F362" s="146"/>
      <c r="N362" s="154"/>
    </row>
    <row r="363" spans="1:14" ht="14.25" customHeight="1">
      <c r="A363" s="143"/>
      <c r="B363" s="144"/>
      <c r="E363" s="145"/>
      <c r="F363" s="146"/>
      <c r="N363" s="154"/>
    </row>
    <row r="364" spans="1:14" ht="14.25" customHeight="1">
      <c r="A364" s="143"/>
      <c r="B364" s="144"/>
      <c r="E364" s="145"/>
      <c r="F364" s="146"/>
      <c r="N364" s="154"/>
    </row>
    <row r="365" spans="1:14" ht="14.25" customHeight="1">
      <c r="A365" s="143"/>
      <c r="B365" s="144"/>
      <c r="E365" s="145"/>
      <c r="F365" s="146"/>
      <c r="N365" s="154"/>
    </row>
    <row r="366" spans="1:14" ht="14.25" customHeight="1">
      <c r="A366" s="143"/>
      <c r="B366" s="144"/>
      <c r="E366" s="145"/>
      <c r="F366" s="146"/>
      <c r="N366" s="154"/>
    </row>
    <row r="367" spans="1:14" ht="14.25" customHeight="1">
      <c r="A367" s="143"/>
      <c r="B367" s="144"/>
      <c r="E367" s="145"/>
      <c r="F367" s="146"/>
      <c r="N367" s="154"/>
    </row>
    <row r="368" spans="1:14" ht="14.25" customHeight="1">
      <c r="A368" s="143"/>
      <c r="B368" s="144"/>
      <c r="E368" s="145"/>
      <c r="F368" s="146"/>
      <c r="N368" s="154"/>
    </row>
    <row r="369" spans="1:14" ht="14.25" customHeight="1">
      <c r="A369" s="143"/>
      <c r="B369" s="144"/>
      <c r="E369" s="145"/>
      <c r="F369" s="146"/>
      <c r="N369" s="154"/>
    </row>
    <row r="370" spans="1:14" ht="14.25" customHeight="1">
      <c r="A370" s="143"/>
      <c r="B370" s="144"/>
      <c r="E370" s="145"/>
      <c r="F370" s="146"/>
      <c r="N370" s="154"/>
    </row>
    <row r="371" spans="1:14" ht="14.25" customHeight="1">
      <c r="A371" s="143"/>
      <c r="B371" s="144"/>
      <c r="E371" s="145"/>
      <c r="F371" s="146"/>
      <c r="N371" s="154"/>
    </row>
    <row r="372" spans="1:14" ht="14.25" customHeight="1">
      <c r="A372" s="143"/>
      <c r="B372" s="144"/>
      <c r="E372" s="145"/>
      <c r="F372" s="146"/>
      <c r="N372" s="154"/>
    </row>
    <row r="373" spans="1:14" ht="14.25" customHeight="1">
      <c r="A373" s="143"/>
      <c r="B373" s="144"/>
      <c r="E373" s="145"/>
      <c r="F373" s="146"/>
      <c r="N373" s="154"/>
    </row>
    <row r="374" spans="1:14" ht="14.25" customHeight="1">
      <c r="A374" s="143"/>
      <c r="B374" s="144"/>
      <c r="E374" s="145"/>
      <c r="F374" s="146"/>
      <c r="N374" s="154"/>
    </row>
    <row r="375" spans="1:14" ht="14.25" customHeight="1">
      <c r="A375" s="143"/>
      <c r="B375" s="144"/>
      <c r="E375" s="145"/>
      <c r="F375" s="146"/>
      <c r="N375" s="154"/>
    </row>
    <row r="376" spans="1:14" ht="14.25" customHeight="1">
      <c r="A376" s="143"/>
      <c r="B376" s="144"/>
      <c r="E376" s="145"/>
      <c r="F376" s="146"/>
      <c r="N376" s="154"/>
    </row>
    <row r="377" spans="1:14" ht="14.25" customHeight="1">
      <c r="A377" s="143"/>
      <c r="B377" s="144"/>
      <c r="E377" s="145"/>
      <c r="F377" s="146"/>
      <c r="N377" s="154"/>
    </row>
    <row r="378" spans="1:14" ht="14.25" customHeight="1">
      <c r="A378" s="143"/>
      <c r="B378" s="144"/>
      <c r="E378" s="145"/>
      <c r="F378" s="146"/>
      <c r="N378" s="154"/>
    </row>
    <row r="379" spans="1:14" ht="14.25" customHeight="1">
      <c r="A379" s="143"/>
      <c r="B379" s="144"/>
      <c r="E379" s="145"/>
      <c r="F379" s="146"/>
      <c r="N379" s="154"/>
    </row>
    <row r="380" spans="1:14" ht="14.25" customHeight="1">
      <c r="A380" s="143"/>
      <c r="B380" s="144"/>
      <c r="E380" s="145"/>
      <c r="F380" s="146"/>
      <c r="N380" s="154"/>
    </row>
    <row r="381" spans="1:14" ht="14.25" customHeight="1">
      <c r="A381" s="143"/>
      <c r="B381" s="144"/>
      <c r="E381" s="145"/>
      <c r="F381" s="146"/>
      <c r="N381" s="154"/>
    </row>
    <row r="382" spans="1:14" ht="14.25" customHeight="1">
      <c r="A382" s="143"/>
      <c r="B382" s="144"/>
      <c r="E382" s="145"/>
      <c r="F382" s="146"/>
      <c r="N382" s="154"/>
    </row>
    <row r="383" spans="1:14" ht="14.25" customHeight="1">
      <c r="A383" s="143"/>
      <c r="B383" s="144"/>
      <c r="E383" s="145"/>
      <c r="F383" s="146"/>
      <c r="N383" s="154"/>
    </row>
    <row r="384" spans="1:14" ht="14.25" customHeight="1">
      <c r="A384" s="143"/>
      <c r="B384" s="144"/>
      <c r="E384" s="145"/>
      <c r="F384" s="146"/>
      <c r="N384" s="154"/>
    </row>
    <row r="385" spans="1:14" ht="14.25" customHeight="1">
      <c r="A385" s="143"/>
      <c r="B385" s="144"/>
      <c r="E385" s="145"/>
      <c r="F385" s="146"/>
      <c r="N385" s="154"/>
    </row>
    <row r="386" spans="1:14" ht="14.25" customHeight="1">
      <c r="A386" s="143"/>
      <c r="B386" s="144"/>
      <c r="E386" s="145"/>
      <c r="F386" s="146"/>
      <c r="N386" s="154"/>
    </row>
    <row r="387" spans="1:14" ht="14.25" customHeight="1">
      <c r="A387" s="143"/>
      <c r="B387" s="144"/>
      <c r="E387" s="145"/>
      <c r="F387" s="146"/>
      <c r="N387" s="154"/>
    </row>
    <row r="388" spans="1:14" ht="14.25" customHeight="1">
      <c r="A388" s="143"/>
      <c r="B388" s="144"/>
      <c r="E388" s="145"/>
      <c r="F388" s="146"/>
      <c r="N388" s="154"/>
    </row>
    <row r="389" spans="1:14" ht="14.25" customHeight="1">
      <c r="A389" s="143"/>
      <c r="B389" s="144"/>
      <c r="E389" s="145"/>
      <c r="F389" s="146"/>
      <c r="N389" s="154"/>
    </row>
    <row r="390" spans="1:14" ht="14.25" customHeight="1">
      <c r="A390" s="143"/>
      <c r="B390" s="144"/>
      <c r="E390" s="145"/>
      <c r="F390" s="146"/>
      <c r="N390" s="154"/>
    </row>
    <row r="391" spans="1:14" ht="14.25" customHeight="1">
      <c r="A391" s="143"/>
      <c r="B391" s="144"/>
      <c r="E391" s="145"/>
      <c r="F391" s="146"/>
      <c r="N391" s="154"/>
    </row>
    <row r="392" spans="1:14" ht="14.25" customHeight="1">
      <c r="A392" s="143"/>
      <c r="B392" s="144"/>
      <c r="E392" s="145"/>
      <c r="F392" s="146"/>
      <c r="N392" s="154"/>
    </row>
    <row r="393" spans="1:14" ht="14.25" customHeight="1">
      <c r="A393" s="143"/>
      <c r="B393" s="144"/>
      <c r="E393" s="145"/>
      <c r="F393" s="146"/>
      <c r="N393" s="154"/>
    </row>
    <row r="394" spans="1:14" ht="14.25" customHeight="1">
      <c r="A394" s="143"/>
      <c r="B394" s="144"/>
      <c r="E394" s="145"/>
      <c r="F394" s="146"/>
      <c r="N394" s="154"/>
    </row>
    <row r="395" spans="1:14" ht="14.25" customHeight="1">
      <c r="A395" s="143"/>
      <c r="B395" s="144"/>
      <c r="E395" s="145"/>
      <c r="F395" s="146"/>
      <c r="N395" s="154"/>
    </row>
    <row r="396" spans="1:14" ht="14.25" customHeight="1">
      <c r="A396" s="143"/>
      <c r="B396" s="144"/>
      <c r="E396" s="145"/>
      <c r="F396" s="146"/>
      <c r="N396" s="154"/>
    </row>
    <row r="397" spans="1:14" ht="14.25" customHeight="1">
      <c r="A397" s="143"/>
      <c r="B397" s="144"/>
      <c r="E397" s="145"/>
      <c r="F397" s="146"/>
      <c r="N397" s="154"/>
    </row>
    <row r="398" spans="1:14" ht="14.25" customHeight="1">
      <c r="A398" s="143"/>
      <c r="B398" s="144"/>
      <c r="E398" s="145"/>
      <c r="F398" s="146"/>
      <c r="N398" s="154"/>
    </row>
    <row r="399" spans="1:14" ht="14.25" customHeight="1">
      <c r="A399" s="143"/>
      <c r="B399" s="144"/>
      <c r="E399" s="145"/>
      <c r="F399" s="146"/>
      <c r="N399" s="154"/>
    </row>
    <row r="400" spans="1:14" ht="14.25" customHeight="1">
      <c r="A400" s="143"/>
      <c r="B400" s="144"/>
      <c r="E400" s="145"/>
      <c r="F400" s="146"/>
      <c r="N400" s="154"/>
    </row>
    <row r="401" spans="1:14" ht="14.25" customHeight="1">
      <c r="A401" s="143"/>
      <c r="B401" s="144"/>
      <c r="E401" s="145"/>
      <c r="F401" s="146"/>
      <c r="N401" s="154"/>
    </row>
    <row r="402" spans="1:14" ht="14.25" customHeight="1">
      <c r="A402" s="143"/>
      <c r="B402" s="144"/>
      <c r="E402" s="145"/>
      <c r="F402" s="146"/>
      <c r="N402" s="154"/>
    </row>
    <row r="403" spans="1:14" ht="14.25" customHeight="1">
      <c r="A403" s="143"/>
      <c r="B403" s="144"/>
      <c r="E403" s="145"/>
      <c r="F403" s="146"/>
      <c r="N403" s="154"/>
    </row>
    <row r="404" spans="1:14" ht="14.25" customHeight="1">
      <c r="A404" s="143"/>
      <c r="B404" s="144"/>
      <c r="E404" s="145"/>
      <c r="F404" s="146"/>
      <c r="N404" s="154"/>
    </row>
    <row r="405" spans="1:14" ht="14.25" customHeight="1">
      <c r="A405" s="143"/>
      <c r="B405" s="144"/>
      <c r="E405" s="145"/>
      <c r="F405" s="146"/>
      <c r="N405" s="154"/>
    </row>
    <row r="406" spans="1:14" ht="14.25" customHeight="1">
      <c r="A406" s="143"/>
      <c r="B406" s="144"/>
      <c r="E406" s="145"/>
      <c r="F406" s="146"/>
      <c r="N406" s="154"/>
    </row>
    <row r="407" spans="1:14" ht="14.25" customHeight="1">
      <c r="A407" s="143"/>
      <c r="B407" s="144"/>
      <c r="E407" s="145"/>
      <c r="F407" s="146"/>
      <c r="N407" s="154"/>
    </row>
    <row r="408" spans="1:14" ht="14.25" customHeight="1">
      <c r="A408" s="143"/>
      <c r="B408" s="144"/>
      <c r="E408" s="145"/>
      <c r="F408" s="146"/>
      <c r="N408" s="154"/>
    </row>
    <row r="409" spans="1:14" ht="14.25" customHeight="1">
      <c r="A409" s="143"/>
      <c r="B409" s="144"/>
      <c r="E409" s="145"/>
      <c r="F409" s="146"/>
      <c r="N409" s="154"/>
    </row>
    <row r="410" spans="1:14" ht="14.25" customHeight="1">
      <c r="A410" s="143"/>
      <c r="B410" s="144"/>
      <c r="E410" s="145"/>
      <c r="F410" s="146"/>
      <c r="N410" s="154"/>
    </row>
    <row r="411" spans="1:14" ht="14.25" customHeight="1">
      <c r="A411" s="143"/>
      <c r="B411" s="144"/>
      <c r="E411" s="145"/>
      <c r="F411" s="146"/>
      <c r="N411" s="154"/>
    </row>
    <row r="412" spans="1:14" ht="14.25" customHeight="1">
      <c r="A412" s="143"/>
      <c r="B412" s="144"/>
      <c r="E412" s="145"/>
      <c r="F412" s="146"/>
      <c r="N412" s="154"/>
    </row>
    <row r="413" spans="1:14" ht="14.25" customHeight="1">
      <c r="A413" s="143"/>
      <c r="B413" s="144"/>
      <c r="E413" s="145"/>
      <c r="F413" s="146"/>
      <c r="N413" s="154"/>
    </row>
    <row r="414" spans="1:14" ht="14.25" customHeight="1">
      <c r="A414" s="143"/>
      <c r="B414" s="144"/>
      <c r="E414" s="145"/>
      <c r="F414" s="146"/>
      <c r="N414" s="154"/>
    </row>
    <row r="415" spans="1:14" ht="14.25" customHeight="1">
      <c r="A415" s="143"/>
      <c r="B415" s="144"/>
      <c r="E415" s="145"/>
      <c r="F415" s="146"/>
      <c r="N415" s="154"/>
    </row>
    <row r="416" spans="1:14" ht="14.25" customHeight="1">
      <c r="A416" s="143"/>
      <c r="B416" s="144"/>
      <c r="E416" s="145"/>
      <c r="F416" s="146"/>
      <c r="N416" s="154"/>
    </row>
    <row r="417" spans="1:14" ht="14.25" customHeight="1">
      <c r="A417" s="143"/>
      <c r="B417" s="144"/>
      <c r="E417" s="145"/>
      <c r="F417" s="146"/>
      <c r="N417" s="154"/>
    </row>
    <row r="418" spans="1:14" ht="14.25" customHeight="1">
      <c r="A418" s="143"/>
      <c r="B418" s="144"/>
      <c r="E418" s="145"/>
      <c r="F418" s="146"/>
      <c r="N418" s="154"/>
    </row>
    <row r="419" spans="1:14" ht="14.25" customHeight="1">
      <c r="A419" s="143"/>
      <c r="B419" s="144"/>
      <c r="E419" s="145"/>
      <c r="F419" s="146"/>
      <c r="N419" s="154"/>
    </row>
    <row r="420" spans="1:14" ht="14.25" customHeight="1">
      <c r="A420" s="143"/>
      <c r="B420" s="144"/>
      <c r="E420" s="145"/>
      <c r="F420" s="146"/>
      <c r="N420" s="154"/>
    </row>
    <row r="421" spans="1:14" ht="14.25" customHeight="1">
      <c r="A421" s="143"/>
      <c r="B421" s="144"/>
      <c r="E421" s="145"/>
      <c r="F421" s="146"/>
      <c r="N421" s="154"/>
    </row>
    <row r="422" spans="1:14" ht="14.25" customHeight="1">
      <c r="A422" s="143"/>
      <c r="B422" s="144"/>
      <c r="E422" s="145"/>
      <c r="F422" s="146"/>
      <c r="N422" s="154"/>
    </row>
    <row r="423" spans="1:14" ht="14.25" customHeight="1">
      <c r="A423" s="143"/>
      <c r="B423" s="144"/>
      <c r="E423" s="145"/>
      <c r="F423" s="146"/>
      <c r="N423" s="154"/>
    </row>
    <row r="424" spans="1:14" ht="14.25" customHeight="1">
      <c r="A424" s="143"/>
      <c r="B424" s="144"/>
      <c r="E424" s="145"/>
      <c r="F424" s="146"/>
      <c r="N424" s="154"/>
    </row>
    <row r="425" spans="1:14" ht="14.25" customHeight="1">
      <c r="A425" s="143"/>
      <c r="B425" s="144"/>
      <c r="E425" s="145"/>
      <c r="F425" s="146"/>
      <c r="N425" s="154"/>
    </row>
    <row r="426" spans="1:14" ht="14.25" customHeight="1">
      <c r="A426" s="143"/>
      <c r="B426" s="144"/>
      <c r="E426" s="145"/>
      <c r="F426" s="146"/>
      <c r="N426" s="154"/>
    </row>
    <row r="427" spans="1:14" ht="14.25" customHeight="1">
      <c r="A427" s="143"/>
      <c r="B427" s="144"/>
      <c r="E427" s="145"/>
      <c r="F427" s="146"/>
      <c r="N427" s="154"/>
    </row>
    <row r="428" spans="1:14" ht="14.25" customHeight="1">
      <c r="A428" s="143"/>
      <c r="B428" s="144"/>
      <c r="E428" s="145"/>
      <c r="F428" s="146"/>
      <c r="N428" s="154"/>
    </row>
    <row r="429" spans="1:14" ht="14.25" customHeight="1">
      <c r="A429" s="143"/>
      <c r="B429" s="144"/>
      <c r="E429" s="145"/>
      <c r="F429" s="146"/>
      <c r="N429" s="154"/>
    </row>
    <row r="430" spans="1:14" ht="14.25" customHeight="1">
      <c r="A430" s="143"/>
      <c r="B430" s="144"/>
      <c r="E430" s="145"/>
      <c r="F430" s="146"/>
      <c r="N430" s="154"/>
    </row>
    <row r="431" spans="1:14" ht="14.25" customHeight="1">
      <c r="A431" s="143"/>
      <c r="B431" s="144"/>
      <c r="E431" s="145"/>
      <c r="F431" s="146"/>
      <c r="N431" s="154"/>
    </row>
    <row r="432" spans="1:14" ht="14.25" customHeight="1">
      <c r="A432" s="143"/>
      <c r="B432" s="144"/>
      <c r="E432" s="145"/>
      <c r="F432" s="146"/>
      <c r="N432" s="154"/>
    </row>
    <row r="433" spans="1:14" ht="14.25" customHeight="1">
      <c r="A433" s="143"/>
      <c r="B433" s="144"/>
      <c r="E433" s="145"/>
      <c r="F433" s="146"/>
      <c r="N433" s="154"/>
    </row>
    <row r="434" spans="1:14" ht="14.25" customHeight="1">
      <c r="A434" s="143"/>
      <c r="B434" s="144"/>
      <c r="E434" s="145"/>
      <c r="F434" s="146"/>
      <c r="N434" s="154"/>
    </row>
    <row r="435" spans="1:14" ht="14.25" customHeight="1">
      <c r="A435" s="143"/>
      <c r="B435" s="144"/>
      <c r="E435" s="145"/>
      <c r="F435" s="146"/>
      <c r="N435" s="154"/>
    </row>
    <row r="436" spans="1:14" ht="14.25" customHeight="1">
      <c r="A436" s="143"/>
      <c r="B436" s="144"/>
      <c r="E436" s="145"/>
      <c r="F436" s="146"/>
      <c r="N436" s="154"/>
    </row>
    <row r="437" spans="1:14" ht="14.25" customHeight="1">
      <c r="A437" s="143"/>
      <c r="B437" s="144"/>
      <c r="E437" s="145"/>
      <c r="F437" s="146"/>
      <c r="N437" s="154"/>
    </row>
    <row r="438" spans="1:14" ht="14.25" customHeight="1">
      <c r="A438" s="143"/>
      <c r="B438" s="144"/>
      <c r="E438" s="145"/>
      <c r="F438" s="146"/>
      <c r="N438" s="154"/>
    </row>
    <row r="439" spans="1:14" ht="14.25" customHeight="1">
      <c r="A439" s="143"/>
      <c r="B439" s="144"/>
      <c r="E439" s="145"/>
      <c r="F439" s="146"/>
      <c r="N439" s="154"/>
    </row>
    <row r="440" spans="1:14" ht="14.25" customHeight="1">
      <c r="A440" s="143"/>
      <c r="B440" s="144"/>
      <c r="E440" s="145"/>
      <c r="F440" s="146"/>
      <c r="N440" s="154"/>
    </row>
    <row r="441" spans="1:14" ht="14.25" customHeight="1">
      <c r="A441" s="143"/>
      <c r="B441" s="144"/>
      <c r="E441" s="145"/>
      <c r="F441" s="146"/>
      <c r="N441" s="154"/>
    </row>
    <row r="442" spans="1:14" ht="14.25" customHeight="1">
      <c r="A442" s="143"/>
      <c r="B442" s="144"/>
      <c r="E442" s="145"/>
      <c r="F442" s="146"/>
      <c r="N442" s="154"/>
    </row>
    <row r="443" spans="1:14" ht="14.25" customHeight="1">
      <c r="A443" s="143"/>
      <c r="B443" s="144"/>
      <c r="E443" s="145"/>
      <c r="F443" s="146"/>
      <c r="N443" s="154"/>
    </row>
    <row r="444" spans="1:14" ht="14.25" customHeight="1">
      <c r="A444" s="143"/>
      <c r="B444" s="144"/>
      <c r="E444" s="145"/>
      <c r="F444" s="146"/>
      <c r="N444" s="154"/>
    </row>
    <row r="445" spans="1:14" ht="14.25" customHeight="1">
      <c r="A445" s="143"/>
      <c r="B445" s="144"/>
      <c r="E445" s="145"/>
      <c r="F445" s="146"/>
      <c r="N445" s="154"/>
    </row>
    <row r="446" spans="1:14" ht="14.25" customHeight="1">
      <c r="A446" s="143"/>
      <c r="B446" s="144"/>
      <c r="E446" s="145"/>
      <c r="F446" s="146"/>
      <c r="N446" s="154"/>
    </row>
    <row r="447" spans="1:14" ht="14.25" customHeight="1">
      <c r="A447" s="143"/>
      <c r="B447" s="144"/>
      <c r="E447" s="145"/>
      <c r="F447" s="146"/>
      <c r="N447" s="154"/>
    </row>
    <row r="448" spans="1:14" ht="14.25" customHeight="1">
      <c r="A448" s="143"/>
      <c r="B448" s="144"/>
      <c r="E448" s="145"/>
      <c r="F448" s="146"/>
      <c r="N448" s="154"/>
    </row>
    <row r="449" spans="1:14" ht="14.25" customHeight="1">
      <c r="A449" s="143"/>
      <c r="B449" s="144"/>
      <c r="E449" s="145"/>
      <c r="F449" s="146"/>
      <c r="N449" s="154"/>
    </row>
    <row r="450" spans="1:14" ht="14.25" customHeight="1">
      <c r="A450" s="143"/>
      <c r="B450" s="144"/>
      <c r="E450" s="145"/>
      <c r="F450" s="146"/>
      <c r="N450" s="154"/>
    </row>
    <row r="451" spans="1:14" ht="14.25" customHeight="1">
      <c r="A451" s="143"/>
      <c r="B451" s="144"/>
      <c r="E451" s="145"/>
      <c r="F451" s="146"/>
      <c r="N451" s="154"/>
    </row>
    <row r="452" spans="1:14" ht="14.25" customHeight="1">
      <c r="A452" s="143"/>
      <c r="B452" s="144"/>
      <c r="E452" s="145"/>
      <c r="F452" s="146"/>
      <c r="N452" s="154"/>
    </row>
    <row r="453" spans="1:14" ht="14.25" customHeight="1">
      <c r="A453" s="143"/>
      <c r="B453" s="144"/>
      <c r="E453" s="145"/>
      <c r="F453" s="146"/>
      <c r="N453" s="154"/>
    </row>
    <row r="454" spans="1:14" ht="14.25" customHeight="1">
      <c r="A454" s="143"/>
      <c r="B454" s="144"/>
      <c r="E454" s="145"/>
      <c r="F454" s="146"/>
      <c r="N454" s="154"/>
    </row>
    <row r="455" spans="1:14" ht="14.25" customHeight="1">
      <c r="A455" s="143"/>
      <c r="B455" s="144"/>
      <c r="E455" s="145"/>
      <c r="F455" s="146"/>
      <c r="N455" s="154"/>
    </row>
    <row r="456" spans="1:14" ht="14.25" customHeight="1">
      <c r="A456" s="143"/>
      <c r="B456" s="144"/>
      <c r="E456" s="145"/>
      <c r="F456" s="146"/>
      <c r="N456" s="154"/>
    </row>
    <row r="457" spans="1:14" ht="14.25" customHeight="1">
      <c r="A457" s="143"/>
      <c r="B457" s="144"/>
      <c r="E457" s="145"/>
      <c r="F457" s="146"/>
      <c r="N457" s="154"/>
    </row>
    <row r="458" spans="1:14" ht="14.25" customHeight="1">
      <c r="A458" s="143"/>
      <c r="B458" s="144"/>
      <c r="E458" s="145"/>
      <c r="F458" s="146"/>
      <c r="N458" s="154"/>
    </row>
    <row r="459" spans="1:14" ht="14.25" customHeight="1">
      <c r="A459" s="143"/>
      <c r="B459" s="144"/>
      <c r="E459" s="145"/>
      <c r="F459" s="146"/>
      <c r="N459" s="154"/>
    </row>
    <row r="460" spans="1:14" ht="14.25" customHeight="1">
      <c r="A460" s="143"/>
      <c r="B460" s="144"/>
      <c r="E460" s="145"/>
      <c r="F460" s="146"/>
      <c r="N460" s="154"/>
    </row>
    <row r="461" spans="1:14" ht="14.25" customHeight="1">
      <c r="A461" s="143"/>
      <c r="B461" s="144"/>
      <c r="E461" s="145"/>
      <c r="F461" s="146"/>
      <c r="N461" s="154"/>
    </row>
    <row r="462" spans="1:14" ht="14.25" customHeight="1">
      <c r="A462" s="143"/>
      <c r="B462" s="144"/>
      <c r="E462" s="145"/>
      <c r="F462" s="146"/>
      <c r="N462" s="154"/>
    </row>
    <row r="463" spans="1:14" ht="14.25" customHeight="1">
      <c r="A463" s="143"/>
      <c r="B463" s="144"/>
      <c r="E463" s="145"/>
      <c r="F463" s="146"/>
      <c r="N463" s="154"/>
    </row>
    <row r="464" spans="1:14" ht="14.25" customHeight="1">
      <c r="A464" s="143"/>
      <c r="B464" s="144"/>
      <c r="E464" s="145"/>
      <c r="F464" s="146"/>
      <c r="N464" s="154"/>
    </row>
    <row r="465" spans="1:14" ht="14.25" customHeight="1">
      <c r="A465" s="143"/>
      <c r="B465" s="144"/>
      <c r="E465" s="145"/>
      <c r="F465" s="146"/>
      <c r="N465" s="154"/>
    </row>
    <row r="466" spans="1:14" ht="14.25" customHeight="1">
      <c r="A466" s="143"/>
      <c r="B466" s="144"/>
      <c r="E466" s="145"/>
      <c r="F466" s="146"/>
      <c r="N466" s="154"/>
    </row>
    <row r="467" spans="1:14" ht="14.25" customHeight="1">
      <c r="A467" s="143"/>
      <c r="B467" s="144"/>
      <c r="E467" s="145"/>
      <c r="F467" s="146"/>
      <c r="N467" s="154"/>
    </row>
    <row r="468" spans="1:14" ht="14.25" customHeight="1">
      <c r="A468" s="143"/>
      <c r="B468" s="144"/>
      <c r="E468" s="145"/>
      <c r="F468" s="146"/>
      <c r="N468" s="154"/>
    </row>
    <row r="469" spans="1:14" ht="14.25" customHeight="1">
      <c r="A469" s="143"/>
      <c r="B469" s="144"/>
      <c r="E469" s="145"/>
      <c r="F469" s="146"/>
      <c r="N469" s="154"/>
    </row>
    <row r="470" spans="1:14" ht="14.25" customHeight="1">
      <c r="A470" s="143"/>
      <c r="B470" s="144"/>
      <c r="E470" s="145"/>
      <c r="F470" s="146"/>
      <c r="N470" s="154"/>
    </row>
    <row r="471" spans="1:14" ht="14.25" customHeight="1">
      <c r="A471" s="143"/>
      <c r="B471" s="144"/>
      <c r="E471" s="145"/>
      <c r="F471" s="146"/>
      <c r="N471" s="154"/>
    </row>
    <row r="472" spans="1:14" ht="14.25" customHeight="1">
      <c r="A472" s="143"/>
      <c r="B472" s="144"/>
      <c r="E472" s="145"/>
      <c r="F472" s="146"/>
      <c r="N472" s="154"/>
    </row>
    <row r="473" spans="1:14" ht="14.25" customHeight="1">
      <c r="A473" s="143"/>
      <c r="B473" s="144"/>
      <c r="E473" s="145"/>
      <c r="F473" s="146"/>
      <c r="N473" s="154"/>
    </row>
    <row r="474" spans="1:14" ht="14.25" customHeight="1">
      <c r="A474" s="143"/>
      <c r="B474" s="144"/>
      <c r="E474" s="145"/>
      <c r="F474" s="146"/>
      <c r="N474" s="154"/>
    </row>
    <row r="475" spans="1:14" ht="14.25" customHeight="1">
      <c r="A475" s="143"/>
      <c r="B475" s="144"/>
      <c r="E475" s="145"/>
      <c r="F475" s="146"/>
      <c r="N475" s="154"/>
    </row>
    <row r="476" spans="1:14" ht="14.25" customHeight="1">
      <c r="A476" s="143"/>
      <c r="B476" s="144"/>
      <c r="E476" s="145"/>
      <c r="F476" s="146"/>
      <c r="N476" s="154"/>
    </row>
    <row r="477" spans="1:14" ht="14.25" customHeight="1">
      <c r="A477" s="143"/>
      <c r="B477" s="144"/>
      <c r="E477" s="145"/>
      <c r="F477" s="146"/>
      <c r="N477" s="154"/>
    </row>
    <row r="478" spans="1:14" ht="14.25" customHeight="1">
      <c r="A478" s="143"/>
      <c r="B478" s="144"/>
      <c r="E478" s="145"/>
      <c r="F478" s="146"/>
      <c r="N478" s="154"/>
    </row>
    <row r="479" spans="1:14" ht="14.25" customHeight="1">
      <c r="A479" s="143"/>
      <c r="B479" s="144"/>
      <c r="E479" s="145"/>
      <c r="F479" s="146"/>
      <c r="N479" s="154"/>
    </row>
    <row r="480" spans="1:14" ht="14.25" customHeight="1">
      <c r="A480" s="143"/>
      <c r="B480" s="144"/>
      <c r="E480" s="145"/>
      <c r="F480" s="146"/>
      <c r="N480" s="154"/>
    </row>
    <row r="481" spans="1:14" ht="14.25" customHeight="1">
      <c r="A481" s="143"/>
      <c r="B481" s="144"/>
      <c r="E481" s="145"/>
      <c r="F481" s="146"/>
      <c r="N481" s="154"/>
    </row>
    <row r="482" spans="1:14" ht="14.25" customHeight="1">
      <c r="A482" s="143"/>
      <c r="B482" s="144"/>
      <c r="E482" s="145"/>
      <c r="F482" s="146"/>
      <c r="N482" s="154"/>
    </row>
    <row r="483" spans="1:14" ht="14.25" customHeight="1">
      <c r="A483" s="143"/>
      <c r="B483" s="144"/>
      <c r="E483" s="145"/>
      <c r="F483" s="146"/>
      <c r="N483" s="154"/>
    </row>
    <row r="484" spans="1:14" ht="14.25" customHeight="1">
      <c r="A484" s="143"/>
      <c r="B484" s="144"/>
      <c r="E484" s="145"/>
      <c r="F484" s="146"/>
      <c r="N484" s="154"/>
    </row>
    <row r="485" spans="1:14" ht="14.25" customHeight="1">
      <c r="A485" s="143"/>
      <c r="B485" s="144"/>
      <c r="E485" s="145"/>
      <c r="F485" s="146"/>
      <c r="N485" s="154"/>
    </row>
    <row r="486" spans="1:14" ht="14.25" customHeight="1">
      <c r="A486" s="143"/>
      <c r="B486" s="144"/>
      <c r="E486" s="145"/>
      <c r="F486" s="146"/>
      <c r="N486" s="154"/>
    </row>
    <row r="487" spans="1:14" ht="14.25" customHeight="1">
      <c r="A487" s="143"/>
      <c r="B487" s="144"/>
      <c r="E487" s="145"/>
      <c r="F487" s="146"/>
      <c r="N487" s="154"/>
    </row>
    <row r="488" spans="1:14" ht="14.25" customHeight="1">
      <c r="A488" s="143"/>
      <c r="B488" s="144"/>
      <c r="E488" s="145"/>
      <c r="F488" s="146"/>
      <c r="N488" s="154"/>
    </row>
    <row r="489" spans="1:14" ht="14.25" customHeight="1">
      <c r="A489" s="143"/>
      <c r="B489" s="144"/>
      <c r="E489" s="145"/>
      <c r="F489" s="146"/>
      <c r="N489" s="154"/>
    </row>
    <row r="490" spans="1:14" ht="14.25" customHeight="1">
      <c r="A490" s="143"/>
      <c r="B490" s="144"/>
      <c r="E490" s="145"/>
      <c r="F490" s="146"/>
      <c r="N490" s="154"/>
    </row>
    <row r="491" spans="1:14" ht="14.25" customHeight="1">
      <c r="A491" s="143"/>
      <c r="B491" s="144"/>
      <c r="E491" s="145"/>
      <c r="F491" s="146"/>
      <c r="N491" s="154"/>
    </row>
    <row r="492" spans="1:14" ht="14.25" customHeight="1">
      <c r="A492" s="143"/>
      <c r="B492" s="144"/>
      <c r="E492" s="145"/>
      <c r="F492" s="146"/>
      <c r="N492" s="154"/>
    </row>
    <row r="493" spans="1:14" ht="14.25" customHeight="1">
      <c r="A493" s="143"/>
      <c r="B493" s="144"/>
      <c r="E493" s="145"/>
      <c r="F493" s="146"/>
      <c r="N493" s="154"/>
    </row>
    <row r="494" spans="1:14" ht="14.25" customHeight="1">
      <c r="A494" s="143"/>
      <c r="B494" s="144"/>
      <c r="E494" s="145"/>
      <c r="F494" s="146"/>
      <c r="N494" s="154"/>
    </row>
    <row r="495" spans="1:14" ht="14.25" customHeight="1">
      <c r="A495" s="143"/>
      <c r="B495" s="144"/>
      <c r="E495" s="145"/>
      <c r="F495" s="146"/>
      <c r="N495" s="154"/>
    </row>
    <row r="496" spans="1:14" ht="14.25" customHeight="1">
      <c r="A496" s="143"/>
      <c r="B496" s="144"/>
      <c r="E496" s="145"/>
      <c r="F496" s="146"/>
      <c r="N496" s="154"/>
    </row>
    <row r="497" spans="1:14" ht="14.25" customHeight="1">
      <c r="A497" s="143"/>
      <c r="B497" s="144"/>
      <c r="E497" s="145"/>
      <c r="F497" s="146"/>
      <c r="N497" s="154"/>
    </row>
    <row r="498" spans="1:14" ht="14.25" customHeight="1">
      <c r="A498" s="143"/>
      <c r="B498" s="144"/>
      <c r="E498" s="145"/>
      <c r="F498" s="146"/>
      <c r="N498" s="154"/>
    </row>
    <row r="499" spans="1:14" ht="14.25" customHeight="1">
      <c r="A499" s="143"/>
      <c r="B499" s="144"/>
      <c r="E499" s="145"/>
      <c r="F499" s="146"/>
      <c r="N499" s="154"/>
    </row>
    <row r="500" spans="1:14" ht="14.25" customHeight="1">
      <c r="A500" s="143"/>
      <c r="B500" s="144"/>
      <c r="E500" s="145"/>
      <c r="F500" s="146"/>
      <c r="N500" s="154"/>
    </row>
    <row r="501" spans="1:14" ht="14.25" customHeight="1">
      <c r="A501" s="143"/>
      <c r="B501" s="144"/>
      <c r="E501" s="145"/>
      <c r="F501" s="146"/>
      <c r="N501" s="154"/>
    </row>
    <row r="502" spans="1:14" ht="14.25" customHeight="1">
      <c r="A502" s="143"/>
      <c r="B502" s="144"/>
      <c r="E502" s="145"/>
      <c r="F502" s="146"/>
      <c r="N502" s="154"/>
    </row>
    <row r="503" spans="1:14" ht="14.25" customHeight="1">
      <c r="A503" s="143"/>
      <c r="B503" s="144"/>
      <c r="E503" s="145"/>
      <c r="F503" s="146"/>
      <c r="N503" s="154"/>
    </row>
    <row r="504" spans="1:14" ht="14.25" customHeight="1">
      <c r="A504" s="143"/>
      <c r="B504" s="144"/>
      <c r="E504" s="145"/>
      <c r="F504" s="146"/>
      <c r="N504" s="154"/>
    </row>
    <row r="505" spans="1:14" ht="14.25" customHeight="1">
      <c r="A505" s="143"/>
      <c r="B505" s="144"/>
      <c r="E505" s="145"/>
      <c r="F505" s="146"/>
      <c r="N505" s="154"/>
    </row>
    <row r="506" spans="1:14" ht="14.25" customHeight="1">
      <c r="A506" s="143"/>
      <c r="B506" s="144"/>
      <c r="E506" s="145"/>
      <c r="F506" s="146"/>
      <c r="N506" s="154"/>
    </row>
    <row r="507" spans="1:14" ht="14.25" customHeight="1">
      <c r="A507" s="143"/>
      <c r="B507" s="144"/>
      <c r="E507" s="145"/>
      <c r="F507" s="146"/>
      <c r="N507" s="154"/>
    </row>
    <row r="508" spans="1:14" ht="14.25" customHeight="1">
      <c r="A508" s="143"/>
      <c r="B508" s="144"/>
      <c r="E508" s="145"/>
      <c r="F508" s="146"/>
      <c r="N508" s="154"/>
    </row>
    <row r="509" spans="1:14" ht="14.25" customHeight="1">
      <c r="A509" s="143"/>
      <c r="B509" s="144"/>
      <c r="E509" s="145"/>
      <c r="F509" s="146"/>
      <c r="N509" s="154"/>
    </row>
    <row r="510" spans="1:14" ht="14.25" customHeight="1">
      <c r="A510" s="143"/>
      <c r="B510" s="144"/>
      <c r="E510" s="145"/>
      <c r="F510" s="146"/>
      <c r="N510" s="154"/>
    </row>
    <row r="511" spans="1:14" ht="14.25" customHeight="1">
      <c r="A511" s="143"/>
      <c r="B511" s="144"/>
      <c r="E511" s="145"/>
      <c r="F511" s="146"/>
      <c r="N511" s="154"/>
    </row>
    <row r="512" spans="1:14" ht="14.25" customHeight="1">
      <c r="A512" s="143"/>
      <c r="B512" s="144"/>
      <c r="E512" s="145"/>
      <c r="F512" s="146"/>
      <c r="N512" s="154"/>
    </row>
    <row r="513" spans="1:14" ht="14.25" customHeight="1">
      <c r="A513" s="143"/>
      <c r="B513" s="144"/>
      <c r="E513" s="145"/>
      <c r="F513" s="146"/>
      <c r="N513" s="154"/>
    </row>
    <row r="514" spans="1:14" ht="14.25" customHeight="1">
      <c r="A514" s="143"/>
      <c r="B514" s="144"/>
      <c r="E514" s="145"/>
      <c r="F514" s="146"/>
      <c r="N514" s="154"/>
    </row>
    <row r="515" spans="1:14" ht="14.25" customHeight="1">
      <c r="A515" s="143"/>
      <c r="B515" s="144"/>
      <c r="E515" s="145"/>
      <c r="F515" s="146"/>
      <c r="N515" s="154"/>
    </row>
    <row r="516" spans="1:14" ht="14.25" customHeight="1">
      <c r="A516" s="143"/>
      <c r="B516" s="144"/>
      <c r="E516" s="145"/>
      <c r="F516" s="146"/>
      <c r="N516" s="154"/>
    </row>
    <row r="517" spans="1:14" ht="14.25" customHeight="1">
      <c r="A517" s="143"/>
      <c r="B517" s="144"/>
      <c r="E517" s="145"/>
      <c r="F517" s="146"/>
      <c r="N517" s="154"/>
    </row>
    <row r="518" spans="1:14" ht="14.25" customHeight="1">
      <c r="A518" s="143"/>
      <c r="B518" s="144"/>
      <c r="E518" s="145"/>
      <c r="F518" s="146"/>
      <c r="N518" s="154"/>
    </row>
    <row r="519" spans="1:14" ht="14.25" customHeight="1">
      <c r="A519" s="143"/>
      <c r="B519" s="144"/>
      <c r="E519" s="145"/>
      <c r="F519" s="146"/>
      <c r="N519" s="154"/>
    </row>
    <row r="520" spans="1:14" ht="14.25" customHeight="1">
      <c r="A520" s="143"/>
      <c r="B520" s="144"/>
      <c r="E520" s="145"/>
      <c r="F520" s="146"/>
      <c r="N520" s="154"/>
    </row>
    <row r="521" spans="1:14" ht="14.25" customHeight="1">
      <c r="A521" s="143"/>
      <c r="B521" s="144"/>
      <c r="E521" s="145"/>
      <c r="F521" s="146"/>
      <c r="N521" s="154"/>
    </row>
    <row r="522" spans="1:14" ht="14.25" customHeight="1">
      <c r="A522" s="143"/>
      <c r="B522" s="144"/>
      <c r="E522" s="145"/>
      <c r="F522" s="146"/>
      <c r="N522" s="154"/>
    </row>
    <row r="523" spans="1:14" ht="14.25" customHeight="1">
      <c r="A523" s="143"/>
      <c r="B523" s="144"/>
      <c r="E523" s="145"/>
      <c r="F523" s="146"/>
      <c r="N523" s="154"/>
    </row>
    <row r="524" spans="1:14" ht="14.25" customHeight="1">
      <c r="A524" s="143"/>
      <c r="B524" s="144"/>
      <c r="E524" s="145"/>
      <c r="F524" s="146"/>
      <c r="N524" s="154"/>
    </row>
    <row r="525" spans="1:14" ht="14.25" customHeight="1">
      <c r="A525" s="143"/>
      <c r="B525" s="144"/>
      <c r="E525" s="145"/>
      <c r="F525" s="146"/>
      <c r="N525" s="154"/>
    </row>
    <row r="526" spans="1:14" ht="14.25" customHeight="1">
      <c r="A526" s="143"/>
      <c r="B526" s="144"/>
      <c r="E526" s="145"/>
      <c r="F526" s="146"/>
      <c r="N526" s="154"/>
    </row>
    <row r="527" spans="1:14" ht="14.25" customHeight="1">
      <c r="A527" s="143"/>
      <c r="B527" s="144"/>
      <c r="E527" s="145"/>
      <c r="F527" s="146"/>
      <c r="N527" s="154"/>
    </row>
    <row r="528" spans="1:14" ht="14.25" customHeight="1">
      <c r="A528" s="143"/>
      <c r="B528" s="144"/>
      <c r="E528" s="145"/>
      <c r="F528" s="146"/>
      <c r="N528" s="154"/>
    </row>
    <row r="529" spans="1:14" ht="14.25" customHeight="1">
      <c r="A529" s="143"/>
      <c r="B529" s="144"/>
      <c r="E529" s="145"/>
      <c r="F529" s="146"/>
      <c r="N529" s="154"/>
    </row>
    <row r="530" spans="1:14" ht="14.25" customHeight="1">
      <c r="A530" s="143"/>
      <c r="B530" s="144"/>
      <c r="E530" s="145"/>
      <c r="F530" s="146"/>
      <c r="N530" s="154"/>
    </row>
    <row r="531" spans="1:14" ht="14.25" customHeight="1">
      <c r="A531" s="143"/>
      <c r="B531" s="144"/>
      <c r="E531" s="145"/>
      <c r="F531" s="146"/>
      <c r="N531" s="154"/>
    </row>
    <row r="532" spans="1:14" ht="14.25" customHeight="1">
      <c r="A532" s="143"/>
      <c r="B532" s="144"/>
      <c r="E532" s="145"/>
      <c r="F532" s="146"/>
      <c r="N532" s="154"/>
    </row>
    <row r="533" spans="1:14" ht="14.25" customHeight="1">
      <c r="A533" s="143"/>
      <c r="B533" s="144"/>
      <c r="E533" s="145"/>
      <c r="F533" s="146"/>
      <c r="N533" s="154"/>
    </row>
    <row r="534" spans="1:14" ht="14.25" customHeight="1">
      <c r="A534" s="143"/>
      <c r="B534" s="144"/>
      <c r="E534" s="145"/>
      <c r="F534" s="146"/>
      <c r="N534" s="154"/>
    </row>
    <row r="535" spans="1:14" ht="14.25" customHeight="1">
      <c r="A535" s="143"/>
      <c r="B535" s="144"/>
      <c r="E535" s="145"/>
      <c r="F535" s="146"/>
      <c r="N535" s="154"/>
    </row>
    <row r="536" spans="1:14" ht="14.25" customHeight="1">
      <c r="A536" s="143"/>
      <c r="B536" s="144"/>
      <c r="E536" s="145"/>
      <c r="F536" s="146"/>
      <c r="N536" s="154"/>
    </row>
    <row r="537" spans="1:14" ht="14.25" customHeight="1">
      <c r="A537" s="143"/>
      <c r="B537" s="144"/>
      <c r="E537" s="145"/>
      <c r="F537" s="146"/>
      <c r="N537" s="154"/>
    </row>
    <row r="538" spans="1:14" ht="14.25" customHeight="1">
      <c r="A538" s="143"/>
      <c r="B538" s="144"/>
      <c r="E538" s="145"/>
      <c r="F538" s="146"/>
      <c r="N538" s="154"/>
    </row>
    <row r="539" spans="1:14" ht="14.25" customHeight="1">
      <c r="A539" s="143"/>
      <c r="B539" s="144"/>
      <c r="E539" s="145"/>
      <c r="F539" s="146"/>
      <c r="N539" s="154"/>
    </row>
    <row r="540" spans="1:14" ht="14.25" customHeight="1">
      <c r="A540" s="143"/>
      <c r="B540" s="144"/>
      <c r="E540" s="145"/>
      <c r="F540" s="146"/>
      <c r="N540" s="154"/>
    </row>
    <row r="541" spans="1:14" ht="14.25" customHeight="1">
      <c r="A541" s="143"/>
      <c r="B541" s="144"/>
      <c r="E541" s="145"/>
      <c r="F541" s="146"/>
      <c r="N541" s="154"/>
    </row>
    <row r="542" spans="1:14" ht="14.25" customHeight="1">
      <c r="A542" s="143"/>
      <c r="B542" s="144"/>
      <c r="E542" s="145"/>
      <c r="F542" s="146"/>
      <c r="N542" s="154"/>
    </row>
    <row r="543" spans="1:14" ht="14.25" customHeight="1">
      <c r="A543" s="143"/>
      <c r="B543" s="144"/>
      <c r="E543" s="145"/>
      <c r="F543" s="146"/>
      <c r="N543" s="154"/>
    </row>
    <row r="544" spans="1:14" ht="14.25" customHeight="1">
      <c r="A544" s="143"/>
      <c r="B544" s="144"/>
      <c r="E544" s="145"/>
      <c r="F544" s="146"/>
      <c r="N544" s="154"/>
    </row>
    <row r="545" spans="1:14" ht="14.25" customHeight="1">
      <c r="A545" s="143"/>
      <c r="B545" s="144"/>
      <c r="E545" s="145"/>
      <c r="F545" s="146"/>
      <c r="N545" s="154"/>
    </row>
    <row r="546" spans="1:14" ht="14.25" customHeight="1">
      <c r="A546" s="143"/>
      <c r="B546" s="144"/>
      <c r="E546" s="145"/>
      <c r="F546" s="146"/>
      <c r="N546" s="154"/>
    </row>
    <row r="547" spans="1:14" ht="14.25" customHeight="1">
      <c r="A547" s="143"/>
      <c r="B547" s="144"/>
      <c r="E547" s="145"/>
      <c r="F547" s="146"/>
      <c r="N547" s="154"/>
    </row>
    <row r="548" spans="1:14" ht="14.25" customHeight="1">
      <c r="A548" s="143"/>
      <c r="B548" s="144"/>
      <c r="E548" s="145"/>
      <c r="F548" s="146"/>
      <c r="N548" s="154"/>
    </row>
    <row r="549" spans="1:14" ht="14.25" customHeight="1">
      <c r="A549" s="143"/>
      <c r="B549" s="144"/>
      <c r="E549" s="145"/>
      <c r="F549" s="146"/>
      <c r="N549" s="154"/>
    </row>
    <row r="550" spans="1:14" ht="14.25" customHeight="1">
      <c r="A550" s="143"/>
      <c r="B550" s="144"/>
      <c r="E550" s="145"/>
      <c r="F550" s="146"/>
      <c r="N550" s="154"/>
    </row>
    <row r="551" spans="1:14" ht="14.25" customHeight="1">
      <c r="A551" s="143"/>
      <c r="B551" s="144"/>
      <c r="E551" s="145"/>
      <c r="F551" s="146"/>
      <c r="N551" s="154"/>
    </row>
    <row r="552" spans="1:14" ht="14.25" customHeight="1">
      <c r="A552" s="143"/>
      <c r="B552" s="144"/>
      <c r="E552" s="145"/>
      <c r="F552" s="146"/>
      <c r="N552" s="154"/>
    </row>
    <row r="553" spans="1:14" ht="14.25" customHeight="1">
      <c r="A553" s="143"/>
      <c r="B553" s="144"/>
      <c r="E553" s="145"/>
      <c r="F553" s="146"/>
      <c r="N553" s="154"/>
    </row>
    <row r="554" spans="1:14" ht="14.25" customHeight="1">
      <c r="A554" s="143"/>
      <c r="B554" s="144"/>
      <c r="E554" s="145"/>
      <c r="F554" s="146"/>
      <c r="N554" s="154"/>
    </row>
    <row r="555" spans="1:14" ht="14.25" customHeight="1">
      <c r="A555" s="143"/>
      <c r="B555" s="144"/>
      <c r="E555" s="145"/>
      <c r="F555" s="146"/>
      <c r="N555" s="154"/>
    </row>
    <row r="556" spans="1:14" ht="14.25" customHeight="1">
      <c r="A556" s="143"/>
      <c r="B556" s="144"/>
      <c r="E556" s="145"/>
      <c r="F556" s="146"/>
      <c r="N556" s="154"/>
    </row>
    <row r="557" spans="1:14" ht="14.25" customHeight="1">
      <c r="A557" s="143"/>
      <c r="B557" s="144"/>
      <c r="E557" s="145"/>
      <c r="F557" s="146"/>
      <c r="N557" s="154"/>
    </row>
    <row r="558" spans="1:14" ht="14.25" customHeight="1">
      <c r="A558" s="143"/>
      <c r="B558" s="144"/>
      <c r="E558" s="145"/>
      <c r="F558" s="146"/>
      <c r="N558" s="154"/>
    </row>
    <row r="559" spans="1:14" ht="14.25" customHeight="1">
      <c r="A559" s="143"/>
      <c r="B559" s="144"/>
      <c r="E559" s="145"/>
      <c r="F559" s="146"/>
      <c r="N559" s="154"/>
    </row>
    <row r="560" spans="1:14" ht="14.25" customHeight="1">
      <c r="A560" s="143"/>
      <c r="B560" s="144"/>
      <c r="E560" s="145"/>
      <c r="F560" s="146"/>
      <c r="N560" s="154"/>
    </row>
    <row r="561" spans="1:14" ht="14.25" customHeight="1">
      <c r="A561" s="143"/>
      <c r="B561" s="144"/>
      <c r="E561" s="145"/>
      <c r="F561" s="146"/>
      <c r="N561" s="154"/>
    </row>
    <row r="562" spans="1:14" ht="14.25" customHeight="1">
      <c r="A562" s="143"/>
      <c r="B562" s="144"/>
      <c r="E562" s="145"/>
      <c r="F562" s="146"/>
      <c r="N562" s="154"/>
    </row>
    <row r="563" spans="1:14" ht="14.25" customHeight="1">
      <c r="A563" s="143"/>
      <c r="B563" s="144"/>
      <c r="E563" s="145"/>
      <c r="F563" s="146"/>
      <c r="N563" s="154"/>
    </row>
    <row r="564" spans="1:14" ht="14.25" customHeight="1">
      <c r="A564" s="143"/>
      <c r="B564" s="144"/>
      <c r="E564" s="145"/>
      <c r="F564" s="146"/>
      <c r="N564" s="154"/>
    </row>
    <row r="565" spans="1:14" ht="14.25" customHeight="1">
      <c r="A565" s="143"/>
      <c r="B565" s="144"/>
      <c r="E565" s="145"/>
      <c r="F565" s="146"/>
      <c r="N565" s="154"/>
    </row>
    <row r="566" spans="1:14" ht="14.25" customHeight="1">
      <c r="A566" s="143"/>
      <c r="B566" s="144"/>
      <c r="E566" s="145"/>
      <c r="F566" s="146"/>
      <c r="N566" s="154"/>
    </row>
    <row r="567" spans="1:14" ht="14.25" customHeight="1">
      <c r="A567" s="143"/>
      <c r="B567" s="144"/>
      <c r="E567" s="145"/>
      <c r="F567" s="146"/>
      <c r="N567" s="154"/>
    </row>
    <row r="568" spans="1:14" ht="14.25" customHeight="1">
      <c r="A568" s="143"/>
      <c r="B568" s="144"/>
      <c r="E568" s="145"/>
      <c r="F568" s="146"/>
      <c r="N568" s="154"/>
    </row>
    <row r="569" spans="1:14" ht="14.25" customHeight="1">
      <c r="A569" s="143"/>
      <c r="B569" s="144"/>
      <c r="E569" s="145"/>
      <c r="F569" s="146"/>
      <c r="N569" s="154"/>
    </row>
    <row r="570" spans="1:14" ht="14.25" customHeight="1">
      <c r="A570" s="143"/>
      <c r="B570" s="144"/>
      <c r="E570" s="145"/>
      <c r="F570" s="146"/>
      <c r="N570" s="154"/>
    </row>
    <row r="571" spans="1:14" ht="14.25" customHeight="1">
      <c r="A571" s="143"/>
      <c r="B571" s="144"/>
      <c r="E571" s="145"/>
      <c r="F571" s="146"/>
      <c r="N571" s="154"/>
    </row>
    <row r="572" spans="1:14" ht="14.25" customHeight="1">
      <c r="A572" s="143"/>
      <c r="B572" s="144"/>
      <c r="E572" s="145"/>
      <c r="F572" s="146"/>
      <c r="N572" s="154"/>
    </row>
    <row r="573" spans="1:14" ht="14.25" customHeight="1">
      <c r="A573" s="143"/>
      <c r="B573" s="144"/>
      <c r="E573" s="145"/>
      <c r="F573" s="146"/>
      <c r="N573" s="154"/>
    </row>
    <row r="574" spans="1:14" ht="14.25" customHeight="1">
      <c r="A574" s="143"/>
      <c r="B574" s="144"/>
      <c r="E574" s="145"/>
      <c r="F574" s="146"/>
      <c r="N574" s="154"/>
    </row>
    <row r="575" spans="1:14" ht="14.25" customHeight="1">
      <c r="A575" s="143"/>
      <c r="B575" s="144"/>
      <c r="E575" s="145"/>
      <c r="F575" s="146"/>
      <c r="N575" s="154"/>
    </row>
    <row r="576" spans="1:14" ht="14.25" customHeight="1">
      <c r="A576" s="143"/>
      <c r="B576" s="144"/>
      <c r="E576" s="145"/>
      <c r="F576" s="146"/>
      <c r="N576" s="154"/>
    </row>
    <row r="577" spans="1:14" ht="14.25" customHeight="1">
      <c r="A577" s="143"/>
      <c r="B577" s="144"/>
      <c r="E577" s="145"/>
      <c r="F577" s="146"/>
      <c r="N577" s="154"/>
    </row>
    <row r="578" spans="1:14" ht="14.25" customHeight="1">
      <c r="A578" s="143"/>
      <c r="B578" s="144"/>
      <c r="E578" s="145"/>
      <c r="F578" s="146"/>
      <c r="N578" s="154"/>
    </row>
    <row r="579" spans="1:14" ht="14.25" customHeight="1">
      <c r="A579" s="143"/>
      <c r="B579" s="144"/>
      <c r="E579" s="145"/>
      <c r="F579" s="146"/>
      <c r="N579" s="154"/>
    </row>
    <row r="580" spans="1:14" ht="14.25" customHeight="1">
      <c r="A580" s="143"/>
      <c r="B580" s="144"/>
      <c r="E580" s="145"/>
      <c r="F580" s="146"/>
      <c r="N580" s="154"/>
    </row>
    <row r="581" spans="1:14" ht="14.25" customHeight="1">
      <c r="A581" s="143"/>
      <c r="B581" s="144"/>
      <c r="E581" s="145"/>
      <c r="F581" s="146"/>
      <c r="N581" s="154"/>
    </row>
    <row r="582" spans="1:14" ht="14.25" customHeight="1">
      <c r="A582" s="143"/>
      <c r="B582" s="144"/>
      <c r="E582" s="145"/>
      <c r="F582" s="146"/>
      <c r="N582" s="154"/>
    </row>
    <row r="583" spans="1:14" ht="14.25" customHeight="1">
      <c r="A583" s="143"/>
      <c r="B583" s="144"/>
      <c r="E583" s="145"/>
      <c r="F583" s="146"/>
      <c r="N583" s="154"/>
    </row>
    <row r="584" spans="1:14" ht="14.25" customHeight="1">
      <c r="A584" s="143"/>
      <c r="B584" s="144"/>
      <c r="E584" s="145"/>
      <c r="F584" s="146"/>
      <c r="N584" s="154"/>
    </row>
    <row r="585" spans="1:14" ht="14.25" customHeight="1">
      <c r="A585" s="143"/>
      <c r="B585" s="144"/>
      <c r="E585" s="145"/>
      <c r="F585" s="146"/>
      <c r="N585" s="154"/>
    </row>
    <row r="586" spans="1:14" ht="14.25" customHeight="1">
      <c r="A586" s="143"/>
      <c r="B586" s="144"/>
      <c r="E586" s="145"/>
      <c r="F586" s="146"/>
      <c r="N586" s="154"/>
    </row>
    <row r="587" spans="1:14" ht="14.25" customHeight="1">
      <c r="A587" s="143"/>
      <c r="B587" s="144"/>
      <c r="E587" s="145"/>
      <c r="F587" s="146"/>
      <c r="N587" s="154"/>
    </row>
    <row r="588" spans="1:14" ht="14.25" customHeight="1">
      <c r="A588" s="143"/>
      <c r="B588" s="144"/>
      <c r="E588" s="145"/>
      <c r="F588" s="146"/>
      <c r="N588" s="154"/>
    </row>
    <row r="589" spans="1:14" ht="14.25" customHeight="1">
      <c r="A589" s="143"/>
      <c r="B589" s="144"/>
      <c r="E589" s="145"/>
      <c r="F589" s="146"/>
      <c r="N589" s="154"/>
    </row>
    <row r="590" spans="1:14" ht="14.25" customHeight="1">
      <c r="A590" s="143"/>
      <c r="B590" s="144"/>
      <c r="E590" s="145"/>
      <c r="F590" s="146"/>
      <c r="N590" s="154"/>
    </row>
    <row r="591" spans="1:14" ht="14.25" customHeight="1">
      <c r="A591" s="143"/>
      <c r="B591" s="144"/>
      <c r="E591" s="145"/>
      <c r="F591" s="146"/>
      <c r="N591" s="154"/>
    </row>
    <row r="592" spans="1:14" ht="14.25" customHeight="1">
      <c r="A592" s="143"/>
      <c r="B592" s="144"/>
      <c r="E592" s="145"/>
      <c r="F592" s="146"/>
      <c r="N592" s="154"/>
    </row>
    <row r="593" spans="1:14" ht="14.25" customHeight="1">
      <c r="A593" s="143"/>
      <c r="B593" s="144"/>
      <c r="E593" s="145"/>
      <c r="F593" s="146"/>
      <c r="N593" s="154"/>
    </row>
    <row r="594" spans="1:14" ht="14.25" customHeight="1">
      <c r="A594" s="143"/>
      <c r="B594" s="144"/>
      <c r="E594" s="145"/>
      <c r="F594" s="146"/>
      <c r="N594" s="154"/>
    </row>
    <row r="595" spans="1:14" ht="14.25" customHeight="1">
      <c r="A595" s="143"/>
      <c r="B595" s="144"/>
      <c r="E595" s="145"/>
      <c r="F595" s="146"/>
      <c r="N595" s="154"/>
    </row>
    <row r="596" spans="1:14" ht="14.25" customHeight="1">
      <c r="A596" s="143"/>
      <c r="B596" s="144"/>
      <c r="E596" s="145"/>
      <c r="F596" s="146"/>
      <c r="N596" s="154"/>
    </row>
    <row r="597" spans="1:14" ht="14.25" customHeight="1">
      <c r="A597" s="143"/>
      <c r="B597" s="144"/>
      <c r="E597" s="145"/>
      <c r="F597" s="146"/>
      <c r="N597" s="154"/>
    </row>
    <row r="598" spans="1:14" ht="14.25" customHeight="1">
      <c r="A598" s="143"/>
      <c r="B598" s="144"/>
      <c r="E598" s="145"/>
      <c r="F598" s="146"/>
      <c r="N598" s="154"/>
    </row>
    <row r="599" spans="1:14" ht="14.25" customHeight="1">
      <c r="A599" s="143"/>
      <c r="B599" s="144"/>
      <c r="E599" s="145"/>
      <c r="F599" s="146"/>
      <c r="N599" s="154"/>
    </row>
    <row r="600" spans="1:14" ht="14.25" customHeight="1">
      <c r="A600" s="143"/>
      <c r="B600" s="144"/>
      <c r="E600" s="145"/>
      <c r="F600" s="146"/>
      <c r="N600" s="154"/>
    </row>
    <row r="601" spans="1:14" ht="14.25" customHeight="1">
      <c r="A601" s="143"/>
      <c r="B601" s="144"/>
      <c r="E601" s="145"/>
      <c r="F601" s="146"/>
      <c r="N601" s="154"/>
    </row>
    <row r="602" spans="1:14" ht="14.25" customHeight="1">
      <c r="A602" s="143"/>
      <c r="B602" s="144"/>
      <c r="E602" s="145"/>
      <c r="F602" s="146"/>
      <c r="N602" s="154"/>
    </row>
    <row r="603" spans="1:14" ht="14.25" customHeight="1">
      <c r="A603" s="143"/>
      <c r="B603" s="144"/>
      <c r="E603" s="145"/>
      <c r="F603" s="146"/>
      <c r="N603" s="154"/>
    </row>
    <row r="604" spans="1:14" ht="14.25" customHeight="1">
      <c r="A604" s="143"/>
      <c r="B604" s="144"/>
      <c r="E604" s="145"/>
      <c r="F604" s="146"/>
      <c r="N604" s="154"/>
    </row>
    <row r="605" spans="1:14" ht="14.25" customHeight="1">
      <c r="A605" s="143"/>
      <c r="B605" s="144"/>
      <c r="E605" s="145"/>
      <c r="F605" s="146"/>
      <c r="N605" s="154"/>
    </row>
    <row r="606" spans="1:14" ht="14.25" customHeight="1">
      <c r="A606" s="143"/>
      <c r="B606" s="144"/>
      <c r="E606" s="145"/>
      <c r="F606" s="146"/>
      <c r="N606" s="154"/>
    </row>
    <row r="607" spans="1:14" ht="14.25" customHeight="1">
      <c r="A607" s="143"/>
      <c r="B607" s="144"/>
      <c r="E607" s="145"/>
      <c r="F607" s="146"/>
      <c r="N607" s="154"/>
    </row>
    <row r="608" spans="1:14" ht="14.25" customHeight="1">
      <c r="A608" s="143"/>
      <c r="B608" s="144"/>
      <c r="E608" s="145"/>
      <c r="F608" s="146"/>
      <c r="N608" s="154"/>
    </row>
    <row r="609" spans="1:14" ht="14.25" customHeight="1">
      <c r="A609" s="143"/>
      <c r="B609" s="144"/>
      <c r="E609" s="145"/>
      <c r="F609" s="146"/>
      <c r="N609" s="154"/>
    </row>
    <row r="610" spans="1:14" ht="14.25" customHeight="1">
      <c r="A610" s="143"/>
      <c r="B610" s="144"/>
      <c r="E610" s="145"/>
      <c r="F610" s="146"/>
      <c r="N610" s="154"/>
    </row>
    <row r="611" spans="1:14" ht="14.25" customHeight="1">
      <c r="A611" s="143"/>
      <c r="B611" s="144"/>
      <c r="E611" s="145"/>
      <c r="F611" s="146"/>
      <c r="N611" s="154"/>
    </row>
    <row r="612" spans="1:14" ht="14.25" customHeight="1">
      <c r="A612" s="143"/>
      <c r="B612" s="144"/>
      <c r="E612" s="145"/>
      <c r="F612" s="146"/>
      <c r="N612" s="154"/>
    </row>
    <row r="613" spans="1:14" ht="14.25" customHeight="1">
      <c r="A613" s="143"/>
      <c r="B613" s="144"/>
      <c r="E613" s="145"/>
      <c r="F613" s="146"/>
      <c r="N613" s="154"/>
    </row>
    <row r="614" spans="1:14" ht="14.25" customHeight="1">
      <c r="A614" s="143"/>
      <c r="B614" s="144"/>
      <c r="E614" s="145"/>
      <c r="F614" s="146"/>
      <c r="N614" s="154"/>
    </row>
    <row r="615" spans="1:14" ht="14.25" customHeight="1">
      <c r="A615" s="143"/>
      <c r="B615" s="144"/>
      <c r="E615" s="145"/>
      <c r="F615" s="146"/>
      <c r="N615" s="154"/>
    </row>
    <row r="616" spans="1:14" ht="14.25" customHeight="1">
      <c r="A616" s="143"/>
      <c r="B616" s="144"/>
      <c r="E616" s="145"/>
      <c r="F616" s="146"/>
      <c r="N616" s="154"/>
    </row>
    <row r="617" spans="1:14" ht="14.25" customHeight="1">
      <c r="A617" s="143"/>
      <c r="B617" s="144"/>
      <c r="E617" s="145"/>
      <c r="F617" s="146"/>
      <c r="N617" s="154"/>
    </row>
    <row r="618" spans="1:14" ht="14.25" customHeight="1">
      <c r="A618" s="143"/>
      <c r="B618" s="144"/>
      <c r="E618" s="145"/>
      <c r="F618" s="146"/>
      <c r="N618" s="154"/>
    </row>
    <row r="619" spans="1:14" ht="14.25" customHeight="1">
      <c r="A619" s="143"/>
      <c r="B619" s="144"/>
      <c r="E619" s="145"/>
      <c r="F619" s="146"/>
      <c r="N619" s="154"/>
    </row>
    <row r="620" spans="1:14" ht="14.25" customHeight="1">
      <c r="A620" s="143"/>
      <c r="B620" s="144"/>
      <c r="E620" s="145"/>
      <c r="F620" s="146"/>
      <c r="N620" s="154"/>
    </row>
    <row r="621" spans="1:14" ht="14.25" customHeight="1">
      <c r="A621" s="143"/>
      <c r="B621" s="144"/>
      <c r="E621" s="145"/>
      <c r="F621" s="146"/>
      <c r="N621" s="154"/>
    </row>
    <row r="622" spans="1:14" ht="14.25" customHeight="1">
      <c r="A622" s="143"/>
      <c r="B622" s="144"/>
      <c r="E622" s="145"/>
      <c r="F622" s="146"/>
      <c r="N622" s="154"/>
    </row>
    <row r="623" spans="1:14" ht="14.25" customHeight="1">
      <c r="A623" s="143"/>
      <c r="B623" s="144"/>
      <c r="E623" s="145"/>
      <c r="F623" s="146"/>
      <c r="N623" s="154"/>
    </row>
    <row r="624" spans="1:14" ht="14.25" customHeight="1">
      <c r="A624" s="143"/>
      <c r="B624" s="144"/>
      <c r="E624" s="145"/>
      <c r="F624" s="146"/>
      <c r="N624" s="154"/>
    </row>
    <row r="625" spans="1:14" ht="14.25" customHeight="1">
      <c r="A625" s="143"/>
      <c r="B625" s="144"/>
      <c r="E625" s="145"/>
      <c r="F625" s="146"/>
      <c r="N625" s="154"/>
    </row>
    <row r="626" spans="1:14" ht="14.25" customHeight="1">
      <c r="A626" s="143"/>
      <c r="B626" s="144"/>
      <c r="E626" s="145"/>
      <c r="F626" s="146"/>
      <c r="N626" s="154"/>
    </row>
    <row r="627" spans="1:14" ht="14.25" customHeight="1">
      <c r="A627" s="143"/>
      <c r="B627" s="144"/>
      <c r="E627" s="145"/>
      <c r="F627" s="146"/>
      <c r="N627" s="154"/>
    </row>
    <row r="628" spans="1:14" ht="14.25" customHeight="1">
      <c r="A628" s="143"/>
      <c r="B628" s="144"/>
      <c r="E628" s="145"/>
      <c r="F628" s="146"/>
      <c r="N628" s="154"/>
    </row>
    <row r="629" spans="1:14" ht="14.25" customHeight="1">
      <c r="A629" s="143"/>
      <c r="B629" s="144"/>
      <c r="E629" s="145"/>
      <c r="F629" s="146"/>
      <c r="N629" s="154"/>
    </row>
    <row r="630" spans="1:14" ht="14.25" customHeight="1">
      <c r="A630" s="143"/>
      <c r="B630" s="144"/>
      <c r="E630" s="145"/>
      <c r="F630" s="146"/>
      <c r="N630" s="154"/>
    </row>
    <row r="631" spans="1:14" ht="14.25" customHeight="1">
      <c r="A631" s="143"/>
      <c r="B631" s="144"/>
      <c r="E631" s="145"/>
      <c r="F631" s="146"/>
      <c r="N631" s="154"/>
    </row>
    <row r="632" spans="1:14" ht="14.25" customHeight="1">
      <c r="A632" s="143"/>
      <c r="B632" s="144"/>
      <c r="E632" s="145"/>
      <c r="F632" s="146"/>
      <c r="N632" s="154"/>
    </row>
    <row r="633" spans="1:14" ht="14.25" customHeight="1">
      <c r="A633" s="143"/>
      <c r="B633" s="144"/>
      <c r="E633" s="145"/>
      <c r="F633" s="146"/>
      <c r="N633" s="154"/>
    </row>
    <row r="634" spans="1:14" ht="14.25" customHeight="1">
      <c r="A634" s="143"/>
      <c r="B634" s="144"/>
      <c r="E634" s="145"/>
      <c r="F634" s="146"/>
      <c r="N634" s="154"/>
    </row>
    <row r="635" spans="1:14" ht="14.25" customHeight="1">
      <c r="A635" s="143"/>
      <c r="B635" s="144"/>
      <c r="E635" s="145"/>
      <c r="F635" s="146"/>
      <c r="N635" s="154"/>
    </row>
    <row r="636" spans="1:14" ht="14.25" customHeight="1">
      <c r="A636" s="143"/>
      <c r="B636" s="144"/>
      <c r="E636" s="145"/>
      <c r="F636" s="146"/>
      <c r="N636" s="154"/>
    </row>
    <row r="637" spans="1:14" ht="14.25" customHeight="1">
      <c r="A637" s="143"/>
      <c r="B637" s="144"/>
      <c r="E637" s="145"/>
      <c r="F637" s="146"/>
      <c r="N637" s="154"/>
    </row>
    <row r="638" spans="1:14" ht="14.25" customHeight="1">
      <c r="A638" s="143"/>
      <c r="B638" s="144"/>
      <c r="E638" s="145"/>
      <c r="F638" s="146"/>
      <c r="N638" s="154"/>
    </row>
    <row r="639" spans="1:14" ht="14.25" customHeight="1">
      <c r="A639" s="143"/>
      <c r="B639" s="144"/>
      <c r="E639" s="145"/>
      <c r="F639" s="146"/>
      <c r="N639" s="154"/>
    </row>
    <row r="640" spans="1:14" ht="14.25" customHeight="1">
      <c r="A640" s="143"/>
      <c r="B640" s="144"/>
      <c r="E640" s="145"/>
      <c r="F640" s="146"/>
      <c r="N640" s="154"/>
    </row>
    <row r="641" spans="1:14" ht="14.25" customHeight="1">
      <c r="A641" s="143"/>
      <c r="B641" s="144"/>
      <c r="E641" s="145"/>
      <c r="F641" s="146"/>
      <c r="N641" s="154"/>
    </row>
    <row r="642" spans="1:14" ht="14.25" customHeight="1">
      <c r="A642" s="143"/>
      <c r="B642" s="144"/>
      <c r="E642" s="145"/>
      <c r="F642" s="146"/>
      <c r="N642" s="154"/>
    </row>
    <row r="643" spans="1:14" ht="14.25" customHeight="1">
      <c r="A643" s="143"/>
      <c r="B643" s="144"/>
      <c r="E643" s="145"/>
      <c r="F643" s="146"/>
      <c r="N643" s="154"/>
    </row>
    <row r="644" spans="1:14" ht="14.25" customHeight="1">
      <c r="A644" s="143"/>
      <c r="B644" s="144"/>
      <c r="E644" s="145"/>
      <c r="F644" s="146"/>
      <c r="N644" s="154"/>
    </row>
    <row r="645" spans="1:14" ht="14.25" customHeight="1">
      <c r="A645" s="143"/>
      <c r="B645" s="144"/>
      <c r="E645" s="145"/>
      <c r="F645" s="146"/>
      <c r="N645" s="154"/>
    </row>
    <row r="646" spans="1:14" ht="14.25" customHeight="1">
      <c r="A646" s="143"/>
      <c r="B646" s="144"/>
      <c r="E646" s="145"/>
      <c r="F646" s="146"/>
      <c r="N646" s="154"/>
    </row>
    <row r="647" spans="1:14" ht="14.25" customHeight="1">
      <c r="A647" s="143"/>
      <c r="B647" s="144"/>
      <c r="E647" s="145"/>
      <c r="F647" s="146"/>
      <c r="N647" s="154"/>
    </row>
    <row r="648" spans="1:14" ht="14.25" customHeight="1">
      <c r="A648" s="143"/>
      <c r="B648" s="144"/>
      <c r="E648" s="145"/>
      <c r="F648" s="146"/>
      <c r="N648" s="154"/>
    </row>
    <row r="649" spans="1:14" ht="14.25" customHeight="1">
      <c r="A649" s="143"/>
      <c r="B649" s="144"/>
      <c r="E649" s="145"/>
      <c r="F649" s="146"/>
      <c r="N649" s="154"/>
    </row>
    <row r="650" spans="1:14" ht="14.25" customHeight="1">
      <c r="A650" s="143"/>
      <c r="B650" s="144"/>
      <c r="E650" s="145"/>
      <c r="F650" s="146"/>
      <c r="N650" s="154"/>
    </row>
    <row r="651" spans="1:14" ht="14.25" customHeight="1">
      <c r="A651" s="143"/>
      <c r="B651" s="144"/>
      <c r="E651" s="145"/>
      <c r="F651" s="146"/>
      <c r="N651" s="154"/>
    </row>
    <row r="652" spans="1:14" ht="14.25" customHeight="1">
      <c r="A652" s="143"/>
      <c r="B652" s="144"/>
      <c r="E652" s="145"/>
      <c r="F652" s="146"/>
      <c r="N652" s="154"/>
    </row>
    <row r="653" spans="1:14" ht="14.25" customHeight="1">
      <c r="A653" s="143"/>
      <c r="B653" s="144"/>
      <c r="E653" s="145"/>
      <c r="F653" s="146"/>
      <c r="N653" s="154"/>
    </row>
    <row r="654" spans="1:14" ht="14.25" customHeight="1">
      <c r="A654" s="143"/>
      <c r="B654" s="144"/>
      <c r="E654" s="145"/>
      <c r="F654" s="146"/>
      <c r="N654" s="154"/>
    </row>
    <row r="655" spans="1:14" ht="14.25" customHeight="1">
      <c r="A655" s="143"/>
      <c r="B655" s="144"/>
      <c r="E655" s="145"/>
      <c r="F655" s="146"/>
      <c r="N655" s="154"/>
    </row>
    <row r="656" spans="1:14" ht="14.25" customHeight="1">
      <c r="A656" s="143"/>
      <c r="B656" s="144"/>
      <c r="E656" s="145"/>
      <c r="F656" s="146"/>
      <c r="N656" s="154"/>
    </row>
    <row r="657" spans="1:14" ht="14.25" customHeight="1">
      <c r="A657" s="143"/>
      <c r="B657" s="144"/>
      <c r="E657" s="145"/>
      <c r="F657" s="146"/>
      <c r="N657" s="154"/>
    </row>
    <row r="658" spans="1:14" ht="14.25" customHeight="1">
      <c r="A658" s="143"/>
      <c r="B658" s="144"/>
      <c r="E658" s="145"/>
      <c r="F658" s="146"/>
      <c r="N658" s="154"/>
    </row>
    <row r="659" spans="1:14" ht="14.25" customHeight="1">
      <c r="A659" s="143"/>
      <c r="B659" s="144"/>
      <c r="E659" s="145"/>
      <c r="F659" s="146"/>
      <c r="N659" s="154"/>
    </row>
    <row r="660" spans="1:14" ht="14.25" customHeight="1">
      <c r="A660" s="143"/>
      <c r="B660" s="144"/>
      <c r="E660" s="145"/>
      <c r="F660" s="146"/>
      <c r="N660" s="154"/>
    </row>
    <row r="661" spans="1:14" ht="14.25" customHeight="1">
      <c r="A661" s="143"/>
      <c r="B661" s="144"/>
      <c r="E661" s="145"/>
      <c r="F661" s="146"/>
      <c r="N661" s="154"/>
    </row>
    <row r="662" spans="1:14" ht="14.25" customHeight="1">
      <c r="A662" s="143"/>
      <c r="B662" s="144"/>
      <c r="E662" s="145"/>
      <c r="F662" s="146"/>
      <c r="N662" s="154"/>
    </row>
    <row r="663" spans="1:14" ht="14.25" customHeight="1">
      <c r="A663" s="143"/>
      <c r="B663" s="144"/>
      <c r="E663" s="145"/>
      <c r="F663" s="146"/>
      <c r="N663" s="154"/>
    </row>
    <row r="664" spans="1:14" ht="14.25" customHeight="1">
      <c r="A664" s="143"/>
      <c r="B664" s="144"/>
      <c r="E664" s="145"/>
      <c r="F664" s="146"/>
      <c r="N664" s="154"/>
    </row>
    <row r="665" spans="1:14" ht="14.25" customHeight="1">
      <c r="A665" s="143"/>
      <c r="B665" s="144"/>
      <c r="E665" s="145"/>
      <c r="F665" s="146"/>
      <c r="N665" s="154"/>
    </row>
    <row r="666" spans="1:14" ht="14.25" customHeight="1">
      <c r="A666" s="143"/>
      <c r="B666" s="144"/>
      <c r="E666" s="145"/>
      <c r="F666" s="146"/>
      <c r="N666" s="154"/>
    </row>
    <row r="667" spans="1:14" ht="14.25" customHeight="1">
      <c r="A667" s="143"/>
      <c r="B667" s="144"/>
      <c r="E667" s="145"/>
      <c r="F667" s="146"/>
      <c r="N667" s="154"/>
    </row>
    <row r="668" spans="1:14" ht="14.25" customHeight="1">
      <c r="A668" s="143"/>
      <c r="B668" s="144"/>
      <c r="E668" s="145"/>
      <c r="F668" s="146"/>
      <c r="N668" s="154"/>
    </row>
    <row r="669" spans="1:14" ht="14.25" customHeight="1">
      <c r="A669" s="143"/>
      <c r="B669" s="144"/>
      <c r="E669" s="145"/>
      <c r="F669" s="146"/>
      <c r="N669" s="154"/>
    </row>
    <row r="670" spans="1:14" ht="14.25" customHeight="1">
      <c r="A670" s="143"/>
      <c r="B670" s="144"/>
      <c r="E670" s="145"/>
      <c r="F670" s="146"/>
      <c r="N670" s="154"/>
    </row>
    <row r="671" spans="1:14" ht="14.25" customHeight="1">
      <c r="A671" s="143"/>
      <c r="B671" s="144"/>
      <c r="E671" s="145"/>
      <c r="F671" s="146"/>
      <c r="N671" s="154"/>
    </row>
    <row r="672" spans="1:14" ht="14.25" customHeight="1">
      <c r="A672" s="143"/>
      <c r="B672" s="144"/>
      <c r="E672" s="145"/>
      <c r="F672" s="146"/>
      <c r="N672" s="154"/>
    </row>
    <row r="673" spans="1:14" ht="14.25" customHeight="1">
      <c r="A673" s="143"/>
      <c r="B673" s="144"/>
      <c r="E673" s="145"/>
      <c r="F673" s="146"/>
      <c r="N673" s="154"/>
    </row>
    <row r="674" spans="1:14" ht="14.25" customHeight="1">
      <c r="A674" s="143"/>
      <c r="B674" s="144"/>
      <c r="E674" s="145"/>
      <c r="F674" s="146"/>
      <c r="N674" s="154"/>
    </row>
    <row r="675" spans="1:14" ht="14.25" customHeight="1">
      <c r="A675" s="143"/>
      <c r="B675" s="144"/>
      <c r="E675" s="145"/>
      <c r="F675" s="146"/>
      <c r="N675" s="154"/>
    </row>
    <row r="676" spans="1:14" ht="14.25" customHeight="1">
      <c r="A676" s="143"/>
      <c r="B676" s="144"/>
      <c r="E676" s="145"/>
      <c r="F676" s="146"/>
      <c r="N676" s="154"/>
    </row>
    <row r="677" spans="1:14" ht="14.25" customHeight="1">
      <c r="A677" s="143"/>
      <c r="B677" s="144"/>
      <c r="E677" s="145"/>
      <c r="F677" s="146"/>
      <c r="N677" s="154"/>
    </row>
    <row r="678" spans="1:14" ht="14.25" customHeight="1">
      <c r="A678" s="143"/>
      <c r="B678" s="144"/>
      <c r="E678" s="145"/>
      <c r="F678" s="146"/>
      <c r="N678" s="154"/>
    </row>
    <row r="679" spans="1:14" ht="14.25" customHeight="1">
      <c r="A679" s="143"/>
      <c r="B679" s="144"/>
      <c r="E679" s="145"/>
      <c r="F679" s="146"/>
      <c r="N679" s="154"/>
    </row>
    <row r="680" spans="1:14" ht="14.25" customHeight="1">
      <c r="A680" s="143"/>
      <c r="B680" s="144"/>
      <c r="E680" s="145"/>
      <c r="F680" s="146"/>
      <c r="N680" s="154"/>
    </row>
    <row r="681" spans="1:14" ht="14.25" customHeight="1">
      <c r="A681" s="143"/>
      <c r="B681" s="144"/>
      <c r="E681" s="145"/>
      <c r="F681" s="146"/>
      <c r="N681" s="154"/>
    </row>
    <row r="682" spans="1:14" ht="14.25" customHeight="1">
      <c r="A682" s="143"/>
      <c r="B682" s="144"/>
      <c r="E682" s="145"/>
      <c r="F682" s="146"/>
      <c r="N682" s="154"/>
    </row>
    <row r="683" spans="1:14" ht="14.25" customHeight="1">
      <c r="A683" s="143"/>
      <c r="B683" s="144"/>
      <c r="E683" s="145"/>
      <c r="F683" s="146"/>
      <c r="N683" s="154"/>
    </row>
    <row r="684" spans="1:14" ht="14.25" customHeight="1">
      <c r="A684" s="143"/>
      <c r="B684" s="144"/>
      <c r="E684" s="145"/>
      <c r="F684" s="146"/>
      <c r="N684" s="154"/>
    </row>
    <row r="685" spans="1:14" ht="14.25" customHeight="1">
      <c r="A685" s="143"/>
      <c r="B685" s="144"/>
      <c r="E685" s="145"/>
      <c r="F685" s="146"/>
      <c r="N685" s="154"/>
    </row>
    <row r="686" spans="1:14" ht="14.25" customHeight="1">
      <c r="A686" s="143"/>
      <c r="B686" s="144"/>
      <c r="E686" s="145"/>
      <c r="F686" s="146"/>
      <c r="N686" s="154"/>
    </row>
    <row r="687" spans="1:14" ht="14.25" customHeight="1">
      <c r="A687" s="143"/>
      <c r="B687" s="144"/>
      <c r="E687" s="145"/>
      <c r="F687" s="146"/>
      <c r="N687" s="154"/>
    </row>
    <row r="688" spans="1:14" ht="14.25" customHeight="1">
      <c r="A688" s="143"/>
      <c r="B688" s="144"/>
      <c r="E688" s="145"/>
      <c r="F688" s="146"/>
      <c r="N688" s="154"/>
    </row>
    <row r="689" spans="1:14" ht="14.25" customHeight="1">
      <c r="A689" s="143"/>
      <c r="B689" s="144"/>
      <c r="E689" s="145"/>
      <c r="F689" s="146"/>
      <c r="N689" s="154"/>
    </row>
    <row r="690" spans="1:14" ht="14.25" customHeight="1">
      <c r="A690" s="143"/>
      <c r="B690" s="144"/>
      <c r="E690" s="145"/>
      <c r="F690" s="146"/>
      <c r="N690" s="154"/>
    </row>
    <row r="691" spans="1:14" ht="14.25" customHeight="1">
      <c r="A691" s="143"/>
      <c r="B691" s="144"/>
      <c r="E691" s="145"/>
      <c r="F691" s="146"/>
      <c r="N691" s="154"/>
    </row>
    <row r="692" spans="1:14" ht="14.25" customHeight="1">
      <c r="A692" s="143"/>
      <c r="B692" s="144"/>
      <c r="E692" s="145"/>
      <c r="F692" s="146"/>
      <c r="N692" s="154"/>
    </row>
    <row r="693" spans="1:14" ht="14.25" customHeight="1">
      <c r="A693" s="143"/>
      <c r="B693" s="144"/>
      <c r="E693" s="145"/>
      <c r="F693" s="146"/>
      <c r="N693" s="154"/>
    </row>
    <row r="694" spans="1:14" ht="14.25" customHeight="1">
      <c r="A694" s="143"/>
      <c r="B694" s="144"/>
      <c r="E694" s="145"/>
      <c r="F694" s="146"/>
      <c r="N694" s="154"/>
    </row>
    <row r="695" spans="1:14" ht="14.25" customHeight="1">
      <c r="A695" s="143"/>
      <c r="B695" s="144"/>
      <c r="E695" s="145"/>
      <c r="F695" s="146"/>
      <c r="N695" s="154"/>
    </row>
    <row r="696" spans="1:14" ht="14.25" customHeight="1">
      <c r="A696" s="143"/>
      <c r="B696" s="144"/>
      <c r="E696" s="145"/>
      <c r="F696" s="146"/>
      <c r="N696" s="154"/>
    </row>
    <row r="697" spans="1:14" ht="14.25" customHeight="1">
      <c r="A697" s="143"/>
      <c r="B697" s="144"/>
      <c r="E697" s="145"/>
      <c r="F697" s="146"/>
      <c r="N697" s="154"/>
    </row>
    <row r="698" spans="1:14" ht="14.25" customHeight="1">
      <c r="A698" s="143"/>
      <c r="B698" s="144"/>
      <c r="E698" s="145"/>
      <c r="F698" s="146"/>
      <c r="N698" s="154"/>
    </row>
    <row r="699" spans="1:14" ht="14.25" customHeight="1">
      <c r="A699" s="143"/>
      <c r="B699" s="144"/>
      <c r="E699" s="145"/>
      <c r="F699" s="146"/>
      <c r="N699" s="154"/>
    </row>
    <row r="700" spans="1:14" ht="14.25" customHeight="1">
      <c r="A700" s="143"/>
      <c r="B700" s="144"/>
      <c r="E700" s="145"/>
      <c r="F700" s="146"/>
      <c r="N700" s="154"/>
    </row>
    <row r="701" spans="1:14" ht="14.25" customHeight="1">
      <c r="A701" s="143"/>
      <c r="B701" s="144"/>
      <c r="E701" s="145"/>
      <c r="F701" s="146"/>
      <c r="N701" s="154"/>
    </row>
    <row r="702" spans="1:14" ht="14.25" customHeight="1">
      <c r="A702" s="143"/>
      <c r="B702" s="144"/>
      <c r="E702" s="145"/>
      <c r="F702" s="146"/>
      <c r="N702" s="154"/>
    </row>
    <row r="703" spans="1:14" ht="14.25" customHeight="1">
      <c r="A703" s="143"/>
      <c r="B703" s="144"/>
      <c r="E703" s="145"/>
      <c r="F703" s="146"/>
      <c r="N703" s="154"/>
    </row>
    <row r="704" spans="1:14" ht="14.25" customHeight="1">
      <c r="A704" s="143"/>
      <c r="B704" s="144"/>
      <c r="E704" s="145"/>
      <c r="F704" s="146"/>
      <c r="N704" s="154"/>
    </row>
    <row r="705" spans="1:14" ht="14.25" customHeight="1">
      <c r="A705" s="143"/>
      <c r="B705" s="144"/>
      <c r="E705" s="145"/>
      <c r="F705" s="146"/>
      <c r="N705" s="154"/>
    </row>
    <row r="706" spans="1:14" ht="14.25" customHeight="1">
      <c r="A706" s="143"/>
      <c r="B706" s="144"/>
      <c r="E706" s="145"/>
      <c r="F706" s="146"/>
      <c r="N706" s="154"/>
    </row>
    <row r="707" spans="1:14" ht="14.25" customHeight="1">
      <c r="A707" s="143"/>
      <c r="B707" s="144"/>
      <c r="E707" s="145"/>
      <c r="F707" s="146"/>
      <c r="N707" s="154"/>
    </row>
    <row r="708" spans="1:14" ht="14.25" customHeight="1">
      <c r="A708" s="143"/>
      <c r="B708" s="144"/>
      <c r="E708" s="145"/>
      <c r="F708" s="146"/>
      <c r="N708" s="154"/>
    </row>
    <row r="709" spans="1:14" ht="14.25" customHeight="1">
      <c r="A709" s="143"/>
      <c r="B709" s="144"/>
      <c r="E709" s="145"/>
      <c r="F709" s="146"/>
      <c r="N709" s="154"/>
    </row>
    <row r="710" spans="1:14" ht="14.25" customHeight="1">
      <c r="A710" s="143"/>
      <c r="B710" s="144"/>
      <c r="E710" s="145"/>
      <c r="F710" s="146"/>
      <c r="N710" s="154"/>
    </row>
    <row r="711" spans="1:14" ht="14.25" customHeight="1">
      <c r="A711" s="143"/>
      <c r="B711" s="144"/>
      <c r="E711" s="145"/>
      <c r="F711" s="146"/>
      <c r="N711" s="154"/>
    </row>
    <row r="712" spans="1:14" ht="14.25" customHeight="1">
      <c r="A712" s="143"/>
      <c r="B712" s="144"/>
      <c r="E712" s="145"/>
      <c r="F712" s="146"/>
      <c r="N712" s="154"/>
    </row>
    <row r="713" spans="1:14" ht="14.25" customHeight="1">
      <c r="A713" s="143"/>
      <c r="B713" s="144"/>
      <c r="E713" s="145"/>
      <c r="F713" s="146"/>
      <c r="N713" s="154"/>
    </row>
    <row r="714" spans="1:14" ht="14.25" customHeight="1">
      <c r="A714" s="143"/>
      <c r="B714" s="144"/>
      <c r="E714" s="145"/>
      <c r="F714" s="146"/>
      <c r="N714" s="154"/>
    </row>
    <row r="715" spans="1:14" ht="14.25" customHeight="1">
      <c r="A715" s="143"/>
      <c r="B715" s="144"/>
      <c r="E715" s="145"/>
      <c r="F715" s="146"/>
      <c r="N715" s="154"/>
    </row>
    <row r="716" spans="1:14" ht="14.25" customHeight="1">
      <c r="A716" s="143"/>
      <c r="B716" s="144"/>
      <c r="E716" s="145"/>
      <c r="F716" s="146"/>
      <c r="N716" s="154"/>
    </row>
    <row r="717" spans="1:14" ht="14.25" customHeight="1">
      <c r="A717" s="143"/>
      <c r="B717" s="144"/>
      <c r="E717" s="145"/>
      <c r="F717" s="146"/>
      <c r="N717" s="154"/>
    </row>
    <row r="718" spans="1:14" ht="14.25" customHeight="1">
      <c r="A718" s="143"/>
      <c r="B718" s="144"/>
      <c r="E718" s="145"/>
      <c r="F718" s="146"/>
      <c r="N718" s="154"/>
    </row>
    <row r="719" spans="1:14" ht="14.25" customHeight="1">
      <c r="A719" s="143"/>
      <c r="B719" s="144"/>
      <c r="E719" s="145"/>
      <c r="F719" s="146"/>
      <c r="N719" s="154"/>
    </row>
    <row r="720" spans="1:14" ht="14.25" customHeight="1">
      <c r="A720" s="143"/>
      <c r="B720" s="144"/>
      <c r="E720" s="145"/>
      <c r="F720" s="146"/>
      <c r="N720" s="154"/>
    </row>
    <row r="721" spans="1:14" ht="14.25" customHeight="1">
      <c r="A721" s="143"/>
      <c r="B721" s="144"/>
      <c r="E721" s="145"/>
      <c r="F721" s="146"/>
      <c r="N721" s="154"/>
    </row>
    <row r="722" spans="1:14" ht="14.25" customHeight="1">
      <c r="A722" s="143"/>
      <c r="B722" s="144"/>
      <c r="E722" s="145"/>
      <c r="F722" s="146"/>
      <c r="N722" s="154"/>
    </row>
    <row r="723" spans="1:14" ht="14.25" customHeight="1">
      <c r="A723" s="143"/>
      <c r="B723" s="144"/>
      <c r="E723" s="145"/>
      <c r="F723" s="146"/>
      <c r="N723" s="154"/>
    </row>
    <row r="724" spans="1:14" ht="14.25" customHeight="1">
      <c r="A724" s="143"/>
      <c r="B724" s="144"/>
      <c r="E724" s="145"/>
      <c r="F724" s="146"/>
      <c r="N724" s="154"/>
    </row>
    <row r="725" spans="1:14" ht="14.25" customHeight="1">
      <c r="A725" s="143"/>
      <c r="B725" s="144"/>
      <c r="E725" s="145"/>
      <c r="F725" s="146"/>
      <c r="N725" s="154"/>
    </row>
    <row r="726" spans="1:14" ht="14.25" customHeight="1">
      <c r="A726" s="143"/>
      <c r="B726" s="144"/>
      <c r="E726" s="145"/>
      <c r="F726" s="146"/>
      <c r="N726" s="154"/>
    </row>
    <row r="727" spans="1:14" ht="14.25" customHeight="1">
      <c r="A727" s="143"/>
      <c r="B727" s="144"/>
      <c r="E727" s="145"/>
      <c r="F727" s="146"/>
      <c r="N727" s="154"/>
    </row>
    <row r="728" spans="1:14" ht="14.25" customHeight="1">
      <c r="A728" s="143"/>
      <c r="B728" s="144"/>
      <c r="E728" s="145"/>
      <c r="F728" s="146"/>
      <c r="N728" s="154"/>
    </row>
    <row r="729" spans="1:14" ht="14.25" customHeight="1">
      <c r="A729" s="143"/>
      <c r="B729" s="144"/>
      <c r="E729" s="145"/>
      <c r="F729" s="146"/>
      <c r="N729" s="154"/>
    </row>
    <row r="730" spans="1:14" ht="14.25" customHeight="1">
      <c r="A730" s="143"/>
      <c r="B730" s="144"/>
      <c r="E730" s="145"/>
      <c r="F730" s="146"/>
      <c r="N730" s="154"/>
    </row>
    <row r="731" spans="1:14" ht="14.25" customHeight="1">
      <c r="A731" s="143"/>
      <c r="B731" s="144"/>
      <c r="E731" s="145"/>
      <c r="F731" s="146"/>
      <c r="N731" s="154"/>
    </row>
    <row r="732" spans="1:14" ht="14.25" customHeight="1">
      <c r="A732" s="143"/>
      <c r="B732" s="144"/>
      <c r="E732" s="145"/>
      <c r="F732" s="146"/>
      <c r="N732" s="154"/>
    </row>
    <row r="733" spans="1:14" ht="14.25" customHeight="1">
      <c r="A733" s="143"/>
      <c r="B733" s="144"/>
      <c r="E733" s="145"/>
      <c r="F733" s="146"/>
      <c r="N733" s="154"/>
    </row>
    <row r="734" spans="1:14" ht="14.25" customHeight="1">
      <c r="A734" s="143"/>
      <c r="B734" s="144"/>
      <c r="E734" s="145"/>
      <c r="F734" s="146"/>
      <c r="N734" s="154"/>
    </row>
    <row r="735" spans="1:14" ht="14.25" customHeight="1">
      <c r="A735" s="143"/>
      <c r="B735" s="144"/>
      <c r="E735" s="145"/>
      <c r="F735" s="146"/>
      <c r="N735" s="154"/>
    </row>
    <row r="736" spans="1:14" ht="14.25" customHeight="1">
      <c r="A736" s="143"/>
      <c r="B736" s="144"/>
      <c r="E736" s="145"/>
      <c r="F736" s="146"/>
      <c r="N736" s="154"/>
    </row>
    <row r="737" spans="1:14" ht="14.25" customHeight="1">
      <c r="A737" s="143"/>
      <c r="B737" s="144"/>
      <c r="E737" s="145"/>
      <c r="F737" s="146"/>
      <c r="N737" s="154"/>
    </row>
    <row r="738" spans="1:14" ht="14.25" customHeight="1">
      <c r="A738" s="143"/>
      <c r="B738" s="144"/>
      <c r="E738" s="145"/>
      <c r="F738" s="146"/>
      <c r="N738" s="154"/>
    </row>
    <row r="739" spans="1:14" ht="14.25" customHeight="1">
      <c r="A739" s="143"/>
      <c r="B739" s="144"/>
      <c r="E739" s="145"/>
      <c r="F739" s="146"/>
      <c r="N739" s="154"/>
    </row>
    <row r="740" spans="1:14" ht="14.25" customHeight="1">
      <c r="A740" s="143"/>
      <c r="B740" s="144"/>
      <c r="E740" s="145"/>
      <c r="F740" s="146"/>
      <c r="N740" s="154"/>
    </row>
    <row r="741" spans="1:14" ht="14.25" customHeight="1">
      <c r="A741" s="143"/>
      <c r="B741" s="144"/>
      <c r="E741" s="145"/>
      <c r="F741" s="146"/>
      <c r="N741" s="154"/>
    </row>
    <row r="742" spans="1:14" ht="14.25" customHeight="1">
      <c r="A742" s="143"/>
      <c r="B742" s="144"/>
      <c r="E742" s="145"/>
      <c r="F742" s="146"/>
      <c r="N742" s="154"/>
    </row>
    <row r="743" spans="1:14" ht="14.25" customHeight="1">
      <c r="A743" s="143"/>
      <c r="B743" s="144"/>
      <c r="E743" s="145"/>
      <c r="F743" s="146"/>
      <c r="N743" s="154"/>
    </row>
    <row r="744" spans="1:14" ht="14.25" customHeight="1">
      <c r="A744" s="143"/>
      <c r="B744" s="144"/>
      <c r="E744" s="145"/>
      <c r="F744" s="146"/>
      <c r="N744" s="154"/>
    </row>
    <row r="745" spans="1:14" ht="14.25" customHeight="1">
      <c r="A745" s="143"/>
      <c r="B745" s="144"/>
      <c r="E745" s="145"/>
      <c r="F745" s="146"/>
      <c r="N745" s="154"/>
    </row>
    <row r="746" spans="1:14" ht="14.25" customHeight="1">
      <c r="A746" s="143"/>
      <c r="B746" s="144"/>
      <c r="E746" s="145"/>
      <c r="F746" s="146"/>
      <c r="N746" s="154"/>
    </row>
    <row r="747" spans="1:14" ht="14.25" customHeight="1">
      <c r="A747" s="143"/>
      <c r="B747" s="144"/>
      <c r="E747" s="145"/>
      <c r="F747" s="146"/>
      <c r="N747" s="154"/>
    </row>
    <row r="748" spans="1:14" ht="14.25" customHeight="1">
      <c r="A748" s="143"/>
      <c r="B748" s="144"/>
      <c r="E748" s="145"/>
      <c r="F748" s="146"/>
      <c r="N748" s="154"/>
    </row>
    <row r="749" spans="1:14" ht="14.25" customHeight="1">
      <c r="A749" s="143"/>
      <c r="B749" s="144"/>
      <c r="E749" s="145"/>
      <c r="F749" s="146"/>
      <c r="N749" s="154"/>
    </row>
    <row r="750" spans="1:14" ht="14.25" customHeight="1">
      <c r="A750" s="143"/>
      <c r="B750" s="144"/>
      <c r="E750" s="145"/>
      <c r="F750" s="146"/>
      <c r="N750" s="154"/>
    </row>
    <row r="751" spans="1:14" ht="14.25" customHeight="1">
      <c r="A751" s="143"/>
      <c r="B751" s="144"/>
      <c r="E751" s="145"/>
      <c r="F751" s="146"/>
      <c r="N751" s="154"/>
    </row>
    <row r="752" spans="1:14" ht="14.25" customHeight="1">
      <c r="A752" s="143"/>
      <c r="B752" s="144"/>
      <c r="E752" s="145"/>
      <c r="F752" s="146"/>
      <c r="N752" s="154"/>
    </row>
    <row r="753" spans="1:14" ht="14.25" customHeight="1">
      <c r="A753" s="143"/>
      <c r="B753" s="144"/>
      <c r="E753" s="145"/>
      <c r="F753" s="146"/>
      <c r="N753" s="154"/>
    </row>
    <row r="754" spans="1:14" ht="14.25" customHeight="1">
      <c r="A754" s="143"/>
      <c r="B754" s="144"/>
      <c r="E754" s="145"/>
      <c r="F754" s="146"/>
      <c r="N754" s="154"/>
    </row>
    <row r="755" spans="1:14" ht="14.25" customHeight="1">
      <c r="A755" s="143"/>
      <c r="B755" s="144"/>
      <c r="E755" s="145"/>
      <c r="F755" s="146"/>
      <c r="N755" s="154"/>
    </row>
    <row r="756" spans="1:14" ht="14.25" customHeight="1">
      <c r="A756" s="143"/>
      <c r="B756" s="144"/>
      <c r="E756" s="145"/>
      <c r="F756" s="146"/>
      <c r="N756" s="154"/>
    </row>
    <row r="757" spans="1:14" ht="14.25" customHeight="1">
      <c r="A757" s="143"/>
      <c r="B757" s="144"/>
      <c r="E757" s="145"/>
      <c r="F757" s="146"/>
      <c r="N757" s="154"/>
    </row>
    <row r="758" spans="1:14" ht="14.25" customHeight="1">
      <c r="A758" s="143"/>
      <c r="B758" s="144"/>
      <c r="E758" s="145"/>
      <c r="F758" s="146"/>
      <c r="N758" s="154"/>
    </row>
    <row r="759" spans="1:14" ht="14.25" customHeight="1">
      <c r="A759" s="143"/>
      <c r="B759" s="144"/>
      <c r="E759" s="145"/>
      <c r="F759" s="146"/>
      <c r="N759" s="154"/>
    </row>
    <row r="760" spans="1:14" ht="14.25" customHeight="1">
      <c r="A760" s="143"/>
      <c r="B760" s="144"/>
      <c r="E760" s="145"/>
      <c r="F760" s="146"/>
      <c r="N760" s="154"/>
    </row>
    <row r="761" spans="1:14" ht="14.25" customHeight="1">
      <c r="A761" s="143"/>
      <c r="B761" s="144"/>
      <c r="E761" s="145"/>
      <c r="F761" s="146"/>
      <c r="N761" s="154"/>
    </row>
    <row r="762" spans="1:14" ht="14.25" customHeight="1">
      <c r="A762" s="143"/>
      <c r="B762" s="144"/>
      <c r="E762" s="145"/>
      <c r="F762" s="146"/>
      <c r="N762" s="154"/>
    </row>
    <row r="763" spans="1:14" ht="14.25" customHeight="1">
      <c r="A763" s="143"/>
      <c r="B763" s="144"/>
      <c r="E763" s="145"/>
      <c r="F763" s="146"/>
      <c r="N763" s="154"/>
    </row>
    <row r="764" spans="1:14" ht="14.25" customHeight="1">
      <c r="A764" s="143"/>
      <c r="B764" s="144"/>
      <c r="E764" s="145"/>
      <c r="F764" s="146"/>
      <c r="N764" s="154"/>
    </row>
    <row r="765" spans="1:14" ht="14.25" customHeight="1">
      <c r="A765" s="143"/>
      <c r="B765" s="144"/>
      <c r="E765" s="145"/>
      <c r="F765" s="146"/>
      <c r="N765" s="154"/>
    </row>
    <row r="766" spans="1:14" ht="14.25" customHeight="1">
      <c r="A766" s="143"/>
      <c r="B766" s="144"/>
      <c r="E766" s="145"/>
      <c r="F766" s="146"/>
      <c r="N766" s="154"/>
    </row>
    <row r="767" spans="1:14" ht="14.25" customHeight="1">
      <c r="A767" s="143"/>
      <c r="B767" s="144"/>
      <c r="E767" s="145"/>
      <c r="F767" s="146"/>
      <c r="N767" s="154"/>
    </row>
    <row r="768" spans="1:14" ht="14.25" customHeight="1">
      <c r="A768" s="143"/>
      <c r="B768" s="144"/>
      <c r="E768" s="145"/>
      <c r="F768" s="146"/>
      <c r="N768" s="154"/>
    </row>
    <row r="769" spans="1:14" ht="14.25" customHeight="1">
      <c r="A769" s="143"/>
      <c r="B769" s="144"/>
      <c r="E769" s="145"/>
      <c r="F769" s="146"/>
      <c r="N769" s="154"/>
    </row>
    <row r="770" spans="1:14" ht="14.25" customHeight="1">
      <c r="A770" s="143"/>
      <c r="B770" s="144"/>
      <c r="E770" s="145"/>
      <c r="F770" s="146"/>
      <c r="N770" s="154"/>
    </row>
    <row r="771" spans="1:14" ht="14.25" customHeight="1">
      <c r="A771" s="143"/>
      <c r="B771" s="144"/>
      <c r="E771" s="145"/>
      <c r="F771" s="146"/>
      <c r="N771" s="154"/>
    </row>
    <row r="772" spans="1:14" ht="14.25" customHeight="1">
      <c r="A772" s="143"/>
      <c r="B772" s="144"/>
      <c r="E772" s="145"/>
      <c r="F772" s="146"/>
      <c r="N772" s="154"/>
    </row>
    <row r="773" spans="1:14" ht="14.25" customHeight="1">
      <c r="A773" s="143"/>
      <c r="B773" s="144"/>
      <c r="E773" s="145"/>
      <c r="F773" s="146"/>
      <c r="N773" s="154"/>
    </row>
    <row r="774" spans="1:14" ht="14.25" customHeight="1">
      <c r="A774" s="143"/>
      <c r="B774" s="144"/>
      <c r="E774" s="145"/>
      <c r="F774" s="146"/>
      <c r="N774" s="154"/>
    </row>
    <row r="775" spans="1:14" ht="14.25" customHeight="1">
      <c r="A775" s="143"/>
      <c r="B775" s="144"/>
      <c r="E775" s="145"/>
      <c r="F775" s="146"/>
      <c r="N775" s="154"/>
    </row>
    <row r="776" spans="1:14" ht="14.25" customHeight="1">
      <c r="A776" s="143"/>
      <c r="B776" s="144"/>
      <c r="E776" s="145"/>
      <c r="F776" s="146"/>
      <c r="N776" s="154"/>
    </row>
    <row r="777" spans="1:14" ht="14.25" customHeight="1">
      <c r="A777" s="143"/>
      <c r="B777" s="144"/>
      <c r="E777" s="145"/>
      <c r="F777" s="146"/>
      <c r="N777" s="154"/>
    </row>
    <row r="778" spans="1:14" ht="14.25" customHeight="1">
      <c r="A778" s="143"/>
      <c r="B778" s="144"/>
      <c r="E778" s="145"/>
      <c r="F778" s="146"/>
      <c r="N778" s="154"/>
    </row>
    <row r="779" spans="1:14" ht="14.25" customHeight="1">
      <c r="A779" s="143"/>
      <c r="B779" s="144"/>
      <c r="E779" s="145"/>
      <c r="F779" s="146"/>
      <c r="N779" s="154"/>
    </row>
    <row r="780" spans="1:14" ht="14.25" customHeight="1">
      <c r="A780" s="143"/>
      <c r="B780" s="144"/>
      <c r="E780" s="145"/>
      <c r="F780" s="146"/>
      <c r="N780" s="154"/>
    </row>
    <row r="781" spans="1:14" ht="14.25" customHeight="1">
      <c r="A781" s="143"/>
      <c r="B781" s="144"/>
      <c r="E781" s="145"/>
      <c r="F781" s="146"/>
      <c r="N781" s="154"/>
    </row>
    <row r="782" spans="1:14" ht="14.25" customHeight="1">
      <c r="A782" s="143"/>
      <c r="B782" s="144"/>
      <c r="E782" s="145"/>
      <c r="F782" s="146"/>
      <c r="N782" s="154"/>
    </row>
    <row r="783" spans="1:14" ht="14.25" customHeight="1">
      <c r="A783" s="143"/>
      <c r="B783" s="144"/>
      <c r="E783" s="145"/>
      <c r="F783" s="146"/>
      <c r="N783" s="154"/>
    </row>
    <row r="784" spans="1:14" ht="14.25" customHeight="1">
      <c r="A784" s="143"/>
      <c r="B784" s="144"/>
      <c r="E784" s="145"/>
      <c r="F784" s="146"/>
      <c r="N784" s="154"/>
    </row>
    <row r="785" spans="1:14" ht="14.25" customHeight="1">
      <c r="A785" s="143"/>
      <c r="B785" s="144"/>
      <c r="E785" s="145"/>
      <c r="F785" s="146"/>
      <c r="N785" s="154"/>
    </row>
    <row r="786" spans="1:14" ht="14.25" customHeight="1">
      <c r="A786" s="143"/>
      <c r="B786" s="144"/>
      <c r="E786" s="145"/>
      <c r="F786" s="146"/>
      <c r="N786" s="154"/>
    </row>
    <row r="787" spans="1:14" ht="14.25" customHeight="1">
      <c r="A787" s="143"/>
      <c r="B787" s="144"/>
      <c r="E787" s="145"/>
      <c r="F787" s="146"/>
      <c r="N787" s="154"/>
    </row>
    <row r="788" spans="1:14" ht="14.25" customHeight="1">
      <c r="A788" s="143"/>
      <c r="B788" s="144"/>
      <c r="E788" s="145"/>
      <c r="F788" s="146"/>
      <c r="N788" s="154"/>
    </row>
    <row r="789" spans="1:14" ht="14.25" customHeight="1">
      <c r="A789" s="143"/>
      <c r="B789" s="144"/>
      <c r="E789" s="145"/>
      <c r="F789" s="146"/>
      <c r="N789" s="154"/>
    </row>
    <row r="790" spans="1:14" ht="14.25" customHeight="1">
      <c r="A790" s="143"/>
      <c r="B790" s="144"/>
      <c r="E790" s="145"/>
      <c r="F790" s="146"/>
      <c r="N790" s="154"/>
    </row>
    <row r="791" spans="1:14" ht="14.25" customHeight="1">
      <c r="A791" s="143"/>
      <c r="B791" s="144"/>
      <c r="E791" s="145"/>
      <c r="F791" s="146"/>
      <c r="N791" s="154"/>
    </row>
    <row r="792" spans="1:14" ht="14.25" customHeight="1">
      <c r="A792" s="143"/>
      <c r="B792" s="144"/>
      <c r="E792" s="145"/>
      <c r="F792" s="146"/>
      <c r="N792" s="154"/>
    </row>
    <row r="793" spans="1:14" ht="14.25" customHeight="1">
      <c r="A793" s="143"/>
      <c r="B793" s="144"/>
      <c r="E793" s="145"/>
      <c r="F793" s="146"/>
      <c r="N793" s="154"/>
    </row>
    <row r="794" spans="1:14" ht="14.25" customHeight="1">
      <c r="A794" s="143"/>
      <c r="B794" s="144"/>
      <c r="E794" s="145"/>
      <c r="F794" s="146"/>
      <c r="N794" s="154"/>
    </row>
    <row r="795" spans="1:14" ht="14.25" customHeight="1">
      <c r="A795" s="143"/>
      <c r="B795" s="144"/>
      <c r="E795" s="145"/>
      <c r="F795" s="146"/>
      <c r="N795" s="154"/>
    </row>
    <row r="796" spans="1:14" ht="14.25" customHeight="1">
      <c r="A796" s="143"/>
      <c r="B796" s="144"/>
      <c r="E796" s="145"/>
      <c r="F796" s="146"/>
      <c r="N796" s="154"/>
    </row>
    <row r="797" spans="1:14" ht="14.25" customHeight="1">
      <c r="A797" s="143"/>
      <c r="B797" s="144"/>
      <c r="E797" s="145"/>
      <c r="F797" s="146"/>
      <c r="N797" s="154"/>
    </row>
    <row r="798" spans="1:14" ht="14.25" customHeight="1">
      <c r="A798" s="143"/>
      <c r="B798" s="144"/>
      <c r="E798" s="145"/>
      <c r="F798" s="146"/>
      <c r="N798" s="154"/>
    </row>
    <row r="799" spans="1:14" ht="14.25" customHeight="1">
      <c r="A799" s="143"/>
      <c r="B799" s="144"/>
      <c r="E799" s="145"/>
      <c r="F799" s="146"/>
      <c r="N799" s="154"/>
    </row>
    <row r="800" spans="1:14" ht="14.25" customHeight="1">
      <c r="A800" s="143"/>
      <c r="B800" s="144"/>
      <c r="E800" s="145"/>
      <c r="F800" s="146"/>
      <c r="N800" s="154"/>
    </row>
    <row r="801" spans="1:14" ht="14.25" customHeight="1">
      <c r="A801" s="143"/>
      <c r="B801" s="144"/>
      <c r="E801" s="145"/>
      <c r="F801" s="146"/>
      <c r="N801" s="154"/>
    </row>
    <row r="802" spans="1:14" ht="14.25" customHeight="1">
      <c r="A802" s="143"/>
      <c r="B802" s="144"/>
      <c r="E802" s="145"/>
      <c r="F802" s="146"/>
      <c r="N802" s="154"/>
    </row>
    <row r="803" spans="1:14" ht="14.25" customHeight="1">
      <c r="A803" s="143"/>
      <c r="B803" s="144"/>
      <c r="E803" s="145"/>
      <c r="F803" s="146"/>
      <c r="N803" s="154"/>
    </row>
    <row r="804" spans="1:14" ht="14.25" customHeight="1">
      <c r="A804" s="143"/>
      <c r="B804" s="144"/>
      <c r="E804" s="145"/>
      <c r="F804" s="146"/>
      <c r="N804" s="154"/>
    </row>
    <row r="805" spans="1:14" ht="14.25" customHeight="1">
      <c r="A805" s="143"/>
      <c r="B805" s="144"/>
      <c r="E805" s="145"/>
      <c r="F805" s="146"/>
      <c r="N805" s="154"/>
    </row>
    <row r="806" spans="1:14" ht="14.25" customHeight="1">
      <c r="A806" s="143"/>
      <c r="B806" s="144"/>
      <c r="E806" s="145"/>
      <c r="F806" s="146"/>
      <c r="N806" s="154"/>
    </row>
    <row r="807" spans="1:14" ht="14.25" customHeight="1">
      <c r="A807" s="143"/>
      <c r="B807" s="144"/>
      <c r="E807" s="145"/>
      <c r="F807" s="146"/>
      <c r="N807" s="154"/>
    </row>
    <row r="808" spans="1:14" ht="14.25" customHeight="1">
      <c r="A808" s="143"/>
      <c r="B808" s="144"/>
      <c r="E808" s="145"/>
      <c r="F808" s="146"/>
      <c r="N808" s="154"/>
    </row>
    <row r="809" spans="1:14" ht="14.25" customHeight="1">
      <c r="A809" s="143"/>
      <c r="B809" s="144"/>
      <c r="E809" s="145"/>
      <c r="F809" s="146"/>
      <c r="N809" s="154"/>
    </row>
    <row r="810" spans="1:14" ht="14.25" customHeight="1">
      <c r="A810" s="143"/>
      <c r="B810" s="144"/>
      <c r="E810" s="145"/>
      <c r="F810" s="146"/>
      <c r="N810" s="154"/>
    </row>
    <row r="811" spans="1:14" ht="14.25" customHeight="1">
      <c r="A811" s="143"/>
      <c r="B811" s="144"/>
      <c r="E811" s="145"/>
      <c r="F811" s="146"/>
      <c r="N811" s="154"/>
    </row>
    <row r="812" spans="1:14" ht="14.25" customHeight="1">
      <c r="A812" s="143"/>
      <c r="B812" s="144"/>
      <c r="E812" s="145"/>
      <c r="F812" s="146"/>
      <c r="N812" s="154"/>
    </row>
    <row r="813" spans="1:14" ht="14.25" customHeight="1">
      <c r="A813" s="143"/>
      <c r="B813" s="144"/>
      <c r="E813" s="145"/>
      <c r="F813" s="146"/>
      <c r="N813" s="154"/>
    </row>
    <row r="814" spans="1:14" ht="14.25" customHeight="1">
      <c r="A814" s="143"/>
      <c r="B814" s="144"/>
      <c r="E814" s="145"/>
      <c r="F814" s="146"/>
      <c r="N814" s="154"/>
    </row>
    <row r="815" spans="1:14" ht="14.25" customHeight="1">
      <c r="A815" s="143"/>
      <c r="B815" s="144"/>
      <c r="E815" s="145"/>
      <c r="F815" s="146"/>
      <c r="N815" s="154"/>
    </row>
    <row r="816" spans="1:14" ht="14.25" customHeight="1">
      <c r="A816" s="143"/>
      <c r="B816" s="144"/>
      <c r="E816" s="145"/>
      <c r="F816" s="146"/>
      <c r="N816" s="154"/>
    </row>
    <row r="817" spans="1:14" ht="14.25" customHeight="1">
      <c r="A817" s="143"/>
      <c r="B817" s="144"/>
      <c r="E817" s="145"/>
      <c r="F817" s="146"/>
      <c r="N817" s="154"/>
    </row>
    <row r="818" spans="1:14" ht="14.25" customHeight="1">
      <c r="A818" s="143"/>
      <c r="B818" s="144"/>
      <c r="E818" s="145"/>
      <c r="F818" s="146"/>
      <c r="N818" s="154"/>
    </row>
    <row r="819" spans="1:14" ht="14.25" customHeight="1">
      <c r="A819" s="143"/>
      <c r="B819" s="144"/>
      <c r="E819" s="145"/>
      <c r="F819" s="146"/>
      <c r="N819" s="154"/>
    </row>
    <row r="820" spans="1:14" ht="14.25" customHeight="1">
      <c r="A820" s="143"/>
      <c r="B820" s="144"/>
      <c r="E820" s="145"/>
      <c r="F820" s="146"/>
      <c r="N820" s="154"/>
    </row>
    <row r="821" spans="1:14" ht="14.25" customHeight="1">
      <c r="A821" s="143"/>
      <c r="B821" s="144"/>
      <c r="E821" s="145"/>
      <c r="F821" s="146"/>
      <c r="N821" s="154"/>
    </row>
    <row r="822" spans="1:14" ht="14.25" customHeight="1">
      <c r="A822" s="143"/>
      <c r="B822" s="144"/>
      <c r="E822" s="145"/>
      <c r="F822" s="146"/>
      <c r="N822" s="154"/>
    </row>
    <row r="823" spans="1:14" ht="14.25" customHeight="1">
      <c r="A823" s="143"/>
      <c r="B823" s="144"/>
      <c r="E823" s="145"/>
      <c r="F823" s="146"/>
      <c r="N823" s="154"/>
    </row>
    <row r="824" spans="1:14" ht="14.25" customHeight="1">
      <c r="A824" s="143"/>
      <c r="B824" s="144"/>
      <c r="E824" s="145"/>
      <c r="F824" s="146"/>
      <c r="N824" s="154"/>
    </row>
    <row r="825" spans="1:14" ht="14.25" customHeight="1">
      <c r="A825" s="143"/>
      <c r="B825" s="144"/>
      <c r="E825" s="145"/>
      <c r="F825" s="146"/>
      <c r="N825" s="154"/>
    </row>
    <row r="826" spans="1:14" ht="14.25" customHeight="1">
      <c r="A826" s="143"/>
      <c r="B826" s="144"/>
      <c r="E826" s="145"/>
      <c r="F826" s="146"/>
      <c r="N826" s="154"/>
    </row>
    <row r="827" spans="1:14" ht="14.25" customHeight="1">
      <c r="A827" s="143"/>
      <c r="B827" s="144"/>
      <c r="E827" s="145"/>
      <c r="F827" s="146"/>
      <c r="N827" s="154"/>
    </row>
    <row r="828" spans="1:14" ht="14.25" customHeight="1">
      <c r="A828" s="143"/>
      <c r="B828" s="144"/>
      <c r="E828" s="145"/>
      <c r="F828" s="146"/>
      <c r="N828" s="154"/>
    </row>
    <row r="829" spans="1:14" ht="14.25" customHeight="1">
      <c r="A829" s="143"/>
      <c r="B829" s="144"/>
      <c r="E829" s="145"/>
      <c r="F829" s="146"/>
      <c r="N829" s="154"/>
    </row>
    <row r="830" spans="1:14" ht="14.25" customHeight="1">
      <c r="A830" s="143"/>
      <c r="B830" s="144"/>
      <c r="E830" s="145"/>
      <c r="F830" s="146"/>
      <c r="N830" s="154"/>
    </row>
    <row r="831" spans="1:14" ht="14.25" customHeight="1">
      <c r="A831" s="143"/>
      <c r="B831" s="144"/>
      <c r="E831" s="145"/>
      <c r="F831" s="146"/>
      <c r="N831" s="154"/>
    </row>
    <row r="832" spans="1:14" ht="14.25" customHeight="1">
      <c r="A832" s="143"/>
      <c r="B832" s="144"/>
      <c r="E832" s="145"/>
      <c r="F832" s="146"/>
      <c r="N832" s="154"/>
    </row>
    <row r="833" spans="1:14" ht="14.25" customHeight="1">
      <c r="A833" s="143"/>
      <c r="B833" s="144"/>
      <c r="E833" s="145"/>
      <c r="F833" s="146"/>
      <c r="N833" s="154"/>
    </row>
    <row r="834" spans="1:14" ht="14.25" customHeight="1">
      <c r="A834" s="143"/>
      <c r="B834" s="144"/>
      <c r="E834" s="145"/>
      <c r="F834" s="146"/>
      <c r="N834" s="154"/>
    </row>
    <row r="835" spans="1:14" ht="14.25" customHeight="1">
      <c r="A835" s="143"/>
      <c r="B835" s="144"/>
      <c r="E835" s="145"/>
      <c r="F835" s="146"/>
      <c r="N835" s="154"/>
    </row>
    <row r="836" spans="1:14" ht="14.25" customHeight="1">
      <c r="A836" s="143"/>
      <c r="B836" s="144"/>
      <c r="E836" s="145"/>
      <c r="F836" s="146"/>
      <c r="N836" s="154"/>
    </row>
    <row r="837" spans="1:14" ht="14.25" customHeight="1">
      <c r="A837" s="143"/>
      <c r="B837" s="144"/>
      <c r="E837" s="145"/>
      <c r="F837" s="146"/>
      <c r="N837" s="154"/>
    </row>
    <row r="838" spans="1:14" ht="14.25" customHeight="1">
      <c r="A838" s="143"/>
      <c r="B838" s="144"/>
      <c r="E838" s="145"/>
      <c r="F838" s="146"/>
      <c r="N838" s="154"/>
    </row>
    <row r="839" spans="1:14" ht="14.25" customHeight="1">
      <c r="A839" s="143"/>
      <c r="B839" s="144"/>
      <c r="E839" s="145"/>
      <c r="F839" s="146"/>
      <c r="N839" s="154"/>
    </row>
    <row r="840" spans="1:14" ht="14.25" customHeight="1">
      <c r="A840" s="143"/>
      <c r="B840" s="144"/>
      <c r="E840" s="145"/>
      <c r="F840" s="146"/>
      <c r="N840" s="154"/>
    </row>
    <row r="841" spans="1:14" ht="14.25" customHeight="1">
      <c r="A841" s="143"/>
      <c r="B841" s="144"/>
      <c r="E841" s="145"/>
      <c r="F841" s="146"/>
      <c r="N841" s="154"/>
    </row>
    <row r="842" spans="1:14" ht="14.25" customHeight="1">
      <c r="A842" s="143"/>
      <c r="B842" s="144"/>
      <c r="E842" s="145"/>
      <c r="F842" s="146"/>
      <c r="N842" s="154"/>
    </row>
    <row r="843" spans="1:14" ht="14.25" customHeight="1">
      <c r="A843" s="143"/>
      <c r="B843" s="144"/>
      <c r="E843" s="145"/>
      <c r="F843" s="146"/>
      <c r="N843" s="154"/>
    </row>
    <row r="844" spans="1:14" ht="14.25" customHeight="1">
      <c r="A844" s="143"/>
      <c r="B844" s="144"/>
      <c r="E844" s="145"/>
      <c r="F844" s="146"/>
      <c r="N844" s="154"/>
    </row>
    <row r="845" spans="1:14" ht="14.25" customHeight="1">
      <c r="A845" s="143"/>
      <c r="B845" s="144"/>
      <c r="E845" s="145"/>
      <c r="F845" s="146"/>
      <c r="N845" s="154"/>
    </row>
    <row r="846" spans="1:14" ht="14.25" customHeight="1">
      <c r="A846" s="143"/>
      <c r="B846" s="144"/>
      <c r="E846" s="145"/>
      <c r="F846" s="146"/>
      <c r="N846" s="154"/>
    </row>
    <row r="847" spans="1:14" ht="14.25" customHeight="1">
      <c r="A847" s="143"/>
      <c r="B847" s="144"/>
      <c r="E847" s="145"/>
      <c r="F847" s="146"/>
      <c r="N847" s="154"/>
    </row>
    <row r="848" spans="1:14" ht="14.25" customHeight="1">
      <c r="A848" s="143"/>
      <c r="B848" s="144"/>
      <c r="E848" s="145"/>
      <c r="F848" s="146"/>
      <c r="N848" s="154"/>
    </row>
    <row r="849" spans="1:14" ht="14.25" customHeight="1">
      <c r="A849" s="143"/>
      <c r="B849" s="144"/>
      <c r="E849" s="145"/>
      <c r="F849" s="146"/>
      <c r="N849" s="154"/>
    </row>
    <row r="850" spans="1:14" ht="14.25" customHeight="1">
      <c r="A850" s="143"/>
      <c r="B850" s="144"/>
      <c r="E850" s="145"/>
      <c r="F850" s="146"/>
      <c r="N850" s="154"/>
    </row>
    <row r="851" spans="1:14" ht="14.25" customHeight="1">
      <c r="A851" s="143"/>
      <c r="B851" s="144"/>
      <c r="E851" s="145"/>
      <c r="F851" s="146"/>
      <c r="N851" s="154"/>
    </row>
    <row r="852" spans="1:14" ht="14.25" customHeight="1">
      <c r="A852" s="143"/>
      <c r="B852" s="144"/>
      <c r="E852" s="145"/>
      <c r="F852" s="146"/>
      <c r="N852" s="154"/>
    </row>
    <row r="853" spans="1:14" ht="14.25" customHeight="1">
      <c r="A853" s="143"/>
      <c r="B853" s="144"/>
      <c r="E853" s="145"/>
      <c r="F853" s="146"/>
      <c r="N853" s="154"/>
    </row>
    <row r="854" spans="1:14" ht="14.25" customHeight="1">
      <c r="A854" s="143"/>
      <c r="B854" s="144"/>
      <c r="E854" s="145"/>
      <c r="F854" s="146"/>
      <c r="N854" s="154"/>
    </row>
    <row r="855" spans="1:14" ht="14.25" customHeight="1">
      <c r="A855" s="143"/>
      <c r="B855" s="144"/>
      <c r="E855" s="145"/>
      <c r="F855" s="146"/>
      <c r="N855" s="154"/>
    </row>
    <row r="856" spans="1:14" ht="14.25" customHeight="1">
      <c r="A856" s="143"/>
      <c r="B856" s="144"/>
      <c r="E856" s="145"/>
      <c r="F856" s="146"/>
      <c r="N856" s="154"/>
    </row>
    <row r="857" spans="1:14" ht="14.25" customHeight="1">
      <c r="A857" s="143"/>
      <c r="B857" s="144"/>
      <c r="E857" s="145"/>
      <c r="F857" s="146"/>
      <c r="N857" s="154"/>
    </row>
    <row r="858" spans="1:14" ht="14.25" customHeight="1">
      <c r="A858" s="143"/>
      <c r="B858" s="144"/>
      <c r="E858" s="145"/>
      <c r="F858" s="146"/>
      <c r="N858" s="154"/>
    </row>
    <row r="859" spans="1:14" ht="14.25" customHeight="1">
      <c r="A859" s="143"/>
      <c r="B859" s="144"/>
      <c r="E859" s="145"/>
      <c r="F859" s="146"/>
      <c r="N859" s="154"/>
    </row>
    <row r="860" spans="1:14" ht="14.25" customHeight="1">
      <c r="A860" s="143"/>
      <c r="B860" s="144"/>
      <c r="E860" s="145"/>
      <c r="F860" s="146"/>
      <c r="N860" s="154"/>
    </row>
    <row r="861" spans="1:14" ht="14.25" customHeight="1">
      <c r="A861" s="143"/>
      <c r="B861" s="144"/>
      <c r="E861" s="145"/>
      <c r="F861" s="146"/>
      <c r="N861" s="154"/>
    </row>
    <row r="862" spans="1:14" ht="14.25" customHeight="1">
      <c r="A862" s="143"/>
      <c r="B862" s="144"/>
      <c r="E862" s="145"/>
      <c r="F862" s="146"/>
      <c r="N862" s="154"/>
    </row>
    <row r="863" spans="1:14" ht="14.25" customHeight="1">
      <c r="A863" s="143"/>
      <c r="B863" s="144"/>
      <c r="E863" s="145"/>
      <c r="F863" s="146"/>
      <c r="N863" s="154"/>
    </row>
    <row r="864" spans="1:14" ht="14.25" customHeight="1">
      <c r="A864" s="143"/>
      <c r="B864" s="144"/>
      <c r="E864" s="145"/>
      <c r="F864" s="146"/>
      <c r="N864" s="154"/>
    </row>
    <row r="865" spans="1:14" ht="14.25" customHeight="1">
      <c r="A865" s="143"/>
      <c r="B865" s="144"/>
      <c r="E865" s="145"/>
      <c r="F865" s="146"/>
      <c r="N865" s="154"/>
    </row>
    <row r="866" spans="1:14" ht="14.25" customHeight="1">
      <c r="A866" s="143"/>
      <c r="B866" s="144"/>
      <c r="E866" s="145"/>
      <c r="F866" s="146"/>
      <c r="N866" s="154"/>
    </row>
    <row r="867" spans="1:14" ht="14.25" customHeight="1">
      <c r="A867" s="143"/>
      <c r="B867" s="144"/>
      <c r="E867" s="145"/>
      <c r="F867" s="146"/>
      <c r="N867" s="154"/>
    </row>
    <row r="868" spans="1:14" ht="14.25" customHeight="1">
      <c r="A868" s="143"/>
      <c r="B868" s="144"/>
      <c r="E868" s="145"/>
      <c r="F868" s="146"/>
      <c r="N868" s="154"/>
    </row>
    <row r="869" spans="1:14" ht="14.25" customHeight="1">
      <c r="A869" s="143"/>
      <c r="B869" s="144"/>
      <c r="E869" s="145"/>
      <c r="F869" s="146"/>
      <c r="N869" s="154"/>
    </row>
    <row r="870" spans="1:14" ht="14.25" customHeight="1">
      <c r="A870" s="143"/>
      <c r="B870" s="144"/>
      <c r="E870" s="145"/>
      <c r="F870" s="146"/>
      <c r="N870" s="154"/>
    </row>
    <row r="871" spans="1:14" ht="14.25" customHeight="1">
      <c r="A871" s="143"/>
      <c r="B871" s="144"/>
      <c r="E871" s="145"/>
      <c r="F871" s="146"/>
      <c r="N871" s="154"/>
    </row>
    <row r="872" spans="1:14" ht="14.25" customHeight="1">
      <c r="A872" s="143"/>
      <c r="B872" s="144"/>
      <c r="E872" s="145"/>
      <c r="F872" s="146"/>
      <c r="N872" s="154"/>
    </row>
    <row r="873" spans="1:14" ht="14.25" customHeight="1">
      <c r="A873" s="143"/>
      <c r="B873" s="144"/>
      <c r="E873" s="145"/>
      <c r="F873" s="146"/>
      <c r="N873" s="154"/>
    </row>
    <row r="874" spans="1:14" ht="14.25" customHeight="1">
      <c r="A874" s="143"/>
      <c r="B874" s="144"/>
      <c r="E874" s="145"/>
      <c r="F874" s="146"/>
      <c r="N874" s="154"/>
    </row>
    <row r="875" spans="1:14" ht="14.25" customHeight="1">
      <c r="A875" s="143"/>
      <c r="B875" s="144"/>
      <c r="E875" s="145"/>
      <c r="F875" s="146"/>
      <c r="N875" s="154"/>
    </row>
    <row r="876" spans="1:14" ht="14.25" customHeight="1">
      <c r="A876" s="143"/>
      <c r="B876" s="144"/>
      <c r="E876" s="145"/>
      <c r="F876" s="146"/>
      <c r="N876" s="154"/>
    </row>
    <row r="877" spans="1:14" ht="14.25" customHeight="1">
      <c r="A877" s="143"/>
      <c r="B877" s="144"/>
      <c r="E877" s="145"/>
      <c r="F877" s="146"/>
      <c r="N877" s="154"/>
    </row>
    <row r="878" spans="1:14" ht="14.25" customHeight="1">
      <c r="A878" s="143"/>
      <c r="B878" s="144"/>
      <c r="E878" s="145"/>
      <c r="F878" s="146"/>
      <c r="N878" s="154"/>
    </row>
    <row r="879" spans="1:14" ht="14.25" customHeight="1">
      <c r="A879" s="143"/>
      <c r="B879" s="144"/>
      <c r="E879" s="145"/>
      <c r="F879" s="146"/>
      <c r="N879" s="154"/>
    </row>
    <row r="880" spans="1:14" ht="14.25" customHeight="1">
      <c r="A880" s="143"/>
      <c r="B880" s="144"/>
      <c r="E880" s="145"/>
      <c r="F880" s="146"/>
      <c r="N880" s="154"/>
    </row>
    <row r="881" spans="1:14" ht="14.25" customHeight="1">
      <c r="A881" s="143"/>
      <c r="B881" s="144"/>
      <c r="E881" s="145"/>
      <c r="F881" s="146"/>
      <c r="N881" s="154"/>
    </row>
    <row r="882" spans="1:14" ht="14.25" customHeight="1">
      <c r="A882" s="143"/>
      <c r="B882" s="144"/>
      <c r="E882" s="145"/>
      <c r="F882" s="146"/>
      <c r="N882" s="154"/>
    </row>
    <row r="883" spans="1:14" ht="14.25" customHeight="1">
      <c r="A883" s="143"/>
      <c r="B883" s="144"/>
      <c r="E883" s="145"/>
      <c r="F883" s="146"/>
      <c r="N883" s="154"/>
    </row>
    <row r="884" spans="1:14" ht="14.25" customHeight="1">
      <c r="A884" s="143"/>
      <c r="B884" s="144"/>
      <c r="E884" s="145"/>
      <c r="F884" s="146"/>
      <c r="N884" s="154"/>
    </row>
    <row r="885" spans="1:14" ht="14.25" customHeight="1">
      <c r="A885" s="143"/>
      <c r="B885" s="144"/>
      <c r="E885" s="145"/>
      <c r="F885" s="146"/>
      <c r="N885" s="154"/>
    </row>
    <row r="886" spans="1:14" ht="14.25" customHeight="1">
      <c r="A886" s="143"/>
      <c r="B886" s="144"/>
      <c r="E886" s="145"/>
      <c r="F886" s="146"/>
      <c r="N886" s="154"/>
    </row>
    <row r="887" spans="1:14" ht="14.25" customHeight="1">
      <c r="A887" s="143"/>
      <c r="B887" s="144"/>
      <c r="E887" s="145"/>
      <c r="F887" s="146"/>
      <c r="N887" s="154"/>
    </row>
    <row r="888" spans="1:14" ht="14.25" customHeight="1">
      <c r="A888" s="143"/>
      <c r="B888" s="144"/>
      <c r="E888" s="145"/>
      <c r="F888" s="146"/>
      <c r="N888" s="154"/>
    </row>
    <row r="889" spans="1:14" ht="14.25" customHeight="1">
      <c r="A889" s="143"/>
      <c r="B889" s="144"/>
      <c r="E889" s="145"/>
      <c r="F889" s="146"/>
      <c r="N889" s="154"/>
    </row>
    <row r="890" spans="1:14" ht="14.25" customHeight="1">
      <c r="A890" s="143"/>
      <c r="B890" s="144"/>
      <c r="E890" s="145"/>
      <c r="F890" s="146"/>
      <c r="N890" s="154"/>
    </row>
    <row r="891" spans="1:14" ht="14.25" customHeight="1">
      <c r="A891" s="143"/>
      <c r="B891" s="144"/>
      <c r="E891" s="145"/>
      <c r="F891" s="146"/>
      <c r="N891" s="154"/>
    </row>
    <row r="892" spans="1:14" ht="14.25" customHeight="1">
      <c r="A892" s="143"/>
      <c r="B892" s="144"/>
      <c r="E892" s="145"/>
      <c r="F892" s="146"/>
      <c r="N892" s="154"/>
    </row>
    <row r="893" spans="1:14" ht="14.25" customHeight="1">
      <c r="A893" s="143"/>
      <c r="B893" s="144"/>
      <c r="E893" s="145"/>
      <c r="F893" s="146"/>
      <c r="N893" s="154"/>
    </row>
    <row r="894" spans="1:14" ht="14.25" customHeight="1">
      <c r="A894" s="143"/>
      <c r="B894" s="144"/>
      <c r="E894" s="145"/>
      <c r="F894" s="146"/>
      <c r="N894" s="154"/>
    </row>
    <row r="895" spans="1:14" ht="14.25" customHeight="1">
      <c r="A895" s="143"/>
      <c r="B895" s="144"/>
      <c r="E895" s="145"/>
      <c r="F895" s="146"/>
      <c r="N895" s="154"/>
    </row>
    <row r="896" spans="1:14" ht="14.25" customHeight="1">
      <c r="A896" s="143"/>
      <c r="B896" s="144"/>
      <c r="E896" s="145"/>
      <c r="F896" s="146"/>
      <c r="N896" s="154"/>
    </row>
    <row r="897" spans="1:14" ht="14.25" customHeight="1">
      <c r="A897" s="143"/>
      <c r="B897" s="144"/>
      <c r="E897" s="145"/>
      <c r="F897" s="146"/>
      <c r="N897" s="154"/>
    </row>
    <row r="898" spans="1:14" ht="14.25" customHeight="1">
      <c r="A898" s="143"/>
      <c r="B898" s="144"/>
      <c r="E898" s="145"/>
      <c r="F898" s="146"/>
      <c r="N898" s="154"/>
    </row>
    <row r="899" spans="1:14" ht="14.25" customHeight="1">
      <c r="A899" s="143"/>
      <c r="B899" s="144"/>
      <c r="E899" s="145"/>
      <c r="F899" s="146"/>
      <c r="N899" s="154"/>
    </row>
    <row r="900" spans="1:14" ht="14.25" customHeight="1">
      <c r="A900" s="143"/>
      <c r="B900" s="144"/>
      <c r="E900" s="145"/>
      <c r="F900" s="146"/>
      <c r="N900" s="154"/>
    </row>
    <row r="901" spans="1:14" ht="14.25" customHeight="1">
      <c r="A901" s="143"/>
      <c r="B901" s="144"/>
      <c r="E901" s="145"/>
      <c r="F901" s="146"/>
      <c r="N901" s="154"/>
    </row>
    <row r="902" spans="1:14" ht="14.25" customHeight="1">
      <c r="A902" s="143"/>
      <c r="B902" s="144"/>
      <c r="E902" s="145"/>
      <c r="F902" s="146"/>
      <c r="N902" s="154"/>
    </row>
    <row r="903" spans="1:14" ht="14.25" customHeight="1">
      <c r="A903" s="143"/>
      <c r="B903" s="144"/>
      <c r="E903" s="145"/>
      <c r="F903" s="146"/>
      <c r="N903" s="154"/>
    </row>
    <row r="904" spans="1:14" ht="14.25" customHeight="1">
      <c r="A904" s="143"/>
      <c r="B904" s="144"/>
      <c r="E904" s="145"/>
      <c r="F904" s="146"/>
      <c r="N904" s="154"/>
    </row>
    <row r="905" spans="1:14" ht="14.25" customHeight="1">
      <c r="A905" s="143"/>
      <c r="B905" s="144"/>
      <c r="E905" s="145"/>
      <c r="F905" s="146"/>
      <c r="N905" s="154"/>
    </row>
    <row r="906" spans="1:14" ht="14.25" customHeight="1">
      <c r="A906" s="143"/>
      <c r="B906" s="144"/>
      <c r="E906" s="145"/>
      <c r="F906" s="146"/>
      <c r="N906" s="154"/>
    </row>
    <row r="907" spans="1:14" ht="14.25" customHeight="1">
      <c r="A907" s="143"/>
      <c r="B907" s="144"/>
      <c r="E907" s="145"/>
      <c r="F907" s="146"/>
      <c r="N907" s="154"/>
    </row>
    <row r="908" spans="1:14" ht="14.25" customHeight="1">
      <c r="A908" s="143"/>
      <c r="B908" s="144"/>
      <c r="E908" s="145"/>
      <c r="F908" s="146"/>
      <c r="N908" s="154"/>
    </row>
    <row r="909" spans="1:14" ht="14.25" customHeight="1">
      <c r="A909" s="143"/>
      <c r="B909" s="144"/>
      <c r="E909" s="145"/>
      <c r="F909" s="146"/>
      <c r="N909" s="154"/>
    </row>
    <row r="910" spans="1:14" ht="14.25" customHeight="1">
      <c r="A910" s="143"/>
      <c r="B910" s="144"/>
      <c r="E910" s="145"/>
      <c r="F910" s="146"/>
      <c r="N910" s="154"/>
    </row>
    <row r="911" spans="1:14" ht="14.25" customHeight="1">
      <c r="A911" s="143"/>
      <c r="B911" s="144"/>
      <c r="E911" s="145"/>
      <c r="F911" s="146"/>
      <c r="N911" s="154"/>
    </row>
    <row r="912" spans="1:14" ht="14.25" customHeight="1">
      <c r="A912" s="143"/>
      <c r="B912" s="144"/>
      <c r="E912" s="145"/>
      <c r="F912" s="146"/>
      <c r="N912" s="154"/>
    </row>
    <row r="913" spans="1:14" ht="14.25" customHeight="1">
      <c r="A913" s="143"/>
      <c r="B913" s="144"/>
      <c r="E913" s="145"/>
      <c r="F913" s="146"/>
      <c r="N913" s="154"/>
    </row>
    <row r="914" spans="1:14" ht="14.25" customHeight="1">
      <c r="A914" s="143"/>
      <c r="B914" s="144"/>
      <c r="E914" s="145"/>
      <c r="F914" s="146"/>
      <c r="N914" s="154"/>
    </row>
    <row r="915" spans="1:14" ht="14.25" customHeight="1">
      <c r="A915" s="143"/>
      <c r="B915" s="144"/>
      <c r="E915" s="145"/>
      <c r="F915" s="146"/>
      <c r="N915" s="154"/>
    </row>
    <row r="916" spans="1:14" ht="14.25" customHeight="1">
      <c r="A916" s="143"/>
      <c r="B916" s="144"/>
      <c r="E916" s="145"/>
      <c r="F916" s="146"/>
      <c r="N916" s="154"/>
    </row>
    <row r="917" spans="1:14" ht="14.25" customHeight="1">
      <c r="A917" s="143"/>
      <c r="B917" s="144"/>
      <c r="E917" s="145"/>
      <c r="F917" s="146"/>
      <c r="N917" s="154"/>
    </row>
    <row r="918" spans="1:14" ht="14.25" customHeight="1">
      <c r="A918" s="143"/>
      <c r="B918" s="144"/>
      <c r="E918" s="145"/>
      <c r="F918" s="146"/>
      <c r="N918" s="154"/>
    </row>
    <row r="919" spans="1:14" ht="14.25" customHeight="1">
      <c r="A919" s="143"/>
      <c r="B919" s="144"/>
      <c r="E919" s="145"/>
      <c r="F919" s="146"/>
      <c r="N919" s="154"/>
    </row>
    <row r="920" spans="1:14" ht="14.25" customHeight="1">
      <c r="A920" s="143"/>
      <c r="B920" s="144"/>
      <c r="E920" s="145"/>
      <c r="F920" s="146"/>
      <c r="N920" s="154"/>
    </row>
    <row r="921" spans="1:14" ht="14.25" customHeight="1">
      <c r="A921" s="143"/>
      <c r="B921" s="144"/>
      <c r="E921" s="145"/>
      <c r="F921" s="146"/>
      <c r="N921" s="154"/>
    </row>
    <row r="922" spans="1:14" ht="14.25" customHeight="1">
      <c r="A922" s="143"/>
      <c r="B922" s="144"/>
      <c r="E922" s="145"/>
      <c r="F922" s="146"/>
      <c r="N922" s="154"/>
    </row>
    <row r="923" spans="1:14" ht="14.25" customHeight="1">
      <c r="A923" s="143"/>
      <c r="B923" s="144"/>
      <c r="E923" s="145"/>
      <c r="F923" s="146"/>
      <c r="N923" s="154"/>
    </row>
    <row r="924" spans="1:14" ht="14.25" customHeight="1">
      <c r="A924" s="143"/>
      <c r="B924" s="144"/>
      <c r="E924" s="145"/>
      <c r="F924" s="146"/>
      <c r="N924" s="154"/>
    </row>
    <row r="925" spans="1:14" ht="14.25" customHeight="1">
      <c r="A925" s="143"/>
      <c r="B925" s="144"/>
      <c r="E925" s="145"/>
      <c r="F925" s="146"/>
      <c r="N925" s="154"/>
    </row>
    <row r="926" spans="1:14" ht="14.25" customHeight="1">
      <c r="A926" s="143"/>
      <c r="B926" s="144"/>
      <c r="E926" s="145"/>
      <c r="F926" s="146"/>
      <c r="N926" s="154"/>
    </row>
    <row r="927" spans="1:14" ht="14.25" customHeight="1">
      <c r="A927" s="143"/>
      <c r="B927" s="144"/>
      <c r="E927" s="145"/>
      <c r="F927" s="146"/>
      <c r="N927" s="154"/>
    </row>
    <row r="928" spans="1:14" ht="14.25" customHeight="1">
      <c r="A928" s="143"/>
      <c r="B928" s="144"/>
      <c r="E928" s="145"/>
      <c r="F928" s="146"/>
      <c r="N928" s="154"/>
    </row>
    <row r="929" spans="1:14" ht="14.25" customHeight="1">
      <c r="A929" s="143"/>
      <c r="B929" s="144"/>
      <c r="E929" s="145"/>
      <c r="F929" s="146"/>
      <c r="N929" s="154"/>
    </row>
    <row r="930" spans="1:14" ht="14.25" customHeight="1">
      <c r="A930" s="143"/>
      <c r="B930" s="144"/>
      <c r="E930" s="145"/>
      <c r="F930" s="146"/>
      <c r="N930" s="154"/>
    </row>
    <row r="931" spans="1:14" ht="14.25" customHeight="1">
      <c r="A931" s="143"/>
      <c r="B931" s="144"/>
      <c r="E931" s="145"/>
      <c r="F931" s="146"/>
      <c r="N931" s="154"/>
    </row>
    <row r="932" spans="1:14" ht="14.25" customHeight="1">
      <c r="A932" s="143"/>
      <c r="B932" s="144"/>
      <c r="E932" s="145"/>
      <c r="F932" s="146"/>
      <c r="N932" s="154"/>
    </row>
    <row r="933" spans="1:14" ht="14.25" customHeight="1">
      <c r="A933" s="143"/>
      <c r="B933" s="144"/>
      <c r="E933" s="145"/>
      <c r="F933" s="146"/>
      <c r="N933" s="154"/>
    </row>
    <row r="934" spans="1:14" ht="14.25" customHeight="1">
      <c r="A934" s="143"/>
      <c r="B934" s="144"/>
      <c r="E934" s="145"/>
      <c r="F934" s="146"/>
      <c r="N934" s="154"/>
    </row>
    <row r="935" spans="1:14" ht="14.25" customHeight="1">
      <c r="A935" s="143"/>
      <c r="B935" s="144"/>
      <c r="E935" s="145"/>
      <c r="F935" s="146"/>
      <c r="N935" s="154"/>
    </row>
    <row r="936" spans="1:14" ht="14.25" customHeight="1">
      <c r="A936" s="143"/>
      <c r="B936" s="144"/>
      <c r="E936" s="145"/>
      <c r="F936" s="146"/>
      <c r="N936" s="154"/>
    </row>
    <row r="937" spans="1:14" ht="14.25" customHeight="1">
      <c r="A937" s="143"/>
      <c r="B937" s="144"/>
      <c r="E937" s="145"/>
      <c r="F937" s="146"/>
      <c r="N937" s="154"/>
    </row>
    <row r="938" spans="1:14" ht="14.25" customHeight="1">
      <c r="A938" s="143"/>
      <c r="B938" s="144"/>
      <c r="E938" s="145"/>
      <c r="F938" s="146"/>
      <c r="N938" s="154"/>
    </row>
    <row r="939" spans="1:14" ht="14.25" customHeight="1">
      <c r="A939" s="143"/>
      <c r="B939" s="144"/>
      <c r="E939" s="145"/>
      <c r="F939" s="146"/>
      <c r="N939" s="154"/>
    </row>
    <row r="940" spans="1:14" ht="14.25" customHeight="1">
      <c r="A940" s="143"/>
      <c r="B940" s="144"/>
      <c r="E940" s="145"/>
      <c r="F940" s="146"/>
      <c r="N940" s="154"/>
    </row>
    <row r="941" spans="1:14" ht="14.25" customHeight="1">
      <c r="A941" s="143"/>
      <c r="B941" s="144"/>
      <c r="E941" s="145"/>
      <c r="F941" s="146"/>
      <c r="N941" s="154"/>
    </row>
    <row r="942" spans="1:14" ht="14.25" customHeight="1">
      <c r="A942" s="143"/>
      <c r="B942" s="144"/>
      <c r="E942" s="145"/>
      <c r="F942" s="146"/>
      <c r="N942" s="154"/>
    </row>
    <row r="943" spans="1:14" ht="14.25" customHeight="1">
      <c r="A943" s="143"/>
      <c r="B943" s="144"/>
      <c r="E943" s="145"/>
      <c r="F943" s="146"/>
      <c r="N943" s="154"/>
    </row>
    <row r="944" spans="1:14" ht="14.25" customHeight="1">
      <c r="A944" s="143"/>
      <c r="B944" s="144"/>
      <c r="E944" s="145"/>
      <c r="F944" s="146"/>
      <c r="N944" s="154"/>
    </row>
    <row r="945" spans="1:14" ht="14.25" customHeight="1">
      <c r="A945" s="143"/>
      <c r="B945" s="144"/>
      <c r="E945" s="145"/>
      <c r="F945" s="146"/>
      <c r="N945" s="154"/>
    </row>
    <row r="946" spans="1:14" ht="14.25" customHeight="1">
      <c r="A946" s="143"/>
      <c r="B946" s="144"/>
      <c r="E946" s="145"/>
      <c r="F946" s="146"/>
      <c r="N946" s="154"/>
    </row>
    <row r="947" spans="1:14" ht="14.25" customHeight="1">
      <c r="A947" s="143"/>
      <c r="B947" s="144"/>
      <c r="E947" s="145"/>
      <c r="F947" s="146"/>
      <c r="N947" s="154"/>
    </row>
    <row r="948" spans="1:14" ht="14.25" customHeight="1">
      <c r="A948" s="143"/>
      <c r="B948" s="144"/>
      <c r="E948" s="145"/>
      <c r="F948" s="146"/>
      <c r="N948" s="154"/>
    </row>
    <row r="949" spans="1:14" ht="14.25" customHeight="1">
      <c r="A949" s="143"/>
      <c r="B949" s="144"/>
      <c r="E949" s="145"/>
      <c r="F949" s="146"/>
      <c r="N949" s="154"/>
    </row>
    <row r="950" spans="1:14" ht="14.25" customHeight="1">
      <c r="A950" s="143"/>
      <c r="B950" s="144"/>
      <c r="E950" s="145"/>
      <c r="F950" s="146"/>
      <c r="N950" s="154"/>
    </row>
    <row r="951" spans="1:14" ht="14.25" customHeight="1">
      <c r="A951" s="143"/>
      <c r="B951" s="144"/>
      <c r="E951" s="145"/>
      <c r="F951" s="146"/>
      <c r="N951" s="154"/>
    </row>
    <row r="952" spans="1:14" ht="14.25" customHeight="1">
      <c r="A952" s="143"/>
      <c r="B952" s="144"/>
      <c r="E952" s="145"/>
      <c r="F952" s="146"/>
      <c r="N952" s="154"/>
    </row>
    <row r="953" spans="1:14" ht="14.25" customHeight="1">
      <c r="A953" s="143"/>
      <c r="B953" s="144"/>
      <c r="E953" s="145"/>
      <c r="F953" s="146"/>
      <c r="N953" s="154"/>
    </row>
    <row r="954" spans="1:14" ht="14.25" customHeight="1">
      <c r="A954" s="143"/>
      <c r="B954" s="144"/>
      <c r="E954" s="145"/>
      <c r="F954" s="146"/>
      <c r="N954" s="154"/>
    </row>
    <row r="955" spans="1:14" ht="14.25" customHeight="1">
      <c r="A955" s="143"/>
      <c r="B955" s="144"/>
      <c r="E955" s="145"/>
      <c r="F955" s="146"/>
      <c r="N955" s="154"/>
    </row>
    <row r="956" spans="1:14" ht="14.25" customHeight="1">
      <c r="A956" s="143"/>
      <c r="B956" s="144"/>
      <c r="E956" s="145"/>
      <c r="F956" s="146"/>
      <c r="N956" s="154"/>
    </row>
    <row r="957" spans="1:14" ht="14.25" customHeight="1">
      <c r="A957" s="143"/>
      <c r="B957" s="144"/>
      <c r="E957" s="145"/>
      <c r="F957" s="146"/>
      <c r="N957" s="154"/>
    </row>
    <row r="958" spans="1:14" ht="14.25" customHeight="1">
      <c r="A958" s="143"/>
      <c r="B958" s="144"/>
      <c r="E958" s="145"/>
      <c r="F958" s="146"/>
      <c r="N958" s="154"/>
    </row>
    <row r="959" spans="1:14" ht="14.25" customHeight="1">
      <c r="A959" s="143"/>
      <c r="B959" s="144"/>
      <c r="E959" s="145"/>
      <c r="F959" s="146"/>
      <c r="N959" s="154"/>
    </row>
    <row r="960" spans="1:14" ht="14.25" customHeight="1">
      <c r="A960" s="143"/>
      <c r="B960" s="144"/>
      <c r="E960" s="145"/>
      <c r="F960" s="146"/>
      <c r="N960" s="154"/>
    </row>
    <row r="961" spans="1:14" ht="14.25" customHeight="1">
      <c r="A961" s="143"/>
      <c r="B961" s="144"/>
      <c r="E961" s="145"/>
      <c r="F961" s="146"/>
      <c r="N961" s="154"/>
    </row>
    <row r="962" spans="1:14" ht="14.25" customHeight="1">
      <c r="A962" s="143"/>
      <c r="B962" s="144"/>
      <c r="E962" s="145"/>
      <c r="F962" s="146"/>
      <c r="N962" s="154"/>
    </row>
    <row r="963" spans="1:14" ht="14.25" customHeight="1">
      <c r="A963" s="143"/>
      <c r="B963" s="144"/>
      <c r="E963" s="145"/>
      <c r="F963" s="146"/>
      <c r="N963" s="154"/>
    </row>
    <row r="964" spans="1:14" ht="14.25" customHeight="1">
      <c r="A964" s="143"/>
      <c r="B964" s="144"/>
      <c r="E964" s="145"/>
      <c r="F964" s="146"/>
      <c r="N964" s="154"/>
    </row>
    <row r="965" spans="1:14" ht="14.25" customHeight="1">
      <c r="A965" s="143"/>
      <c r="B965" s="144"/>
      <c r="E965" s="145"/>
      <c r="F965" s="146"/>
      <c r="N965" s="154"/>
    </row>
    <row r="966" spans="1:14" ht="14.25" customHeight="1">
      <c r="A966" s="143"/>
      <c r="B966" s="144"/>
      <c r="E966" s="145"/>
      <c r="F966" s="146"/>
      <c r="N966" s="154"/>
    </row>
    <row r="967" spans="1:14" ht="14.25" customHeight="1">
      <c r="A967" s="143"/>
      <c r="B967" s="144"/>
      <c r="E967" s="145"/>
      <c r="F967" s="146"/>
      <c r="N967" s="154"/>
    </row>
    <row r="968" spans="1:14" ht="14.25" customHeight="1">
      <c r="A968" s="143"/>
      <c r="B968" s="144"/>
      <c r="E968" s="145"/>
      <c r="F968" s="146"/>
      <c r="N968" s="154"/>
    </row>
    <row r="969" spans="1:14" ht="14.25" customHeight="1">
      <c r="A969" s="143"/>
      <c r="B969" s="144"/>
      <c r="E969" s="145"/>
      <c r="F969" s="146"/>
      <c r="N969" s="154"/>
    </row>
    <row r="970" spans="1:14" ht="14.25" customHeight="1">
      <c r="A970" s="143"/>
      <c r="B970" s="144"/>
      <c r="E970" s="145"/>
      <c r="F970" s="146"/>
      <c r="N970" s="154"/>
    </row>
    <row r="971" spans="1:14" ht="14.25" customHeight="1">
      <c r="A971" s="143"/>
      <c r="B971" s="144"/>
      <c r="E971" s="145"/>
      <c r="F971" s="146"/>
      <c r="N971" s="154"/>
    </row>
    <row r="972" spans="1:14" ht="14.25" customHeight="1">
      <c r="A972" s="143"/>
      <c r="B972" s="144"/>
      <c r="E972" s="145"/>
      <c r="F972" s="146"/>
      <c r="N972" s="154"/>
    </row>
    <row r="973" spans="1:14" ht="14.25" customHeight="1">
      <c r="A973" s="143"/>
      <c r="B973" s="144"/>
      <c r="E973" s="145"/>
      <c r="F973" s="146"/>
      <c r="N973" s="154"/>
    </row>
    <row r="974" spans="1:14" ht="14.25" customHeight="1">
      <c r="A974" s="143"/>
      <c r="B974" s="144"/>
      <c r="E974" s="145"/>
      <c r="F974" s="146"/>
      <c r="N974" s="154"/>
    </row>
    <row r="975" spans="1:14" ht="14.25" customHeight="1">
      <c r="A975" s="143"/>
      <c r="B975" s="144"/>
      <c r="E975" s="145"/>
      <c r="F975" s="146"/>
      <c r="N975" s="154"/>
    </row>
    <row r="976" spans="1:14" ht="14.25" customHeight="1">
      <c r="A976" s="143"/>
      <c r="B976" s="144"/>
      <c r="E976" s="145"/>
      <c r="F976" s="146"/>
      <c r="N976" s="154"/>
    </row>
    <row r="977" spans="1:14" ht="14.25" customHeight="1">
      <c r="A977" s="143"/>
      <c r="B977" s="144"/>
      <c r="E977" s="145"/>
      <c r="F977" s="146"/>
      <c r="N977" s="154"/>
    </row>
    <row r="978" spans="1:14" ht="14.25" customHeight="1">
      <c r="A978" s="143"/>
      <c r="B978" s="144"/>
      <c r="E978" s="145"/>
      <c r="F978" s="146"/>
      <c r="N978" s="154"/>
    </row>
  </sheetData>
  <mergeCells count="22">
    <mergeCell ref="A1:H1"/>
    <mergeCell ref="I1:K1"/>
    <mergeCell ref="L1:M1"/>
    <mergeCell ref="A4:A9"/>
    <mergeCell ref="B4:B9"/>
    <mergeCell ref="A22:A25"/>
    <mergeCell ref="A26:A29"/>
    <mergeCell ref="A30:A35"/>
    <mergeCell ref="B115:E115"/>
    <mergeCell ref="B116:E116"/>
    <mergeCell ref="A10:A13"/>
    <mergeCell ref="B10:B13"/>
    <mergeCell ref="A14:A17"/>
    <mergeCell ref="B14:B17"/>
    <mergeCell ref="A18:A21"/>
    <mergeCell ref="B18:B21"/>
    <mergeCell ref="B22:B25"/>
    <mergeCell ref="A37:A39"/>
    <mergeCell ref="A43:A48"/>
    <mergeCell ref="B26:B29"/>
    <mergeCell ref="B30:B35"/>
    <mergeCell ref="B114:E114"/>
  </mergeCells>
  <phoneticPr fontId="55" type="noConversion"/>
  <conditionalFormatting sqref="M2:M978 AD24:AD25">
    <cfRule type="cellIs" dxfId="10" priority="1" operator="lessThanOrEqual">
      <formula>0</formula>
    </cfRule>
  </conditionalFormatting>
  <conditionalFormatting sqref="M5:M108 AD24:AD25">
    <cfRule type="cellIs" dxfId="9" priority="2" operator="lessThan">
      <formula>0</formula>
    </cfRule>
  </conditionalFormatting>
  <hyperlinks>
    <hyperlink ref="C109" r:id="rId1"/>
    <hyperlink ref="C110" r:id="rId2"/>
    <hyperlink ref="C111" r:id="rId3"/>
    <hyperlink ref="C112" r:id="rId4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33"/>
  <sheetViews>
    <sheetView workbookViewId="0"/>
  </sheetViews>
  <sheetFormatPr defaultColWidth="10.109375" defaultRowHeight="15" customHeight="1"/>
  <cols>
    <col min="1" max="2" width="29.44140625" customWidth="1"/>
    <col min="3" max="3" width="10" customWidth="1"/>
    <col min="4" max="4" width="8" customWidth="1"/>
    <col min="5" max="5" width="11.44140625" customWidth="1"/>
  </cols>
  <sheetData>
    <row r="1" spans="1:19" ht="15" customHeight="1">
      <c r="A1" s="277" t="s">
        <v>136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</row>
    <row r="2" spans="1:19" ht="19.5">
      <c r="A2" s="42"/>
      <c r="B2" s="28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</row>
    <row r="3" spans="1:19" ht="15" customHeight="1">
      <c r="A3" s="155" t="s">
        <v>70</v>
      </c>
      <c r="B3" s="156" t="s">
        <v>72</v>
      </c>
      <c r="C3" s="157" t="s">
        <v>137</v>
      </c>
      <c r="D3" s="158" t="s">
        <v>74</v>
      </c>
      <c r="E3" s="159" t="s">
        <v>138</v>
      </c>
      <c r="F3" s="159" t="s">
        <v>139</v>
      </c>
      <c r="G3" s="160" t="s">
        <v>76</v>
      </c>
      <c r="H3" s="161" t="s">
        <v>77</v>
      </c>
      <c r="I3" s="161" t="s">
        <v>78</v>
      </c>
      <c r="J3" s="162" t="s">
        <v>57</v>
      </c>
      <c r="K3" s="163" t="s">
        <v>140</v>
      </c>
      <c r="L3" s="163" t="s">
        <v>141</v>
      </c>
      <c r="M3" s="163" t="s">
        <v>142</v>
      </c>
      <c r="N3" s="164" t="s">
        <v>81</v>
      </c>
      <c r="O3" s="164" t="s">
        <v>82</v>
      </c>
      <c r="P3" s="165" t="s">
        <v>83</v>
      </c>
      <c r="Q3" s="165" t="s">
        <v>84</v>
      </c>
      <c r="R3" s="166"/>
      <c r="S3" s="166"/>
    </row>
    <row r="4" spans="1:19" ht="15" customHeight="1">
      <c r="A4" s="297" t="s">
        <v>132</v>
      </c>
      <c r="B4" s="167" t="s">
        <v>89</v>
      </c>
      <c r="D4" s="58">
        <v>140</v>
      </c>
    </row>
    <row r="5" spans="1:19" ht="15" customHeight="1">
      <c r="A5" s="295"/>
      <c r="B5" s="168" t="s">
        <v>90</v>
      </c>
      <c r="D5" s="58">
        <v>140</v>
      </c>
    </row>
    <row r="6" spans="1:19" ht="15" customHeight="1">
      <c r="A6" s="295"/>
      <c r="B6" s="168" t="s">
        <v>91</v>
      </c>
      <c r="D6" s="58">
        <v>140</v>
      </c>
    </row>
    <row r="7" spans="1:19" ht="15" customHeight="1">
      <c r="A7" s="295"/>
      <c r="B7" s="168" t="s">
        <v>92</v>
      </c>
      <c r="D7" s="58">
        <v>140</v>
      </c>
    </row>
    <row r="8" spans="1:19" ht="15" customHeight="1">
      <c r="A8" s="295"/>
      <c r="B8" s="168" t="s">
        <v>93</v>
      </c>
      <c r="D8" s="58">
        <v>140</v>
      </c>
    </row>
    <row r="9" spans="1:19" ht="15" customHeight="1">
      <c r="A9" s="296"/>
      <c r="B9" s="167" t="s">
        <v>94</v>
      </c>
      <c r="D9" s="58">
        <v>140</v>
      </c>
    </row>
    <row r="10" spans="1:19" ht="15" customHeight="1">
      <c r="A10" s="297" t="s">
        <v>100</v>
      </c>
      <c r="B10" s="167" t="s">
        <v>89</v>
      </c>
    </row>
    <row r="11" spans="1:19" ht="15" customHeight="1">
      <c r="A11" s="295"/>
      <c r="B11" s="168" t="s">
        <v>90</v>
      </c>
    </row>
    <row r="12" spans="1:19" ht="15" customHeight="1">
      <c r="A12" s="295"/>
      <c r="B12" s="168" t="s">
        <v>91</v>
      </c>
    </row>
    <row r="13" spans="1:19" ht="15" customHeight="1">
      <c r="A13" s="296"/>
      <c r="B13" s="168" t="s">
        <v>92</v>
      </c>
    </row>
    <row r="14" spans="1:19" ht="15" customHeight="1">
      <c r="A14" s="294" t="s">
        <v>96</v>
      </c>
      <c r="B14" s="167" t="s">
        <v>89</v>
      </c>
    </row>
    <row r="15" spans="1:19" ht="15" customHeight="1">
      <c r="A15" s="295"/>
      <c r="B15" s="168" t="s">
        <v>90</v>
      </c>
    </row>
    <row r="16" spans="1:19" ht="15" customHeight="1">
      <c r="A16" s="295"/>
      <c r="B16" s="168" t="s">
        <v>91</v>
      </c>
    </row>
    <row r="17" spans="1:2" ht="15" customHeight="1">
      <c r="A17" s="296"/>
      <c r="B17" s="168" t="s">
        <v>92</v>
      </c>
    </row>
    <row r="18" spans="1:2" ht="15" customHeight="1">
      <c r="A18" s="294" t="s">
        <v>133</v>
      </c>
      <c r="B18" s="167" t="s">
        <v>89</v>
      </c>
    </row>
    <row r="19" spans="1:2" ht="15" customHeight="1">
      <c r="A19" s="295"/>
      <c r="B19" s="168" t="s">
        <v>90</v>
      </c>
    </row>
    <row r="20" spans="1:2" ht="15" customHeight="1">
      <c r="A20" s="295"/>
      <c r="B20" s="168" t="s">
        <v>91</v>
      </c>
    </row>
    <row r="21" spans="1:2" ht="15" customHeight="1">
      <c r="A21" s="296"/>
      <c r="B21" s="168" t="s">
        <v>92</v>
      </c>
    </row>
    <row r="22" spans="1:2" ht="15" customHeight="1">
      <c r="A22" s="294" t="s">
        <v>102</v>
      </c>
      <c r="B22" s="167" t="s">
        <v>89</v>
      </c>
    </row>
    <row r="23" spans="1:2" ht="15" customHeight="1">
      <c r="A23" s="295"/>
      <c r="B23" s="168" t="s">
        <v>90</v>
      </c>
    </row>
    <row r="24" spans="1:2" ht="15" customHeight="1">
      <c r="A24" s="295"/>
      <c r="B24" s="168" t="s">
        <v>91</v>
      </c>
    </row>
    <row r="25" spans="1:2" ht="15" customHeight="1">
      <c r="A25" s="295"/>
      <c r="B25" s="168" t="s">
        <v>92</v>
      </c>
    </row>
    <row r="26" spans="1:2" ht="15" customHeight="1">
      <c r="A26" s="295"/>
      <c r="B26" s="169" t="s">
        <v>104</v>
      </c>
    </row>
    <row r="27" spans="1:2" ht="15" customHeight="1">
      <c r="A27" s="296"/>
      <c r="B27" s="169" t="s">
        <v>94</v>
      </c>
    </row>
    <row r="28" spans="1:2" ht="15" customHeight="1">
      <c r="A28" s="294" t="s">
        <v>112</v>
      </c>
      <c r="B28" s="167" t="s">
        <v>89</v>
      </c>
    </row>
    <row r="29" spans="1:2" ht="15" customHeight="1">
      <c r="A29" s="295"/>
      <c r="B29" s="168" t="s">
        <v>90</v>
      </c>
    </row>
    <row r="30" spans="1:2" ht="15" customHeight="1">
      <c r="A30" s="295"/>
      <c r="B30" s="168" t="s">
        <v>91</v>
      </c>
    </row>
    <row r="31" spans="1:2" ht="15" customHeight="1">
      <c r="A31" s="295"/>
      <c r="B31" s="168" t="s">
        <v>92</v>
      </c>
    </row>
    <row r="32" spans="1:2" ht="15" customHeight="1">
      <c r="A32" s="295"/>
      <c r="B32" s="169" t="s">
        <v>104</v>
      </c>
    </row>
    <row r="33" spans="1:2" ht="15" customHeight="1">
      <c r="A33" s="296"/>
      <c r="B33" s="169" t="s">
        <v>94</v>
      </c>
    </row>
  </sheetData>
  <mergeCells count="8">
    <mergeCell ref="A18:A21"/>
    <mergeCell ref="A22:A27"/>
    <mergeCell ref="A28:A33"/>
    <mergeCell ref="A1:P1"/>
    <mergeCell ref="B2:Q2"/>
    <mergeCell ref="A4:A9"/>
    <mergeCell ref="A10:A13"/>
    <mergeCell ref="A14:A17"/>
  </mergeCells>
  <phoneticPr fontId="5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L1017"/>
  <sheetViews>
    <sheetView workbookViewId="0">
      <pane ySplit="5" topLeftCell="A6" activePane="bottomLeft" state="frozen"/>
      <selection pane="bottomLeft" activeCell="B7" sqref="B7"/>
    </sheetView>
  </sheetViews>
  <sheetFormatPr defaultColWidth="10.109375" defaultRowHeight="15" customHeight="1"/>
  <cols>
    <col min="1" max="1" width="11.6640625" customWidth="1"/>
    <col min="2" max="2" width="13.21875" customWidth="1"/>
    <col min="3" max="3" width="7.77734375" customWidth="1"/>
    <col min="4" max="4" width="8.109375" customWidth="1"/>
    <col min="5" max="5" width="22.44140625" customWidth="1"/>
    <col min="6" max="6" width="9.88671875" customWidth="1"/>
    <col min="7" max="7" width="8.88671875" customWidth="1"/>
    <col min="8" max="8" width="11.21875" customWidth="1"/>
    <col min="9" max="9" width="10.5546875" customWidth="1"/>
    <col min="10" max="10" width="11.77734375" customWidth="1"/>
    <col min="11" max="11" width="12.109375" customWidth="1"/>
    <col min="12" max="13" width="10.5546875" customWidth="1"/>
    <col min="14" max="14" width="8.33203125" customWidth="1"/>
    <col min="15" max="15" width="10.88671875" customWidth="1"/>
    <col min="16" max="16" width="11.5546875" customWidth="1"/>
    <col min="17" max="17" width="11.6640625" customWidth="1"/>
    <col min="18" max="18" width="5.5546875" customWidth="1"/>
    <col min="19" max="19" width="7.77734375" customWidth="1"/>
    <col min="20" max="38" width="6" customWidth="1"/>
  </cols>
  <sheetData>
    <row r="1" spans="1:38" ht="24.75" customHeight="1">
      <c r="A1" s="277" t="s">
        <v>143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1.75" customHeight="1">
      <c r="A2" s="288" t="s">
        <v>67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29.25" customHeight="1">
      <c r="A3" s="301" t="s">
        <v>144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4.25" customHeight="1">
      <c r="A4" s="302" t="s">
        <v>68</v>
      </c>
      <c r="B4" s="290"/>
      <c r="C4" s="290"/>
      <c r="D4" s="290"/>
      <c r="E4" s="290"/>
      <c r="F4" s="290"/>
      <c r="G4" s="290"/>
      <c r="H4" s="290"/>
      <c r="I4" s="290"/>
      <c r="J4" s="290"/>
      <c r="K4" s="291"/>
      <c r="L4" s="303" t="s">
        <v>69</v>
      </c>
      <c r="M4" s="290"/>
      <c r="N4" s="290"/>
      <c r="O4" s="290"/>
      <c r="P4" s="290"/>
      <c r="Q4" s="291"/>
      <c r="R4" s="293"/>
      <c r="S4" s="291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9.5">
      <c r="A5" s="170" t="s">
        <v>145</v>
      </c>
      <c r="B5" s="170" t="s">
        <v>72</v>
      </c>
      <c r="C5" s="170" t="s">
        <v>146</v>
      </c>
      <c r="D5" s="170" t="s">
        <v>73</v>
      </c>
      <c r="E5" s="171" t="s">
        <v>147</v>
      </c>
      <c r="F5" s="170" t="s">
        <v>148</v>
      </c>
      <c r="G5" s="172" t="s">
        <v>149</v>
      </c>
      <c r="H5" s="170" t="s">
        <v>75</v>
      </c>
      <c r="I5" s="173" t="s">
        <v>76</v>
      </c>
      <c r="J5" s="170" t="s">
        <v>77</v>
      </c>
      <c r="K5" s="170" t="s">
        <v>78</v>
      </c>
      <c r="L5" s="174" t="s">
        <v>79</v>
      </c>
      <c r="M5" s="175" t="s">
        <v>10</v>
      </c>
      <c r="N5" s="175" t="s">
        <v>12</v>
      </c>
      <c r="O5" s="175" t="s">
        <v>80</v>
      </c>
      <c r="P5" s="175" t="s">
        <v>81</v>
      </c>
      <c r="Q5" s="175" t="s">
        <v>82</v>
      </c>
      <c r="R5" s="176" t="s">
        <v>83</v>
      </c>
      <c r="S5" s="176" t="s">
        <v>84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spans="1:38" ht="24.75" customHeight="1">
      <c r="A6" s="298" t="s">
        <v>150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300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</row>
    <row r="7" spans="1:38" ht="14.25" customHeight="1">
      <c r="A7" s="177" t="s">
        <v>151</v>
      </c>
      <c r="B7" s="178" t="s">
        <v>152</v>
      </c>
      <c r="C7" s="177">
        <v>980</v>
      </c>
      <c r="D7" s="177">
        <v>980</v>
      </c>
      <c r="E7" s="179" t="s">
        <v>152</v>
      </c>
      <c r="F7" s="177">
        <v>1099</v>
      </c>
      <c r="G7" s="180">
        <v>1099</v>
      </c>
      <c r="H7" s="74">
        <f t="shared" ref="H7:H12" si="0">G7/F7</f>
        <v>1</v>
      </c>
      <c r="I7" s="181">
        <v>354.8</v>
      </c>
      <c r="J7" s="75">
        <f t="shared" ref="J7:J12" si="1">G7-I7</f>
        <v>744.2</v>
      </c>
      <c r="K7" s="76">
        <f t="shared" ref="K7:K12" si="2">J7/G7</f>
        <v>0.67716105550500461</v>
      </c>
      <c r="L7" s="128">
        <f>G7*營業基本資訊!$D$8</f>
        <v>0</v>
      </c>
      <c r="M7" s="78">
        <f>G7*營業基本資訊!$D$5</f>
        <v>569.26295066666671</v>
      </c>
      <c r="N7" s="78">
        <f>G7*營業基本資訊!$D$6</f>
        <v>0</v>
      </c>
      <c r="O7" s="78">
        <f>G7*營業基本資訊!$D$7</f>
        <v>0</v>
      </c>
      <c r="P7" s="78">
        <f t="shared" ref="P7:P12" si="3">G7*0.05</f>
        <v>54.95</v>
      </c>
      <c r="Q7" s="128">
        <f t="shared" ref="Q7:Q12" si="4">SUM(L7:P7)</f>
        <v>624.21295066666676</v>
      </c>
      <c r="R7" s="88">
        <f t="shared" ref="R7:R12" si="5">J7-Q7</f>
        <v>119.98704933333329</v>
      </c>
      <c r="S7" s="182">
        <f t="shared" ref="S7:S12" si="6">R7/G7</f>
        <v>0.10917838883833784</v>
      </c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 spans="1:38" ht="14.25" customHeight="1">
      <c r="A8" s="177" t="s">
        <v>153</v>
      </c>
      <c r="B8" s="178" t="s">
        <v>154</v>
      </c>
      <c r="C8" s="177">
        <v>980</v>
      </c>
      <c r="D8" s="177">
        <v>980</v>
      </c>
      <c r="E8" s="179" t="s">
        <v>154</v>
      </c>
      <c r="F8" s="177">
        <v>1299</v>
      </c>
      <c r="G8" s="180">
        <v>1299</v>
      </c>
      <c r="H8" s="74">
        <f t="shared" si="0"/>
        <v>1</v>
      </c>
      <c r="I8" s="181">
        <v>407</v>
      </c>
      <c r="J8" s="75">
        <f t="shared" si="1"/>
        <v>892</v>
      </c>
      <c r="K8" s="76">
        <f t="shared" si="2"/>
        <v>0.68668206312548119</v>
      </c>
      <c r="L8" s="128">
        <f>G8*營業基本資訊!$D$8</f>
        <v>0</v>
      </c>
      <c r="M8" s="78">
        <f>G8*營業基本資訊!$D$5</f>
        <v>672.85948400000007</v>
      </c>
      <c r="N8" s="78">
        <f>G8*營業基本資訊!$D$6</f>
        <v>0</v>
      </c>
      <c r="O8" s="78">
        <f>G8*營業基本資訊!$D$7</f>
        <v>0</v>
      </c>
      <c r="P8" s="78">
        <f t="shared" si="3"/>
        <v>64.95</v>
      </c>
      <c r="Q8" s="128">
        <f t="shared" si="4"/>
        <v>737.80948400000011</v>
      </c>
      <c r="R8" s="88">
        <f t="shared" si="5"/>
        <v>154.19051599999989</v>
      </c>
      <c r="S8" s="182">
        <f t="shared" si="6"/>
        <v>0.11869939645881439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ht="15.75" customHeight="1">
      <c r="A9" s="177" t="s">
        <v>155</v>
      </c>
      <c r="B9" s="183" t="s">
        <v>156</v>
      </c>
      <c r="C9" s="177">
        <v>150</v>
      </c>
      <c r="D9" s="177">
        <v>150</v>
      </c>
      <c r="E9" s="179" t="s">
        <v>157</v>
      </c>
      <c r="F9" s="177">
        <v>180</v>
      </c>
      <c r="G9" s="180">
        <v>180</v>
      </c>
      <c r="H9" s="74">
        <f t="shared" si="0"/>
        <v>1</v>
      </c>
      <c r="I9" s="181">
        <v>53.76</v>
      </c>
      <c r="J9" s="75">
        <f t="shared" si="1"/>
        <v>126.24000000000001</v>
      </c>
      <c r="K9" s="76">
        <f t="shared" si="2"/>
        <v>0.70133333333333336</v>
      </c>
      <c r="L9" s="128">
        <f>G9*營業基本資訊!$D$8</f>
        <v>0</v>
      </c>
      <c r="M9" s="78">
        <f>G9*營業基本資訊!$D$5</f>
        <v>93.236880000000014</v>
      </c>
      <c r="N9" s="78">
        <f>G9*營業基本資訊!$D$6</f>
        <v>0</v>
      </c>
      <c r="O9" s="78">
        <f>G9*營業基本資訊!$D$7</f>
        <v>0</v>
      </c>
      <c r="P9" s="78">
        <f t="shared" si="3"/>
        <v>9</v>
      </c>
      <c r="Q9" s="128">
        <f t="shared" si="4"/>
        <v>102.23688000000001</v>
      </c>
      <c r="R9" s="88">
        <f t="shared" si="5"/>
        <v>24.003119999999996</v>
      </c>
      <c r="S9" s="182">
        <f t="shared" si="6"/>
        <v>0.13335066666666665</v>
      </c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spans="1:38" ht="15.75" customHeight="1">
      <c r="A10" s="177" t="s">
        <v>158</v>
      </c>
      <c r="B10" s="183" t="s">
        <v>159</v>
      </c>
      <c r="C10" s="177">
        <v>150</v>
      </c>
      <c r="D10" s="177">
        <v>150</v>
      </c>
      <c r="E10" s="179" t="s">
        <v>160</v>
      </c>
      <c r="F10" s="177">
        <v>180</v>
      </c>
      <c r="G10" s="180">
        <v>180</v>
      </c>
      <c r="H10" s="74">
        <f t="shared" si="0"/>
        <v>1</v>
      </c>
      <c r="I10" s="181">
        <v>54.058</v>
      </c>
      <c r="J10" s="75">
        <f t="shared" si="1"/>
        <v>125.94200000000001</v>
      </c>
      <c r="K10" s="76">
        <f t="shared" si="2"/>
        <v>0.69967777777777784</v>
      </c>
      <c r="L10" s="128">
        <f>G10*營業基本資訊!$D$8</f>
        <v>0</v>
      </c>
      <c r="M10" s="78">
        <f>G10*營業基本資訊!$D$5</f>
        <v>93.236880000000014</v>
      </c>
      <c r="N10" s="78">
        <f>G10*營業基本資訊!$D$6</f>
        <v>0</v>
      </c>
      <c r="O10" s="78">
        <f>G10*營業基本資訊!$D$7</f>
        <v>0</v>
      </c>
      <c r="P10" s="78">
        <f t="shared" si="3"/>
        <v>9</v>
      </c>
      <c r="Q10" s="128">
        <f t="shared" si="4"/>
        <v>102.23688000000001</v>
      </c>
      <c r="R10" s="88">
        <f t="shared" si="5"/>
        <v>23.705119999999994</v>
      </c>
      <c r="S10" s="182">
        <f t="shared" si="6"/>
        <v>0.13169511111111107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spans="1:38" ht="26.25" customHeight="1">
      <c r="A11" s="177" t="s">
        <v>161</v>
      </c>
      <c r="B11" s="178"/>
      <c r="C11" s="177"/>
      <c r="D11" s="177"/>
      <c r="E11" s="179" t="s">
        <v>162</v>
      </c>
      <c r="F11" s="177">
        <v>220</v>
      </c>
      <c r="G11" s="180">
        <v>220</v>
      </c>
      <c r="H11" s="74">
        <f t="shared" si="0"/>
        <v>1</v>
      </c>
      <c r="I11" s="181">
        <v>65.121250000000003</v>
      </c>
      <c r="J11" s="75">
        <f t="shared" si="1"/>
        <v>154.87875</v>
      </c>
      <c r="K11" s="76">
        <f t="shared" si="2"/>
        <v>0.70399431818181812</v>
      </c>
      <c r="L11" s="128">
        <f>G11*營業基本資訊!$D$8</f>
        <v>0</v>
      </c>
      <c r="M11" s="78">
        <f>G11*營業基本資訊!$D$5</f>
        <v>113.95618666666667</v>
      </c>
      <c r="N11" s="78">
        <f>G11*營業基本資訊!$D$6</f>
        <v>0</v>
      </c>
      <c r="O11" s="78">
        <f>G11*營業基本資訊!$D$7</f>
        <v>0</v>
      </c>
      <c r="P11" s="78">
        <f t="shared" si="3"/>
        <v>11</v>
      </c>
      <c r="Q11" s="128">
        <f t="shared" si="4"/>
        <v>124.95618666666667</v>
      </c>
      <c r="R11" s="88">
        <f t="shared" si="5"/>
        <v>29.922563333333329</v>
      </c>
      <c r="S11" s="182">
        <f t="shared" si="6"/>
        <v>0.13601165151515149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spans="1:38" ht="101.25" customHeight="1">
      <c r="A12" s="177" t="s">
        <v>163</v>
      </c>
      <c r="B12" s="183" t="s">
        <v>164</v>
      </c>
      <c r="C12" s="177">
        <v>699</v>
      </c>
      <c r="D12" s="177">
        <v>699</v>
      </c>
      <c r="E12" s="179" t="s">
        <v>165</v>
      </c>
      <c r="F12" s="184">
        <f>F11*2+F9+F10</f>
        <v>800</v>
      </c>
      <c r="G12" s="185">
        <v>729</v>
      </c>
      <c r="H12" s="74">
        <f t="shared" si="0"/>
        <v>0.91125</v>
      </c>
      <c r="I12" s="181">
        <v>267</v>
      </c>
      <c r="J12" s="75">
        <f t="shared" si="1"/>
        <v>462</v>
      </c>
      <c r="K12" s="76">
        <f t="shared" si="2"/>
        <v>0.63374485596707819</v>
      </c>
      <c r="L12" s="128">
        <v>175</v>
      </c>
      <c r="M12" s="78">
        <f>G12*營業基本資訊!$D$5</f>
        <v>377.60936400000003</v>
      </c>
      <c r="N12" s="186">
        <v>80</v>
      </c>
      <c r="O12" s="78">
        <f>G12*營業基本資訊!$D$7</f>
        <v>0</v>
      </c>
      <c r="P12" s="78">
        <f t="shared" si="3"/>
        <v>36.450000000000003</v>
      </c>
      <c r="Q12" s="128">
        <f t="shared" si="4"/>
        <v>669.05936400000007</v>
      </c>
      <c r="R12" s="88">
        <f t="shared" si="5"/>
        <v>-207.05936400000007</v>
      </c>
      <c r="S12" s="182">
        <f t="shared" si="6"/>
        <v>-0.28403204938271615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spans="1:38" ht="24.75" customHeight="1">
      <c r="A13" s="298" t="s">
        <v>166</v>
      </c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300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pans="1:38" ht="15.75" customHeight="1">
      <c r="A14" s="177" t="s">
        <v>167</v>
      </c>
      <c r="B14" s="187" t="s">
        <v>168</v>
      </c>
      <c r="C14" s="177">
        <v>230</v>
      </c>
      <c r="D14" s="177">
        <v>230</v>
      </c>
      <c r="E14" s="188" t="s">
        <v>169</v>
      </c>
      <c r="F14" s="177">
        <v>259</v>
      </c>
      <c r="G14" s="180">
        <v>259</v>
      </c>
      <c r="H14" s="74">
        <f t="shared" ref="H14:H28" si="7">G14/F14</f>
        <v>1</v>
      </c>
      <c r="I14" s="181">
        <f>65+12</f>
        <v>77</v>
      </c>
      <c r="J14" s="75">
        <f t="shared" ref="J14:J28" si="8">G14-I14</f>
        <v>182</v>
      </c>
      <c r="K14" s="76">
        <f t="shared" ref="K14:K28" si="9">J14/G14</f>
        <v>0.70270270270270274</v>
      </c>
      <c r="L14" s="128">
        <f>G14*營業基本資訊!$D$8</f>
        <v>0</v>
      </c>
      <c r="M14" s="78">
        <f>G14*營業基本資訊!$D$5</f>
        <v>134.15751066666667</v>
      </c>
      <c r="N14" s="78">
        <f>G14*營業基本資訊!$D$6</f>
        <v>0</v>
      </c>
      <c r="O14" s="78">
        <f>G14*營業基本資訊!$D$7</f>
        <v>0</v>
      </c>
      <c r="P14" s="78">
        <f t="shared" ref="P14:P28" si="10">G14*0.05</f>
        <v>12.950000000000001</v>
      </c>
      <c r="Q14" s="128">
        <f t="shared" ref="Q14:Q28" si="11">SUM(L14:P14)</f>
        <v>147.10751066666666</v>
      </c>
      <c r="R14" s="88">
        <f t="shared" ref="R14:R28" si="12">J14-Q14</f>
        <v>34.892489333333344</v>
      </c>
      <c r="S14" s="182">
        <f t="shared" ref="S14:S28" si="13">R14/G14</f>
        <v>0.13472003603603608</v>
      </c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</row>
    <row r="15" spans="1:38" ht="19.5">
      <c r="A15" s="189"/>
      <c r="B15" s="187"/>
      <c r="C15" s="189"/>
      <c r="D15" s="189"/>
      <c r="E15" s="190" t="s">
        <v>170</v>
      </c>
      <c r="F15" s="184">
        <v>780</v>
      </c>
      <c r="G15" s="185">
        <v>739</v>
      </c>
      <c r="H15" s="74">
        <f t="shared" si="7"/>
        <v>0.9474358974358974</v>
      </c>
      <c r="I15" s="191">
        <f>I14*3</f>
        <v>231</v>
      </c>
      <c r="J15" s="75">
        <f t="shared" si="8"/>
        <v>508</v>
      </c>
      <c r="K15" s="76">
        <f t="shared" si="9"/>
        <v>0.6874154262516915</v>
      </c>
      <c r="L15" s="128">
        <f>G15*營業基本資訊!$D$8</f>
        <v>0</v>
      </c>
      <c r="M15" s="78">
        <f>G15*營業基本資訊!$D$5</f>
        <v>382.78919066666668</v>
      </c>
      <c r="N15" s="78">
        <f>G15*營業基本資訊!$D$6</f>
        <v>0</v>
      </c>
      <c r="O15" s="78">
        <f>G15*營業基本資訊!$D$7</f>
        <v>0</v>
      </c>
      <c r="P15" s="78">
        <f t="shared" si="10"/>
        <v>36.950000000000003</v>
      </c>
      <c r="Q15" s="128">
        <f t="shared" si="11"/>
        <v>419.73919066666667</v>
      </c>
      <c r="R15" s="88">
        <f t="shared" si="12"/>
        <v>88.260809333333327</v>
      </c>
      <c r="S15" s="182">
        <f t="shared" si="13"/>
        <v>0.11943275958502481</v>
      </c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pans="1:38" ht="15.75" customHeight="1">
      <c r="A16" s="189"/>
      <c r="B16" s="187"/>
      <c r="C16" s="189"/>
      <c r="D16" s="189"/>
      <c r="E16" s="188" t="s">
        <v>171</v>
      </c>
      <c r="F16" s="184">
        <v>2590</v>
      </c>
      <c r="G16" s="185">
        <v>2399</v>
      </c>
      <c r="H16" s="74">
        <f t="shared" si="7"/>
        <v>0.92625482625482625</v>
      </c>
      <c r="I16" s="191">
        <v>770</v>
      </c>
      <c r="J16" s="75">
        <f t="shared" si="8"/>
        <v>1629</v>
      </c>
      <c r="K16" s="76">
        <f t="shared" si="9"/>
        <v>0.67903293038766155</v>
      </c>
      <c r="L16" s="128">
        <v>350</v>
      </c>
      <c r="M16" s="78">
        <f>G16*營業基本資訊!$D$5</f>
        <v>1242.6404173333335</v>
      </c>
      <c r="N16" s="78">
        <f>G16*營業基本資訊!$D$6</f>
        <v>0</v>
      </c>
      <c r="O16" s="78">
        <f>G16*營業基本資訊!$D$7</f>
        <v>0</v>
      </c>
      <c r="P16" s="78">
        <f t="shared" si="10"/>
        <v>119.95</v>
      </c>
      <c r="Q16" s="128">
        <f t="shared" si="11"/>
        <v>1712.5904173333336</v>
      </c>
      <c r="R16" s="88">
        <f t="shared" si="12"/>
        <v>-83.590417333333562</v>
      </c>
      <c r="S16" s="182">
        <f t="shared" si="13"/>
        <v>-3.4843858830068179E-2</v>
      </c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pans="1:38" ht="15.75" customHeight="1">
      <c r="A17" s="177" t="s">
        <v>172</v>
      </c>
      <c r="B17" s="178" t="s">
        <v>173</v>
      </c>
      <c r="C17" s="177">
        <v>130</v>
      </c>
      <c r="D17" s="177">
        <v>130</v>
      </c>
      <c r="E17" s="179" t="s">
        <v>174</v>
      </c>
      <c r="F17" s="177">
        <v>259</v>
      </c>
      <c r="G17" s="180">
        <v>259</v>
      </c>
      <c r="H17" s="74">
        <f t="shared" si="7"/>
        <v>1</v>
      </c>
      <c r="I17" s="181">
        <f>42+12</f>
        <v>54</v>
      </c>
      <c r="J17" s="75">
        <f t="shared" si="8"/>
        <v>205</v>
      </c>
      <c r="K17" s="76">
        <f t="shared" si="9"/>
        <v>0.79150579150579148</v>
      </c>
      <c r="L17" s="128">
        <f>G17*營業基本資訊!$D$8</f>
        <v>0</v>
      </c>
      <c r="M17" s="78">
        <f>G17*營業基本資訊!$D$5</f>
        <v>134.15751066666667</v>
      </c>
      <c r="N17" s="78">
        <f>G17*營業基本資訊!$D$6</f>
        <v>0</v>
      </c>
      <c r="O17" s="78">
        <f>G17*營業基本資訊!$D$7</f>
        <v>0</v>
      </c>
      <c r="P17" s="78">
        <f t="shared" si="10"/>
        <v>12.950000000000001</v>
      </c>
      <c r="Q17" s="128">
        <f t="shared" si="11"/>
        <v>147.10751066666666</v>
      </c>
      <c r="R17" s="88">
        <f t="shared" si="12"/>
        <v>57.892489333333344</v>
      </c>
      <c r="S17" s="182">
        <f t="shared" si="13"/>
        <v>0.22352312483912487</v>
      </c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pans="1:38" ht="15.75" customHeight="1">
      <c r="A18" s="189"/>
      <c r="B18" s="187"/>
      <c r="C18" s="189"/>
      <c r="D18" s="189"/>
      <c r="E18" s="190" t="s">
        <v>175</v>
      </c>
      <c r="F18" s="189">
        <v>780</v>
      </c>
      <c r="G18" s="192">
        <v>739</v>
      </c>
      <c r="H18" s="74">
        <f t="shared" si="7"/>
        <v>0.9474358974358974</v>
      </c>
      <c r="I18" s="191">
        <f>I17*3</f>
        <v>162</v>
      </c>
      <c r="J18" s="75">
        <f t="shared" si="8"/>
        <v>577</v>
      </c>
      <c r="K18" s="76">
        <f t="shared" si="9"/>
        <v>0.78078484438430307</v>
      </c>
      <c r="L18" s="128">
        <f>G18*營業基本資訊!$D$8</f>
        <v>0</v>
      </c>
      <c r="M18" s="78">
        <f>G18*營業基本資訊!$D$5</f>
        <v>382.78919066666668</v>
      </c>
      <c r="N18" s="78">
        <f>G18*營業基本資訊!$D$6</f>
        <v>0</v>
      </c>
      <c r="O18" s="78">
        <f>G18*營業基本資訊!$D$7</f>
        <v>0</v>
      </c>
      <c r="P18" s="78">
        <f t="shared" si="10"/>
        <v>36.950000000000003</v>
      </c>
      <c r="Q18" s="128">
        <f t="shared" si="11"/>
        <v>419.73919066666667</v>
      </c>
      <c r="R18" s="88">
        <f t="shared" si="12"/>
        <v>157.26080933333333</v>
      </c>
      <c r="S18" s="182">
        <f t="shared" si="13"/>
        <v>0.21280217771763643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pans="1:38" ht="15.75" customHeight="1">
      <c r="A19" s="189"/>
      <c r="B19" s="187"/>
      <c r="C19" s="189"/>
      <c r="D19" s="189"/>
      <c r="E19" s="188" t="s">
        <v>176</v>
      </c>
      <c r="F19" s="189">
        <v>2590</v>
      </c>
      <c r="G19" s="192">
        <v>2399</v>
      </c>
      <c r="H19" s="74">
        <f t="shared" si="7"/>
        <v>0.92625482625482625</v>
      </c>
      <c r="I19" s="191">
        <v>770</v>
      </c>
      <c r="J19" s="75">
        <f t="shared" si="8"/>
        <v>1629</v>
      </c>
      <c r="K19" s="76">
        <f t="shared" si="9"/>
        <v>0.67903293038766155</v>
      </c>
      <c r="L19" s="128">
        <v>350</v>
      </c>
      <c r="M19" s="78">
        <f>G19*營業基本資訊!$D$5</f>
        <v>1242.6404173333335</v>
      </c>
      <c r="N19" s="78">
        <f>G19*營業基本資訊!$D$6</f>
        <v>0</v>
      </c>
      <c r="O19" s="78">
        <f>G19*營業基本資訊!$D$7</f>
        <v>0</v>
      </c>
      <c r="P19" s="78">
        <f t="shared" si="10"/>
        <v>119.95</v>
      </c>
      <c r="Q19" s="128">
        <f t="shared" si="11"/>
        <v>1712.5904173333336</v>
      </c>
      <c r="R19" s="88">
        <f t="shared" si="12"/>
        <v>-83.590417333333562</v>
      </c>
      <c r="S19" s="182">
        <f t="shared" si="13"/>
        <v>-3.4843858830068179E-2</v>
      </c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pans="1:38" ht="15.75" customHeight="1">
      <c r="A20" s="189" t="s">
        <v>177</v>
      </c>
      <c r="B20" s="187" t="s">
        <v>178</v>
      </c>
      <c r="C20" s="189">
        <v>200</v>
      </c>
      <c r="D20" s="189">
        <v>200</v>
      </c>
      <c r="E20" s="188" t="s">
        <v>179</v>
      </c>
      <c r="F20" s="189">
        <v>279</v>
      </c>
      <c r="G20" s="192">
        <v>279</v>
      </c>
      <c r="H20" s="74">
        <f t="shared" si="7"/>
        <v>1</v>
      </c>
      <c r="I20" s="191">
        <f>47+12</f>
        <v>59</v>
      </c>
      <c r="J20" s="75">
        <f t="shared" si="8"/>
        <v>220</v>
      </c>
      <c r="K20" s="76">
        <f t="shared" si="9"/>
        <v>0.78853046594982079</v>
      </c>
      <c r="L20" s="128">
        <f>G20*營業基本資訊!$D$8</f>
        <v>0</v>
      </c>
      <c r="M20" s="78">
        <f>G20*營業基本資訊!$D$5</f>
        <v>144.51716400000001</v>
      </c>
      <c r="N20" s="78">
        <f>G20*營業基本資訊!$D$6</f>
        <v>0</v>
      </c>
      <c r="O20" s="78">
        <f>G20*營業基本資訊!$D$7</f>
        <v>0</v>
      </c>
      <c r="P20" s="78">
        <f t="shared" si="10"/>
        <v>13.950000000000001</v>
      </c>
      <c r="Q20" s="128">
        <f t="shared" si="11"/>
        <v>158.467164</v>
      </c>
      <c r="R20" s="88">
        <f t="shared" si="12"/>
        <v>61.532836000000003</v>
      </c>
      <c r="S20" s="182">
        <f t="shared" si="13"/>
        <v>0.22054779928315413</v>
      </c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pans="1:38" ht="15.75" customHeight="1">
      <c r="A21" s="189"/>
      <c r="B21" s="187"/>
      <c r="C21" s="189"/>
      <c r="D21" s="189"/>
      <c r="E21" s="190" t="s">
        <v>180</v>
      </c>
      <c r="F21" s="184">
        <v>850</v>
      </c>
      <c r="G21" s="185">
        <v>799</v>
      </c>
      <c r="H21" s="74">
        <f t="shared" si="7"/>
        <v>0.94</v>
      </c>
      <c r="I21" s="191">
        <f>77*3</f>
        <v>231</v>
      </c>
      <c r="J21" s="75">
        <f t="shared" si="8"/>
        <v>568</v>
      </c>
      <c r="K21" s="76">
        <f t="shared" si="9"/>
        <v>0.71088861076345433</v>
      </c>
      <c r="L21" s="128">
        <f>G21*營業基本資訊!$D$8</f>
        <v>0</v>
      </c>
      <c r="M21" s="78">
        <f>G21*營業基本資訊!$D$5</f>
        <v>413.86815066666668</v>
      </c>
      <c r="N21" s="78">
        <f>G21*營業基本資訊!$D$6</f>
        <v>0</v>
      </c>
      <c r="O21" s="78">
        <f>G21*營業基本資訊!$D$7</f>
        <v>0</v>
      </c>
      <c r="P21" s="78">
        <f t="shared" si="10"/>
        <v>39.950000000000003</v>
      </c>
      <c r="Q21" s="128">
        <f t="shared" si="11"/>
        <v>453.81815066666667</v>
      </c>
      <c r="R21" s="88">
        <f t="shared" si="12"/>
        <v>114.18184933333333</v>
      </c>
      <c r="S21" s="182">
        <f t="shared" si="13"/>
        <v>0.14290594409678764</v>
      </c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pans="1:38" ht="15.75" customHeight="1">
      <c r="A22" s="189"/>
      <c r="B22" s="187"/>
      <c r="C22" s="189"/>
      <c r="D22" s="189"/>
      <c r="E22" s="188" t="s">
        <v>181</v>
      </c>
      <c r="F22" s="184">
        <v>2790</v>
      </c>
      <c r="G22" s="185">
        <v>2599</v>
      </c>
      <c r="H22" s="74">
        <f t="shared" si="7"/>
        <v>0.93154121863799288</v>
      </c>
      <c r="I22" s="191">
        <v>770</v>
      </c>
      <c r="J22" s="75">
        <f t="shared" si="8"/>
        <v>1829</v>
      </c>
      <c r="K22" s="76">
        <f t="shared" si="9"/>
        <v>0.70373220469411313</v>
      </c>
      <c r="L22" s="128">
        <v>350</v>
      </c>
      <c r="M22" s="78">
        <f>G22*營業基本資訊!$D$5</f>
        <v>1346.2369506666669</v>
      </c>
      <c r="N22" s="78">
        <f>G22*營業基本資訊!$D$6</f>
        <v>0</v>
      </c>
      <c r="O22" s="78">
        <f>G22*營業基本資訊!$D$7</f>
        <v>0</v>
      </c>
      <c r="P22" s="78">
        <f t="shared" si="10"/>
        <v>129.95000000000002</v>
      </c>
      <c r="Q22" s="128">
        <f t="shared" si="11"/>
        <v>1826.1869506666669</v>
      </c>
      <c r="R22" s="88">
        <f t="shared" si="12"/>
        <v>2.8130493333330833</v>
      </c>
      <c r="S22" s="182">
        <f t="shared" si="13"/>
        <v>1.0823583429523213E-3</v>
      </c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pans="1:38" ht="15.75" customHeight="1">
      <c r="A23" s="189" t="s">
        <v>182</v>
      </c>
      <c r="B23" s="187" t="s">
        <v>183</v>
      </c>
      <c r="C23" s="189">
        <v>150</v>
      </c>
      <c r="D23" s="189">
        <v>150</v>
      </c>
      <c r="E23" s="188" t="s">
        <v>184</v>
      </c>
      <c r="F23" s="189">
        <v>279</v>
      </c>
      <c r="G23" s="192">
        <v>279</v>
      </c>
      <c r="H23" s="74">
        <f t="shared" si="7"/>
        <v>1</v>
      </c>
      <c r="I23" s="191">
        <f>65+12</f>
        <v>77</v>
      </c>
      <c r="J23" s="75">
        <f t="shared" si="8"/>
        <v>202</v>
      </c>
      <c r="K23" s="76">
        <f t="shared" si="9"/>
        <v>0.72401433691756267</v>
      </c>
      <c r="L23" s="128">
        <f>G23*營業基本資訊!$D$8</f>
        <v>0</v>
      </c>
      <c r="M23" s="78">
        <f>G23*營業基本資訊!$D$5</f>
        <v>144.51716400000001</v>
      </c>
      <c r="N23" s="78">
        <f>G23*營業基本資訊!$D$6</f>
        <v>0</v>
      </c>
      <c r="O23" s="78">
        <f>G23*營業基本資訊!$D$7</f>
        <v>0</v>
      </c>
      <c r="P23" s="78">
        <f t="shared" si="10"/>
        <v>13.950000000000001</v>
      </c>
      <c r="Q23" s="128">
        <f t="shared" si="11"/>
        <v>158.467164</v>
      </c>
      <c r="R23" s="88">
        <f t="shared" si="12"/>
        <v>43.532836000000003</v>
      </c>
      <c r="S23" s="182">
        <f t="shared" si="13"/>
        <v>0.15603167025089607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pans="1:38" ht="15.75" customHeight="1">
      <c r="A24" s="189"/>
      <c r="B24" s="187"/>
      <c r="C24" s="189"/>
      <c r="D24" s="189"/>
      <c r="E24" s="190" t="s">
        <v>185</v>
      </c>
      <c r="F24" s="184">
        <v>850</v>
      </c>
      <c r="G24" s="185">
        <v>799</v>
      </c>
      <c r="H24" s="74">
        <f t="shared" si="7"/>
        <v>0.94</v>
      </c>
      <c r="I24" s="191">
        <f>77*3</f>
        <v>231</v>
      </c>
      <c r="J24" s="75">
        <f t="shared" si="8"/>
        <v>568</v>
      </c>
      <c r="K24" s="76">
        <f t="shared" si="9"/>
        <v>0.71088861076345433</v>
      </c>
      <c r="L24" s="128">
        <f>G24*營業基本資訊!$D$8</f>
        <v>0</v>
      </c>
      <c r="M24" s="78">
        <f>G24*營業基本資訊!$D$5</f>
        <v>413.86815066666668</v>
      </c>
      <c r="N24" s="78">
        <f>G24*營業基本資訊!$D$6</f>
        <v>0</v>
      </c>
      <c r="O24" s="78">
        <f>G24*營業基本資訊!$D$7</f>
        <v>0</v>
      </c>
      <c r="P24" s="78">
        <f t="shared" si="10"/>
        <v>39.950000000000003</v>
      </c>
      <c r="Q24" s="128">
        <f t="shared" si="11"/>
        <v>453.81815066666667</v>
      </c>
      <c r="R24" s="88">
        <f t="shared" si="12"/>
        <v>114.18184933333333</v>
      </c>
      <c r="S24" s="182">
        <f t="shared" si="13"/>
        <v>0.14290594409678764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1:38" ht="23.25" customHeight="1">
      <c r="A25" s="189"/>
      <c r="B25" s="187"/>
      <c r="C25" s="189"/>
      <c r="D25" s="189"/>
      <c r="E25" s="188" t="s">
        <v>186</v>
      </c>
      <c r="F25" s="184">
        <v>2790</v>
      </c>
      <c r="G25" s="185">
        <v>2599</v>
      </c>
      <c r="H25" s="74">
        <f t="shared" si="7"/>
        <v>0.93154121863799288</v>
      </c>
      <c r="I25" s="191">
        <v>770</v>
      </c>
      <c r="J25" s="75">
        <f t="shared" si="8"/>
        <v>1829</v>
      </c>
      <c r="K25" s="76">
        <f t="shared" si="9"/>
        <v>0.70373220469411313</v>
      </c>
      <c r="L25" s="128">
        <v>350</v>
      </c>
      <c r="M25" s="78">
        <f>G25*營業基本資訊!$D$5</f>
        <v>1346.2369506666669</v>
      </c>
      <c r="N25" s="78">
        <f>G25*營業基本資訊!$D$6</f>
        <v>0</v>
      </c>
      <c r="O25" s="78">
        <f>G25*營業基本資訊!$D$7</f>
        <v>0</v>
      </c>
      <c r="P25" s="78">
        <f t="shared" si="10"/>
        <v>129.95000000000002</v>
      </c>
      <c r="Q25" s="128">
        <f t="shared" si="11"/>
        <v>1826.1869506666669</v>
      </c>
      <c r="R25" s="88">
        <f t="shared" si="12"/>
        <v>2.8130493333330833</v>
      </c>
      <c r="S25" s="182">
        <f t="shared" si="13"/>
        <v>1.0823583429523213E-3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1:38" ht="84" customHeight="1">
      <c r="A26" s="189"/>
      <c r="B26" s="187"/>
      <c r="C26" s="189"/>
      <c r="D26" s="189"/>
      <c r="E26" s="188" t="s">
        <v>187</v>
      </c>
      <c r="F26" s="184">
        <v>1075</v>
      </c>
      <c r="G26" s="184">
        <v>999</v>
      </c>
      <c r="H26" s="74">
        <f t="shared" si="7"/>
        <v>0.92930232558139536</v>
      </c>
      <c r="I26" s="191">
        <f>(60+65)*2+12*4</f>
        <v>298</v>
      </c>
      <c r="J26" s="75">
        <f t="shared" si="8"/>
        <v>701</v>
      </c>
      <c r="K26" s="76">
        <f t="shared" si="9"/>
        <v>0.70170170170170165</v>
      </c>
      <c r="L26" s="193">
        <v>175</v>
      </c>
      <c r="M26" s="78">
        <f>G26*營業基本資訊!$D$5</f>
        <v>517.46468400000003</v>
      </c>
      <c r="N26" s="186">
        <f>G26*營業基本資訊!$D$6</f>
        <v>0</v>
      </c>
      <c r="O26" s="78">
        <f>G26*營業基本資訊!$D$7</f>
        <v>0</v>
      </c>
      <c r="P26" s="78">
        <f t="shared" si="10"/>
        <v>49.95</v>
      </c>
      <c r="Q26" s="128">
        <f t="shared" si="11"/>
        <v>742.41468400000008</v>
      </c>
      <c r="R26" s="88">
        <f t="shared" si="12"/>
        <v>-41.414684000000079</v>
      </c>
      <c r="S26" s="182">
        <f t="shared" si="13"/>
        <v>-4.1456140140140221E-2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pans="1:38" ht="72.75" customHeight="1">
      <c r="A27" s="189"/>
      <c r="B27" s="187"/>
      <c r="C27" s="189"/>
      <c r="D27" s="189"/>
      <c r="E27" s="188" t="s">
        <v>188</v>
      </c>
      <c r="F27" s="184">
        <v>2105</v>
      </c>
      <c r="G27" s="184">
        <v>2000</v>
      </c>
      <c r="H27" s="74">
        <f t="shared" si="7"/>
        <v>0.95011876484560565</v>
      </c>
      <c r="I27" s="191">
        <v>682</v>
      </c>
      <c r="J27" s="75">
        <f t="shared" si="8"/>
        <v>1318</v>
      </c>
      <c r="K27" s="76">
        <f t="shared" si="9"/>
        <v>0.65900000000000003</v>
      </c>
      <c r="L27" s="193">
        <v>330</v>
      </c>
      <c r="M27" s="78">
        <v>330</v>
      </c>
      <c r="N27" s="78">
        <v>400</v>
      </c>
      <c r="O27" s="78">
        <f>G27*營業基本資訊!$D$7</f>
        <v>0</v>
      </c>
      <c r="P27" s="78">
        <f t="shared" si="10"/>
        <v>100</v>
      </c>
      <c r="Q27" s="128">
        <f t="shared" si="11"/>
        <v>1160</v>
      </c>
      <c r="R27" s="88">
        <f t="shared" si="12"/>
        <v>158</v>
      </c>
      <c r="S27" s="182">
        <f t="shared" si="13"/>
        <v>7.9000000000000001E-2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pans="1:38" ht="81" customHeight="1">
      <c r="A28" s="189"/>
      <c r="B28" s="187"/>
      <c r="C28" s="189"/>
      <c r="D28" s="189"/>
      <c r="E28" s="188" t="s">
        <v>189</v>
      </c>
      <c r="F28" s="184">
        <v>1675</v>
      </c>
      <c r="G28" s="185">
        <v>1650</v>
      </c>
      <c r="H28" s="74">
        <f t="shared" si="7"/>
        <v>0.9850746268656716</v>
      </c>
      <c r="I28" s="191">
        <f>75*6</f>
        <v>450</v>
      </c>
      <c r="J28" s="75">
        <f t="shared" si="8"/>
        <v>1200</v>
      </c>
      <c r="K28" s="76">
        <f t="shared" si="9"/>
        <v>0.72727272727272729</v>
      </c>
      <c r="L28" s="193">
        <v>330</v>
      </c>
      <c r="M28" s="78">
        <f>G28*營業基本資訊!$D$5</f>
        <v>854.67140000000006</v>
      </c>
      <c r="N28" s="78">
        <f>G28*營業基本資訊!$D$6</f>
        <v>0</v>
      </c>
      <c r="O28" s="78">
        <f>G28*營業基本資訊!$D$7</f>
        <v>0</v>
      </c>
      <c r="P28" s="78">
        <f t="shared" si="10"/>
        <v>82.5</v>
      </c>
      <c r="Q28" s="128">
        <f t="shared" si="11"/>
        <v>1267.1714000000002</v>
      </c>
      <c r="R28" s="88">
        <f t="shared" si="12"/>
        <v>-67.171400000000176</v>
      </c>
      <c r="S28" s="182">
        <f t="shared" si="13"/>
        <v>-4.07099393939395E-2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pans="1:38" ht="24.75" customHeight="1">
      <c r="A29" s="298" t="s">
        <v>190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300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spans="1:38" ht="69.75" customHeight="1">
      <c r="A30" s="177"/>
      <c r="B30" s="194"/>
      <c r="C30" s="177"/>
      <c r="D30" s="177"/>
      <c r="E30" s="188" t="s">
        <v>191</v>
      </c>
      <c r="F30" s="177">
        <f>350+480+380</f>
        <v>1210</v>
      </c>
      <c r="G30" s="180">
        <v>1030</v>
      </c>
      <c r="H30" s="74">
        <f t="shared" ref="H30:H35" si="14">G30/F30</f>
        <v>0.85123966942148765</v>
      </c>
      <c r="I30" s="181">
        <f>108+60+98</f>
        <v>266</v>
      </c>
      <c r="J30" s="75">
        <f t="shared" ref="J30:J35" si="15">G30-I30</f>
        <v>764</v>
      </c>
      <c r="K30" s="76">
        <f t="shared" ref="K30:K35" si="16">J30/G30</f>
        <v>0.74174757281553394</v>
      </c>
      <c r="L30" s="193">
        <v>175</v>
      </c>
      <c r="M30" s="78">
        <f>G30*營業基本資訊!$D$5</f>
        <v>533.52214666666669</v>
      </c>
      <c r="N30" s="78">
        <f>G30*營業基本資訊!$D$6</f>
        <v>0</v>
      </c>
      <c r="O30" s="78">
        <f>G30*營業基本資訊!$D$7</f>
        <v>0</v>
      </c>
      <c r="P30" s="78">
        <f t="shared" ref="P30:P35" si="17">G30*0.05</f>
        <v>51.5</v>
      </c>
      <c r="Q30" s="128">
        <f t="shared" ref="Q30:Q35" si="18">SUM(L30:P30)</f>
        <v>760.02214666666669</v>
      </c>
      <c r="R30" s="88">
        <f t="shared" ref="R30:R35" si="19">J30-Q30</f>
        <v>3.9778533333333144</v>
      </c>
      <c r="S30" s="182">
        <f t="shared" ref="S30:S35" si="20">R30/G30</f>
        <v>3.8619935275080721E-3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  <row r="31" spans="1:38" ht="15.75" customHeight="1">
      <c r="A31" s="177" t="s">
        <v>192</v>
      </c>
      <c r="B31" s="178" t="s">
        <v>193</v>
      </c>
      <c r="C31" s="177"/>
      <c r="D31" s="177"/>
      <c r="E31" s="179" t="s">
        <v>194</v>
      </c>
      <c r="F31" s="177">
        <v>80</v>
      </c>
      <c r="G31" s="180">
        <v>80</v>
      </c>
      <c r="H31" s="74">
        <f t="shared" si="14"/>
        <v>1</v>
      </c>
      <c r="I31" s="181">
        <v>33.799999999999997</v>
      </c>
      <c r="J31" s="75">
        <f t="shared" si="15"/>
        <v>46.2</v>
      </c>
      <c r="K31" s="76">
        <f t="shared" si="16"/>
        <v>0.57750000000000001</v>
      </c>
      <c r="L31" s="128">
        <f>G31*營業基本資訊!$D$8</f>
        <v>0</v>
      </c>
      <c r="M31" s="78">
        <f>G31*營業基本資訊!$D$5</f>
        <v>41.438613333333336</v>
      </c>
      <c r="N31" s="78"/>
      <c r="O31" s="78">
        <f>G31*營業基本資訊!$D$7</f>
        <v>0</v>
      </c>
      <c r="P31" s="78">
        <f t="shared" si="17"/>
        <v>4</v>
      </c>
      <c r="Q31" s="128">
        <f t="shared" si="18"/>
        <v>45.438613333333336</v>
      </c>
      <c r="R31" s="88">
        <f t="shared" si="19"/>
        <v>0.76138666666666666</v>
      </c>
      <c r="S31" s="182">
        <f t="shared" si="20"/>
        <v>9.5173333333333325E-3</v>
      </c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pans="1:38" ht="15.75" customHeight="1">
      <c r="A32" s="177" t="s">
        <v>195</v>
      </c>
      <c r="B32" s="178" t="s">
        <v>193</v>
      </c>
      <c r="C32" s="177">
        <v>200</v>
      </c>
      <c r="D32" s="177">
        <v>200</v>
      </c>
      <c r="E32" s="179" t="s">
        <v>196</v>
      </c>
      <c r="F32" s="185">
        <v>350</v>
      </c>
      <c r="G32" s="184">
        <v>330</v>
      </c>
      <c r="H32" s="74">
        <f t="shared" si="14"/>
        <v>0.94285714285714284</v>
      </c>
      <c r="I32" s="181">
        <v>125.6733</v>
      </c>
      <c r="J32" s="75">
        <f t="shared" si="15"/>
        <v>204.32670000000002</v>
      </c>
      <c r="K32" s="76">
        <f t="shared" si="16"/>
        <v>0.61917181818181821</v>
      </c>
      <c r="L32" s="128">
        <f>G32*營業基本資訊!$D$8</f>
        <v>0</v>
      </c>
      <c r="M32" s="78">
        <f>G32*營業基本資訊!$D$5</f>
        <v>170.93428</v>
      </c>
      <c r="N32" s="78"/>
      <c r="O32" s="78">
        <f>G32*營業基本資訊!$D$7</f>
        <v>0</v>
      </c>
      <c r="P32" s="78">
        <f t="shared" si="17"/>
        <v>16.5</v>
      </c>
      <c r="Q32" s="128">
        <f t="shared" si="18"/>
        <v>187.43428</v>
      </c>
      <c r="R32" s="88">
        <f t="shared" si="19"/>
        <v>16.892420000000016</v>
      </c>
      <c r="S32" s="182">
        <f t="shared" si="20"/>
        <v>5.1189151515151562E-2</v>
      </c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pans="1:38" ht="14.25" customHeight="1">
      <c r="A33" s="177" t="s">
        <v>197</v>
      </c>
      <c r="B33" s="178" t="s">
        <v>193</v>
      </c>
      <c r="C33" s="177"/>
      <c r="D33" s="177"/>
      <c r="E33" s="179" t="s">
        <v>198</v>
      </c>
      <c r="F33" s="185">
        <v>480</v>
      </c>
      <c r="G33" s="184">
        <v>450</v>
      </c>
      <c r="H33" s="74">
        <f t="shared" si="14"/>
        <v>0.9375</v>
      </c>
      <c r="I33" s="181">
        <v>115</v>
      </c>
      <c r="J33" s="75">
        <f t="shared" si="15"/>
        <v>335</v>
      </c>
      <c r="K33" s="76">
        <f t="shared" si="16"/>
        <v>0.74444444444444446</v>
      </c>
      <c r="L33" s="128">
        <f>G33*營業基本資訊!$D$8</f>
        <v>0</v>
      </c>
      <c r="M33" s="78">
        <f>G33*營業基本資訊!$D$5</f>
        <v>233.09220000000002</v>
      </c>
      <c r="N33" s="78"/>
      <c r="O33" s="78">
        <f>G33*營業基本資訊!$D$7</f>
        <v>0</v>
      </c>
      <c r="P33" s="78">
        <f t="shared" si="17"/>
        <v>22.5</v>
      </c>
      <c r="Q33" s="128">
        <f t="shared" si="18"/>
        <v>255.59220000000002</v>
      </c>
      <c r="R33" s="88">
        <f t="shared" si="19"/>
        <v>79.40779999999998</v>
      </c>
      <c r="S33" s="182">
        <f t="shared" si="20"/>
        <v>0.17646177777777775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spans="1:38" ht="14.25" customHeight="1">
      <c r="A34" s="177" t="s">
        <v>199</v>
      </c>
      <c r="B34" s="178" t="s">
        <v>193</v>
      </c>
      <c r="C34" s="177"/>
      <c r="D34" s="177"/>
      <c r="E34" s="179" t="s">
        <v>200</v>
      </c>
      <c r="F34" s="185">
        <v>380</v>
      </c>
      <c r="G34" s="184">
        <v>360</v>
      </c>
      <c r="H34" s="74">
        <f t="shared" si="14"/>
        <v>0.94736842105263153</v>
      </c>
      <c r="I34" s="181">
        <v>136</v>
      </c>
      <c r="J34" s="75">
        <f t="shared" si="15"/>
        <v>224</v>
      </c>
      <c r="K34" s="76">
        <f t="shared" si="16"/>
        <v>0.62222222222222223</v>
      </c>
      <c r="L34" s="128">
        <f>G34*營業基本資訊!$D$8</f>
        <v>0</v>
      </c>
      <c r="M34" s="78">
        <f>G34*營業基本資訊!$D$5</f>
        <v>186.47376000000003</v>
      </c>
      <c r="N34" s="78"/>
      <c r="O34" s="78">
        <f>G34*營業基本資訊!$D$7</f>
        <v>0</v>
      </c>
      <c r="P34" s="78">
        <f t="shared" si="17"/>
        <v>18</v>
      </c>
      <c r="Q34" s="128">
        <f t="shared" si="18"/>
        <v>204.47376000000003</v>
      </c>
      <c r="R34" s="88">
        <f t="shared" si="19"/>
        <v>19.526239999999973</v>
      </c>
      <c r="S34" s="182">
        <f t="shared" si="20"/>
        <v>5.4239555555555478E-2</v>
      </c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spans="1:38" ht="15.75" customHeight="1">
      <c r="A35" s="177" t="s">
        <v>201</v>
      </c>
      <c r="B35" s="178" t="s">
        <v>193</v>
      </c>
      <c r="C35" s="177"/>
      <c r="D35" s="177"/>
      <c r="E35" s="179" t="s">
        <v>202</v>
      </c>
      <c r="F35" s="185">
        <v>100</v>
      </c>
      <c r="G35" s="184">
        <v>95</v>
      </c>
      <c r="H35" s="74">
        <f t="shared" si="14"/>
        <v>0.95</v>
      </c>
      <c r="I35" s="181">
        <v>43.8</v>
      </c>
      <c r="J35" s="75">
        <f t="shared" si="15"/>
        <v>51.2</v>
      </c>
      <c r="K35" s="76">
        <f t="shared" si="16"/>
        <v>0.53894736842105262</v>
      </c>
      <c r="L35" s="128">
        <f>G35*營業基本資訊!$D$8</f>
        <v>0</v>
      </c>
      <c r="M35" s="78">
        <f>G35*營業基本資訊!$D$5</f>
        <v>49.208353333333335</v>
      </c>
      <c r="N35" s="78"/>
      <c r="O35" s="78">
        <f>G35*營業基本資訊!$D$7</f>
        <v>0</v>
      </c>
      <c r="P35" s="78">
        <f t="shared" si="17"/>
        <v>4.75</v>
      </c>
      <c r="Q35" s="128">
        <f t="shared" si="18"/>
        <v>53.958353333333335</v>
      </c>
      <c r="R35" s="88">
        <f t="shared" si="19"/>
        <v>-2.7583533333333321</v>
      </c>
      <c r="S35" s="182">
        <f t="shared" si="20"/>
        <v>-2.9035298245614023E-2</v>
      </c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pans="1:38" ht="24.75" customHeight="1">
      <c r="A36" s="298" t="s">
        <v>203</v>
      </c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300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1:38" ht="15.75" customHeight="1">
      <c r="A37" s="177" t="s">
        <v>204</v>
      </c>
      <c r="B37" s="177"/>
      <c r="C37" s="177"/>
      <c r="D37" s="177"/>
      <c r="E37" s="183" t="s">
        <v>203</v>
      </c>
      <c r="F37" s="177">
        <v>180</v>
      </c>
      <c r="G37" s="180">
        <v>180</v>
      </c>
      <c r="H37" s="74">
        <f t="shared" ref="H37:H39" si="21">G37/F37</f>
        <v>1</v>
      </c>
      <c r="I37" s="181">
        <v>23</v>
      </c>
      <c r="J37" s="75">
        <f t="shared" ref="J37:J39" si="22">G37-I37</f>
        <v>157</v>
      </c>
      <c r="K37" s="76">
        <f t="shared" ref="K37:K39" si="23">J37/G37</f>
        <v>0.87222222222222223</v>
      </c>
      <c r="L37" s="128">
        <f>G37*營業基本資訊!$D$8</f>
        <v>0</v>
      </c>
      <c r="M37" s="78">
        <f>G37*營業基本資訊!$D$5</f>
        <v>93.236880000000014</v>
      </c>
      <c r="N37" s="78">
        <f>G37*營業基本資訊!$D$6</f>
        <v>0</v>
      </c>
      <c r="O37" s="78">
        <f>G37*營業基本資訊!$D$7</f>
        <v>0</v>
      </c>
      <c r="P37" s="78">
        <f t="shared" ref="P37:P39" si="24">G37*0.05</f>
        <v>9</v>
      </c>
      <c r="Q37" s="128">
        <f t="shared" ref="Q37:Q39" si="25">SUM(L37:P37)</f>
        <v>102.23688000000001</v>
      </c>
      <c r="R37" s="88">
        <f t="shared" ref="R37:R39" si="26">J37-Q37</f>
        <v>54.763119999999986</v>
      </c>
      <c r="S37" s="182">
        <f t="shared" ref="S37:S39" si="27">R37/G37</f>
        <v>0.30423955555555549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1:38" ht="15.75" customHeight="1">
      <c r="A38" s="177" t="s">
        <v>204</v>
      </c>
      <c r="B38" s="177"/>
      <c r="C38" s="177"/>
      <c r="D38" s="177"/>
      <c r="E38" s="183" t="s">
        <v>205</v>
      </c>
      <c r="F38" s="184">
        <f>F37*2</f>
        <v>360</v>
      </c>
      <c r="G38" s="185">
        <v>340</v>
      </c>
      <c r="H38" s="74">
        <f t="shared" si="21"/>
        <v>0.94444444444444442</v>
      </c>
      <c r="I38" s="181">
        <f>I37*2</f>
        <v>46</v>
      </c>
      <c r="J38" s="75">
        <f t="shared" si="22"/>
        <v>294</v>
      </c>
      <c r="K38" s="76">
        <f t="shared" si="23"/>
        <v>0.86470588235294121</v>
      </c>
      <c r="L38" s="128">
        <f>G38*營業基本資訊!$D$8</f>
        <v>0</v>
      </c>
      <c r="M38" s="78">
        <f>G38*營業基本資訊!$D$5</f>
        <v>176.11410666666669</v>
      </c>
      <c r="N38" s="78">
        <f>G38*營業基本資訊!$D$6</f>
        <v>0</v>
      </c>
      <c r="O38" s="78">
        <f>G38*營業基本資訊!$D$7</f>
        <v>0</v>
      </c>
      <c r="P38" s="78">
        <f t="shared" si="24"/>
        <v>17</v>
      </c>
      <c r="Q38" s="128">
        <f t="shared" si="25"/>
        <v>193.11410666666669</v>
      </c>
      <c r="R38" s="88">
        <f t="shared" si="26"/>
        <v>100.88589333333331</v>
      </c>
      <c r="S38" s="182">
        <f t="shared" si="27"/>
        <v>0.29672321568627447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1:38" ht="15.75" customHeight="1">
      <c r="A39" s="177" t="s">
        <v>193</v>
      </c>
      <c r="B39" s="177" t="s">
        <v>193</v>
      </c>
      <c r="C39" s="177"/>
      <c r="D39" s="177"/>
      <c r="E39" s="183" t="s">
        <v>203</v>
      </c>
      <c r="F39" s="185">
        <v>180</v>
      </c>
      <c r="G39" s="184">
        <v>170</v>
      </c>
      <c r="H39" s="74">
        <f t="shared" si="21"/>
        <v>0.94444444444444442</v>
      </c>
      <c r="I39" s="181">
        <v>23</v>
      </c>
      <c r="J39" s="75">
        <f t="shared" si="22"/>
        <v>147</v>
      </c>
      <c r="K39" s="76">
        <f t="shared" si="23"/>
        <v>0.86470588235294121</v>
      </c>
      <c r="L39" s="128">
        <f>G39*營業基本資訊!$D$8</f>
        <v>0</v>
      </c>
      <c r="M39" s="78">
        <f>G39*營業基本資訊!$D$5</f>
        <v>88.057053333333343</v>
      </c>
      <c r="N39" s="78">
        <f>G39*營業基本資訊!$D$6</f>
        <v>0</v>
      </c>
      <c r="O39" s="78">
        <f>G39*營業基本資訊!$D$7</f>
        <v>0</v>
      </c>
      <c r="P39" s="78">
        <f t="shared" si="24"/>
        <v>8.5</v>
      </c>
      <c r="Q39" s="128">
        <f t="shared" si="25"/>
        <v>96.557053333333343</v>
      </c>
      <c r="R39" s="88">
        <f t="shared" si="26"/>
        <v>50.442946666666657</v>
      </c>
      <c r="S39" s="182">
        <f t="shared" si="27"/>
        <v>0.29672321568627447</v>
      </c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1:38" ht="33.75" customHeight="1">
      <c r="A40" s="195"/>
      <c r="B40" s="195"/>
      <c r="C40" s="195"/>
      <c r="D40" s="195"/>
      <c r="E40" s="196"/>
      <c r="F40" s="195"/>
      <c r="G40" s="195"/>
      <c r="H40" s="74"/>
      <c r="I40" s="197"/>
      <c r="J40" s="75"/>
      <c r="K40" s="76"/>
      <c r="L40" s="128"/>
      <c r="M40" s="78"/>
      <c r="N40" s="78"/>
      <c r="O40" s="78"/>
      <c r="P40" s="78"/>
      <c r="Q40" s="78"/>
      <c r="R40" s="88"/>
      <c r="S40" s="7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1:38" ht="14.25" customHeight="1">
      <c r="A41" s="177" t="s">
        <v>206</v>
      </c>
      <c r="B41" s="178"/>
      <c r="C41" s="177"/>
      <c r="D41" s="177"/>
      <c r="E41" s="183" t="s">
        <v>207</v>
      </c>
      <c r="F41" s="177">
        <v>420</v>
      </c>
      <c r="G41" s="180">
        <v>420</v>
      </c>
      <c r="H41" s="74">
        <f t="shared" ref="H41:H59" si="28">G41/F41</f>
        <v>1</v>
      </c>
      <c r="I41" s="181">
        <v>235.88</v>
      </c>
      <c r="J41" s="75">
        <f t="shared" ref="J41:J59" si="29">G41-I41</f>
        <v>184.12</v>
      </c>
      <c r="K41" s="76">
        <f t="shared" ref="K41:K59" si="30">J41/G41</f>
        <v>0.43838095238095237</v>
      </c>
      <c r="L41" s="128">
        <f>G41*營業基本資訊!$D$8</f>
        <v>0</v>
      </c>
      <c r="M41" s="78">
        <f>G41*營業基本資訊!$D$5</f>
        <v>217.55272000000002</v>
      </c>
      <c r="N41" s="78">
        <f>G41*營業基本資訊!$D$6</f>
        <v>0</v>
      </c>
      <c r="O41" s="78">
        <f>G41*營業基本資訊!$D$7</f>
        <v>0</v>
      </c>
      <c r="P41" s="78">
        <f t="shared" ref="P41:P59" si="31">G41*0.05</f>
        <v>21</v>
      </c>
      <c r="Q41" s="128">
        <f t="shared" ref="Q41:Q59" si="32">SUM(L41:P41)</f>
        <v>238.55272000000002</v>
      </c>
      <c r="R41" s="88">
        <f t="shared" ref="R41:R59" si="33">J41-Q41</f>
        <v>-54.432720000000018</v>
      </c>
      <c r="S41" s="182">
        <f t="shared" ref="S41:S59" si="34">R41/G41</f>
        <v>-0.12960171428571432</v>
      </c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1:38" ht="14.25" customHeight="1">
      <c r="A42" s="177" t="s">
        <v>208</v>
      </c>
      <c r="B42" s="178"/>
      <c r="C42" s="177"/>
      <c r="D42" s="177"/>
      <c r="E42" s="183" t="s">
        <v>209</v>
      </c>
      <c r="F42" s="177">
        <v>420</v>
      </c>
      <c r="G42" s="180">
        <v>420</v>
      </c>
      <c r="H42" s="74">
        <f t="shared" si="28"/>
        <v>1</v>
      </c>
      <c r="I42" s="181">
        <v>235.88</v>
      </c>
      <c r="J42" s="75">
        <f t="shared" si="29"/>
        <v>184.12</v>
      </c>
      <c r="K42" s="76">
        <f t="shared" si="30"/>
        <v>0.43838095238095237</v>
      </c>
      <c r="L42" s="128">
        <v>350</v>
      </c>
      <c r="M42" s="78">
        <f>G42*營業基本資訊!$D$5</f>
        <v>217.55272000000002</v>
      </c>
      <c r="N42" s="78">
        <f>G42*營業基本資訊!$D$6</f>
        <v>0</v>
      </c>
      <c r="O42" s="78">
        <f>G42*營業基本資訊!$D$7</f>
        <v>0</v>
      </c>
      <c r="P42" s="78">
        <f t="shared" si="31"/>
        <v>21</v>
      </c>
      <c r="Q42" s="128">
        <f t="shared" si="32"/>
        <v>588.55272000000002</v>
      </c>
      <c r="R42" s="88">
        <f t="shared" si="33"/>
        <v>-404.43272000000002</v>
      </c>
      <c r="S42" s="182">
        <f t="shared" si="34"/>
        <v>-0.96293504761904769</v>
      </c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1:38" ht="14.25" customHeight="1">
      <c r="A43" s="177" t="s">
        <v>210</v>
      </c>
      <c r="B43" s="178"/>
      <c r="C43" s="177"/>
      <c r="D43" s="177"/>
      <c r="E43" s="183" t="s">
        <v>211</v>
      </c>
      <c r="F43" s="177">
        <v>420</v>
      </c>
      <c r="G43" s="180">
        <v>420</v>
      </c>
      <c r="H43" s="74">
        <f t="shared" si="28"/>
        <v>1</v>
      </c>
      <c r="I43" s="181">
        <v>235.18</v>
      </c>
      <c r="J43" s="75">
        <f t="shared" si="29"/>
        <v>184.82</v>
      </c>
      <c r="K43" s="76">
        <f t="shared" si="30"/>
        <v>0.44004761904761902</v>
      </c>
      <c r="L43" s="128">
        <v>350</v>
      </c>
      <c r="M43" s="78">
        <f>G43*營業基本資訊!$D$5</f>
        <v>217.55272000000002</v>
      </c>
      <c r="N43" s="78">
        <f>G43*營業基本資訊!$D$6</f>
        <v>0</v>
      </c>
      <c r="O43" s="78">
        <f>G43*營業基本資訊!$D$7</f>
        <v>0</v>
      </c>
      <c r="P43" s="78">
        <f t="shared" si="31"/>
        <v>21</v>
      </c>
      <c r="Q43" s="128">
        <f t="shared" si="32"/>
        <v>588.55272000000002</v>
      </c>
      <c r="R43" s="88">
        <f t="shared" si="33"/>
        <v>-403.73272000000003</v>
      </c>
      <c r="S43" s="182">
        <f t="shared" si="34"/>
        <v>-0.96126838095238099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1:38" ht="14.25" customHeight="1">
      <c r="A44" s="177" t="s">
        <v>212</v>
      </c>
      <c r="B44" s="178"/>
      <c r="C44" s="177"/>
      <c r="D44" s="177"/>
      <c r="E44" s="183" t="s">
        <v>213</v>
      </c>
      <c r="F44" s="177">
        <v>420</v>
      </c>
      <c r="G44" s="180">
        <v>420</v>
      </c>
      <c r="H44" s="74">
        <f t="shared" si="28"/>
        <v>1</v>
      </c>
      <c r="I44" s="181">
        <v>248.43</v>
      </c>
      <c r="J44" s="75">
        <f t="shared" si="29"/>
        <v>171.57</v>
      </c>
      <c r="K44" s="76">
        <f t="shared" si="30"/>
        <v>0.40849999999999997</v>
      </c>
      <c r="L44" s="128">
        <f>G44*營業基本資訊!$D$8</f>
        <v>0</v>
      </c>
      <c r="M44" s="78">
        <f>G44*營業基本資訊!$D$5</f>
        <v>217.55272000000002</v>
      </c>
      <c r="N44" s="78">
        <f>G44*營業基本資訊!$D$6</f>
        <v>0</v>
      </c>
      <c r="O44" s="78">
        <f>G44*營業基本資訊!$D$7</f>
        <v>0</v>
      </c>
      <c r="P44" s="78">
        <f t="shared" si="31"/>
        <v>21</v>
      </c>
      <c r="Q44" s="128">
        <f t="shared" si="32"/>
        <v>238.55272000000002</v>
      </c>
      <c r="R44" s="88">
        <f t="shared" si="33"/>
        <v>-66.982720000000029</v>
      </c>
      <c r="S44" s="182">
        <f t="shared" si="34"/>
        <v>-0.15948266666666674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ht="14.25" customHeight="1">
      <c r="A45" s="177" t="s">
        <v>214</v>
      </c>
      <c r="B45" s="178"/>
      <c r="C45" s="177"/>
      <c r="D45" s="177"/>
      <c r="E45" s="183" t="s">
        <v>215</v>
      </c>
      <c r="F45" s="177">
        <v>360</v>
      </c>
      <c r="G45" s="180">
        <v>360</v>
      </c>
      <c r="H45" s="74">
        <f t="shared" si="28"/>
        <v>1</v>
      </c>
      <c r="I45" s="181">
        <v>291.79000000000002</v>
      </c>
      <c r="J45" s="75">
        <f t="shared" si="29"/>
        <v>68.20999999999998</v>
      </c>
      <c r="K45" s="76">
        <f t="shared" si="30"/>
        <v>0.18947222222222215</v>
      </c>
      <c r="L45" s="128">
        <f>G45*營業基本資訊!$D$8</f>
        <v>0</v>
      </c>
      <c r="M45" s="78">
        <f>G45*營業基本資訊!$D$5</f>
        <v>186.47376000000003</v>
      </c>
      <c r="N45" s="78">
        <f>G45*營業基本資訊!$D$6</f>
        <v>0</v>
      </c>
      <c r="O45" s="78">
        <f>G45*營業基本資訊!$D$7</f>
        <v>0</v>
      </c>
      <c r="P45" s="78">
        <f t="shared" si="31"/>
        <v>18</v>
      </c>
      <c r="Q45" s="128">
        <f t="shared" si="32"/>
        <v>204.47376000000003</v>
      </c>
      <c r="R45" s="88">
        <f t="shared" si="33"/>
        <v>-136.26376000000005</v>
      </c>
      <c r="S45" s="182">
        <f t="shared" si="34"/>
        <v>-0.37851044444444459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1:38" ht="14.25" customHeight="1">
      <c r="A46" s="177" t="s">
        <v>216</v>
      </c>
      <c r="B46" s="178"/>
      <c r="C46" s="177"/>
      <c r="D46" s="177"/>
      <c r="E46" s="183" t="s">
        <v>217</v>
      </c>
      <c r="F46" s="177">
        <v>360</v>
      </c>
      <c r="G46" s="180">
        <v>360</v>
      </c>
      <c r="H46" s="74">
        <f t="shared" si="28"/>
        <v>1</v>
      </c>
      <c r="I46" s="181">
        <v>291.79000000000002</v>
      </c>
      <c r="J46" s="75">
        <f t="shared" si="29"/>
        <v>68.20999999999998</v>
      </c>
      <c r="K46" s="76">
        <f t="shared" si="30"/>
        <v>0.18947222222222215</v>
      </c>
      <c r="L46" s="128">
        <f>G46*營業基本資訊!$D$8</f>
        <v>0</v>
      </c>
      <c r="M46" s="78">
        <f>G46*營業基本資訊!$D$5</f>
        <v>186.47376000000003</v>
      </c>
      <c r="N46" s="78">
        <f>G46*營業基本資訊!$D$6</f>
        <v>0</v>
      </c>
      <c r="O46" s="78">
        <f>G46*營業基本資訊!$D$7</f>
        <v>0</v>
      </c>
      <c r="P46" s="78">
        <f t="shared" si="31"/>
        <v>18</v>
      </c>
      <c r="Q46" s="128">
        <f t="shared" si="32"/>
        <v>204.47376000000003</v>
      </c>
      <c r="R46" s="88">
        <f t="shared" si="33"/>
        <v>-136.26376000000005</v>
      </c>
      <c r="S46" s="182">
        <f t="shared" si="34"/>
        <v>-0.37851044444444459</v>
      </c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1:38" ht="14.25" customHeight="1">
      <c r="A47" s="177" t="s">
        <v>218</v>
      </c>
      <c r="B47" s="178"/>
      <c r="C47" s="177"/>
      <c r="D47" s="177"/>
      <c r="E47" s="183" t="s">
        <v>219</v>
      </c>
      <c r="F47" s="177">
        <v>360</v>
      </c>
      <c r="G47" s="180">
        <v>360</v>
      </c>
      <c r="H47" s="74">
        <f t="shared" si="28"/>
        <v>1</v>
      </c>
      <c r="I47" s="181">
        <v>291.79000000000002</v>
      </c>
      <c r="J47" s="75">
        <f t="shared" si="29"/>
        <v>68.20999999999998</v>
      </c>
      <c r="K47" s="76">
        <f t="shared" si="30"/>
        <v>0.18947222222222215</v>
      </c>
      <c r="L47" s="128">
        <v>350</v>
      </c>
      <c r="M47" s="78">
        <f>G47*營業基本資訊!$D$5</f>
        <v>186.47376000000003</v>
      </c>
      <c r="N47" s="78">
        <f>G47*營業基本資訊!$D$6</f>
        <v>0</v>
      </c>
      <c r="O47" s="78">
        <f>G47*營業基本資訊!$D$7</f>
        <v>0</v>
      </c>
      <c r="P47" s="78">
        <f t="shared" si="31"/>
        <v>18</v>
      </c>
      <c r="Q47" s="128">
        <f t="shared" si="32"/>
        <v>554.47376000000008</v>
      </c>
      <c r="R47" s="88">
        <f t="shared" si="33"/>
        <v>-486.2637600000001</v>
      </c>
      <c r="S47" s="182">
        <f t="shared" si="34"/>
        <v>-1.350732666666667</v>
      </c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1:38" ht="14.25" customHeight="1">
      <c r="A48" s="177" t="s">
        <v>220</v>
      </c>
      <c r="B48" s="178"/>
      <c r="C48" s="177"/>
      <c r="D48" s="177"/>
      <c r="E48" s="183" t="s">
        <v>221</v>
      </c>
      <c r="F48" s="177">
        <v>360</v>
      </c>
      <c r="G48" s="180">
        <v>360</v>
      </c>
      <c r="H48" s="74">
        <f t="shared" si="28"/>
        <v>1</v>
      </c>
      <c r="I48" s="181">
        <v>291.79000000000002</v>
      </c>
      <c r="J48" s="75">
        <f t="shared" si="29"/>
        <v>68.20999999999998</v>
      </c>
      <c r="K48" s="76">
        <f t="shared" si="30"/>
        <v>0.18947222222222215</v>
      </c>
      <c r="L48" s="128">
        <f>G48*營業基本資訊!$D$8</f>
        <v>0</v>
      </c>
      <c r="M48" s="78">
        <f>G48*營業基本資訊!$D$5</f>
        <v>186.47376000000003</v>
      </c>
      <c r="N48" s="78">
        <f>G48*營業基本資訊!$D$6</f>
        <v>0</v>
      </c>
      <c r="O48" s="78">
        <f>G48*營業基本資訊!$D$7</f>
        <v>0</v>
      </c>
      <c r="P48" s="78">
        <f t="shared" si="31"/>
        <v>18</v>
      </c>
      <c r="Q48" s="128">
        <f t="shared" si="32"/>
        <v>204.47376000000003</v>
      </c>
      <c r="R48" s="88">
        <f t="shared" si="33"/>
        <v>-136.26376000000005</v>
      </c>
      <c r="S48" s="182">
        <f t="shared" si="34"/>
        <v>-0.37851044444444459</v>
      </c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ht="14.25" customHeight="1">
      <c r="A49" s="177" t="s">
        <v>222</v>
      </c>
      <c r="B49" s="178"/>
      <c r="C49" s="177"/>
      <c r="D49" s="177"/>
      <c r="E49" s="183" t="s">
        <v>223</v>
      </c>
      <c r="F49" s="177">
        <v>360</v>
      </c>
      <c r="G49" s="180">
        <v>360</v>
      </c>
      <c r="H49" s="74">
        <f t="shared" si="28"/>
        <v>1</v>
      </c>
      <c r="I49" s="181">
        <v>297.79000000000002</v>
      </c>
      <c r="J49" s="75">
        <f t="shared" si="29"/>
        <v>62.20999999999998</v>
      </c>
      <c r="K49" s="76">
        <f t="shared" si="30"/>
        <v>0.17280555555555549</v>
      </c>
      <c r="L49" s="128">
        <f>G49*營業基本資訊!$D$8</f>
        <v>0</v>
      </c>
      <c r="M49" s="78">
        <f>G49*營業基本資訊!$D$5</f>
        <v>186.47376000000003</v>
      </c>
      <c r="N49" s="78">
        <f>G49*營業基本資訊!$D$6</f>
        <v>0</v>
      </c>
      <c r="O49" s="78">
        <f>G49*營業基本資訊!$D$7</f>
        <v>0</v>
      </c>
      <c r="P49" s="78">
        <f t="shared" si="31"/>
        <v>18</v>
      </c>
      <c r="Q49" s="128">
        <f t="shared" si="32"/>
        <v>204.47376000000003</v>
      </c>
      <c r="R49" s="88">
        <f t="shared" si="33"/>
        <v>-142.26376000000005</v>
      </c>
      <c r="S49" s="182">
        <f t="shared" si="34"/>
        <v>-0.39517711111111126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ht="15.75" customHeight="1">
      <c r="A50" s="177" t="s">
        <v>224</v>
      </c>
      <c r="B50" s="178"/>
      <c r="C50" s="177"/>
      <c r="D50" s="177"/>
      <c r="E50" s="183" t="s">
        <v>225</v>
      </c>
      <c r="F50" s="177">
        <v>340</v>
      </c>
      <c r="G50" s="180">
        <v>340</v>
      </c>
      <c r="H50" s="74">
        <f t="shared" si="28"/>
        <v>1</v>
      </c>
      <c r="I50" s="181">
        <v>216.38</v>
      </c>
      <c r="J50" s="75">
        <f t="shared" si="29"/>
        <v>123.62</v>
      </c>
      <c r="K50" s="76">
        <f t="shared" si="30"/>
        <v>0.36358823529411766</v>
      </c>
      <c r="L50" s="128">
        <f>G50*營業基本資訊!$D$8</f>
        <v>0</v>
      </c>
      <c r="M50" s="78">
        <f>G50*營業基本資訊!$D$5</f>
        <v>176.11410666666669</v>
      </c>
      <c r="N50" s="78">
        <f>G50*營業基本資訊!$D$6</f>
        <v>0</v>
      </c>
      <c r="O50" s="78">
        <f>G50*營業基本資訊!$D$7</f>
        <v>0</v>
      </c>
      <c r="P50" s="78">
        <f t="shared" si="31"/>
        <v>17</v>
      </c>
      <c r="Q50" s="128">
        <f t="shared" si="32"/>
        <v>193.11410666666669</v>
      </c>
      <c r="R50" s="88">
        <f t="shared" si="33"/>
        <v>-69.494106666666681</v>
      </c>
      <c r="S50" s="182">
        <f t="shared" si="34"/>
        <v>-0.20439443137254906</v>
      </c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1:38" ht="15.75" customHeight="1">
      <c r="A51" s="177" t="s">
        <v>226</v>
      </c>
      <c r="B51" s="178"/>
      <c r="C51" s="177"/>
      <c r="D51" s="177"/>
      <c r="E51" s="183" t="s">
        <v>227</v>
      </c>
      <c r="F51" s="177">
        <v>340</v>
      </c>
      <c r="G51" s="180">
        <v>340</v>
      </c>
      <c r="H51" s="74">
        <f t="shared" si="28"/>
        <v>1</v>
      </c>
      <c r="I51" s="181">
        <v>233.5</v>
      </c>
      <c r="J51" s="75">
        <f t="shared" si="29"/>
        <v>106.5</v>
      </c>
      <c r="K51" s="76">
        <f t="shared" si="30"/>
        <v>0.31323529411764706</v>
      </c>
      <c r="L51" s="128">
        <f>G51*營業基本資訊!$D$8</f>
        <v>0</v>
      </c>
      <c r="M51" s="78">
        <f>G51*營業基本資訊!$D$5</f>
        <v>176.11410666666669</v>
      </c>
      <c r="N51" s="78">
        <f>G51*營業基本資訊!$D$6</f>
        <v>0</v>
      </c>
      <c r="O51" s="78">
        <f>G51*營業基本資訊!$D$7</f>
        <v>0</v>
      </c>
      <c r="P51" s="78">
        <f t="shared" si="31"/>
        <v>17</v>
      </c>
      <c r="Q51" s="128">
        <f t="shared" si="32"/>
        <v>193.11410666666669</v>
      </c>
      <c r="R51" s="88">
        <f t="shared" si="33"/>
        <v>-86.614106666666686</v>
      </c>
      <c r="S51" s="182">
        <f t="shared" si="34"/>
        <v>-0.25474737254901969</v>
      </c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1:38" ht="15.75" customHeight="1">
      <c r="A52" s="177" t="s">
        <v>228</v>
      </c>
      <c r="B52" s="177"/>
      <c r="C52" s="177"/>
      <c r="D52" s="177"/>
      <c r="E52" s="183" t="s">
        <v>229</v>
      </c>
      <c r="F52" s="177">
        <v>340</v>
      </c>
      <c r="G52" s="180">
        <v>340</v>
      </c>
      <c r="H52" s="74">
        <f t="shared" si="28"/>
        <v>1</v>
      </c>
      <c r="I52" s="181">
        <v>216</v>
      </c>
      <c r="J52" s="75">
        <f t="shared" si="29"/>
        <v>124</v>
      </c>
      <c r="K52" s="76">
        <f t="shared" si="30"/>
        <v>0.36470588235294116</v>
      </c>
      <c r="L52" s="128">
        <f>G52*營業基本資訊!$D$8</f>
        <v>0</v>
      </c>
      <c r="M52" s="78">
        <f>G52*營業基本資訊!$D$5</f>
        <v>176.11410666666669</v>
      </c>
      <c r="N52" s="78">
        <f>G52*營業基本資訊!$D$6</f>
        <v>0</v>
      </c>
      <c r="O52" s="78">
        <f>G52*營業基本資訊!$D$7</f>
        <v>0</v>
      </c>
      <c r="P52" s="78">
        <f t="shared" si="31"/>
        <v>17</v>
      </c>
      <c r="Q52" s="128">
        <f t="shared" si="32"/>
        <v>193.11410666666669</v>
      </c>
      <c r="R52" s="88">
        <f t="shared" si="33"/>
        <v>-69.114106666666686</v>
      </c>
      <c r="S52" s="182">
        <f t="shared" si="34"/>
        <v>-0.20327678431372553</v>
      </c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1:38" ht="15.75" customHeight="1">
      <c r="A53" s="177" t="s">
        <v>230</v>
      </c>
      <c r="B53" s="177"/>
      <c r="C53" s="177"/>
      <c r="D53" s="177"/>
      <c r="E53" s="183" t="s">
        <v>231</v>
      </c>
      <c r="F53" s="177">
        <v>210</v>
      </c>
      <c r="G53" s="180">
        <v>210</v>
      </c>
      <c r="H53" s="74">
        <f t="shared" si="28"/>
        <v>1</v>
      </c>
      <c r="I53" s="181">
        <v>101.63</v>
      </c>
      <c r="J53" s="75">
        <f t="shared" si="29"/>
        <v>108.37</v>
      </c>
      <c r="K53" s="76">
        <f t="shared" si="30"/>
        <v>0.51604761904761909</v>
      </c>
      <c r="L53" s="128">
        <f>G53*營業基本資訊!$D$8</f>
        <v>0</v>
      </c>
      <c r="M53" s="78">
        <f>G53*營業基本資訊!$D$5</f>
        <v>108.77636000000001</v>
      </c>
      <c r="N53" s="78">
        <f>G53*營業基本資訊!$D$6</f>
        <v>0</v>
      </c>
      <c r="O53" s="78">
        <f>G53*營業基本資訊!$D$7</f>
        <v>0</v>
      </c>
      <c r="P53" s="78">
        <f t="shared" si="31"/>
        <v>10.5</v>
      </c>
      <c r="Q53" s="128">
        <f t="shared" si="32"/>
        <v>119.27636000000001</v>
      </c>
      <c r="R53" s="88">
        <f t="shared" si="33"/>
        <v>-10.906360000000006</v>
      </c>
      <c r="S53" s="182">
        <f t="shared" si="34"/>
        <v>-5.1935047619047651E-2</v>
      </c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1:38" ht="15.75" customHeight="1">
      <c r="A54" s="177" t="s">
        <v>232</v>
      </c>
      <c r="B54" s="177"/>
      <c r="C54" s="177"/>
      <c r="D54" s="177"/>
      <c r="E54" s="183" t="s">
        <v>233</v>
      </c>
      <c r="F54" s="177">
        <v>210</v>
      </c>
      <c r="G54" s="180">
        <v>210</v>
      </c>
      <c r="H54" s="74">
        <f t="shared" si="28"/>
        <v>1</v>
      </c>
      <c r="I54" s="181">
        <v>101.44</v>
      </c>
      <c r="J54" s="75">
        <f t="shared" si="29"/>
        <v>108.56</v>
      </c>
      <c r="K54" s="76">
        <f t="shared" si="30"/>
        <v>0.51695238095238094</v>
      </c>
      <c r="L54" s="128">
        <f>G54*營業基本資訊!$D$8</f>
        <v>0</v>
      </c>
      <c r="M54" s="78">
        <f>G54*營業基本資訊!$D$5</f>
        <v>108.77636000000001</v>
      </c>
      <c r="N54" s="78">
        <f>G54*營業基本資訊!$D$6</f>
        <v>0</v>
      </c>
      <c r="O54" s="78">
        <f>G54*營業基本資訊!$D$7</f>
        <v>0</v>
      </c>
      <c r="P54" s="78">
        <f t="shared" si="31"/>
        <v>10.5</v>
      </c>
      <c r="Q54" s="128">
        <f t="shared" si="32"/>
        <v>119.27636000000001</v>
      </c>
      <c r="R54" s="88">
        <f t="shared" si="33"/>
        <v>-10.716360000000009</v>
      </c>
      <c r="S54" s="182">
        <f t="shared" si="34"/>
        <v>-5.1030285714285757E-2</v>
      </c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1:38" ht="15.75" customHeight="1">
      <c r="A55" s="177" t="s">
        <v>234</v>
      </c>
      <c r="B55" s="177"/>
      <c r="C55" s="177"/>
      <c r="D55" s="177"/>
      <c r="E55" s="183" t="s">
        <v>235</v>
      </c>
      <c r="F55" s="177">
        <v>90</v>
      </c>
      <c r="G55" s="180">
        <v>90</v>
      </c>
      <c r="H55" s="74">
        <f t="shared" si="28"/>
        <v>1</v>
      </c>
      <c r="I55" s="181">
        <v>43.33</v>
      </c>
      <c r="J55" s="75">
        <f t="shared" si="29"/>
        <v>46.67</v>
      </c>
      <c r="K55" s="76">
        <f t="shared" si="30"/>
        <v>0.51855555555555555</v>
      </c>
      <c r="L55" s="128">
        <f>G55*營業基本資訊!$D$8</f>
        <v>0</v>
      </c>
      <c r="M55" s="78">
        <f>G55*營業基本資訊!$D$5</f>
        <v>46.618440000000007</v>
      </c>
      <c r="N55" s="78">
        <f>G55*營業基本資訊!$D$6</f>
        <v>0</v>
      </c>
      <c r="O55" s="78">
        <f>G55*營業基本資訊!$D$7</f>
        <v>0</v>
      </c>
      <c r="P55" s="78">
        <f t="shared" si="31"/>
        <v>4.5</v>
      </c>
      <c r="Q55" s="128">
        <f t="shared" si="32"/>
        <v>51.118440000000007</v>
      </c>
      <c r="R55" s="88">
        <f t="shared" si="33"/>
        <v>-4.4484400000000051</v>
      </c>
      <c r="S55" s="182">
        <f t="shared" si="34"/>
        <v>-4.9427111111111165E-2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1:38" ht="15.75" customHeight="1">
      <c r="A56" s="177" t="s">
        <v>236</v>
      </c>
      <c r="B56" s="177"/>
      <c r="C56" s="177"/>
      <c r="D56" s="177"/>
      <c r="E56" s="183" t="s">
        <v>237</v>
      </c>
      <c r="F56" s="177">
        <v>90</v>
      </c>
      <c r="G56" s="180">
        <v>90</v>
      </c>
      <c r="H56" s="74">
        <f t="shared" si="28"/>
        <v>1</v>
      </c>
      <c r="I56" s="181">
        <v>46.74</v>
      </c>
      <c r="J56" s="75">
        <f t="shared" si="29"/>
        <v>43.26</v>
      </c>
      <c r="K56" s="76">
        <f t="shared" si="30"/>
        <v>0.48066666666666663</v>
      </c>
      <c r="L56" s="128">
        <f>G56*營業基本資訊!$D$8</f>
        <v>0</v>
      </c>
      <c r="M56" s="78">
        <f>G56*營業基本資訊!$D$5</f>
        <v>46.618440000000007</v>
      </c>
      <c r="N56" s="78">
        <f>G56*營業基本資訊!$D$6</f>
        <v>0</v>
      </c>
      <c r="O56" s="78">
        <f>G56*營業基本資訊!$D$7</f>
        <v>0</v>
      </c>
      <c r="P56" s="78">
        <f t="shared" si="31"/>
        <v>4.5</v>
      </c>
      <c r="Q56" s="128">
        <f t="shared" si="32"/>
        <v>51.118440000000007</v>
      </c>
      <c r="R56" s="88">
        <f t="shared" si="33"/>
        <v>-7.8584400000000088</v>
      </c>
      <c r="S56" s="182">
        <f t="shared" si="34"/>
        <v>-8.7316000000000102E-2</v>
      </c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1:38" ht="15.75" customHeight="1">
      <c r="A57" s="177" t="s">
        <v>238</v>
      </c>
      <c r="B57" s="177"/>
      <c r="C57" s="177"/>
      <c r="D57" s="177"/>
      <c r="E57" s="183" t="s">
        <v>239</v>
      </c>
      <c r="F57" s="177">
        <v>90</v>
      </c>
      <c r="G57" s="180">
        <v>90</v>
      </c>
      <c r="H57" s="74">
        <f t="shared" si="28"/>
        <v>1</v>
      </c>
      <c r="I57" s="181">
        <v>44.503999999999998</v>
      </c>
      <c r="J57" s="75">
        <f t="shared" si="29"/>
        <v>45.496000000000002</v>
      </c>
      <c r="K57" s="76">
        <f t="shared" si="30"/>
        <v>0.50551111111111113</v>
      </c>
      <c r="L57" s="128">
        <f>G57*營業基本資訊!$D$8</f>
        <v>0</v>
      </c>
      <c r="M57" s="78">
        <f>G57*營業基本資訊!$D$5</f>
        <v>46.618440000000007</v>
      </c>
      <c r="N57" s="78">
        <f>G57*營業基本資訊!$D$6</f>
        <v>0</v>
      </c>
      <c r="O57" s="78">
        <f>G57*營業基本資訊!$D$7</f>
        <v>0</v>
      </c>
      <c r="P57" s="78">
        <f t="shared" si="31"/>
        <v>4.5</v>
      </c>
      <c r="Q57" s="128">
        <f t="shared" si="32"/>
        <v>51.118440000000007</v>
      </c>
      <c r="R57" s="88">
        <f t="shared" si="33"/>
        <v>-5.6224400000000045</v>
      </c>
      <c r="S57" s="182">
        <f t="shared" si="34"/>
        <v>-6.2471555555555607E-2</v>
      </c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1:38" ht="15.75" customHeight="1">
      <c r="A58" s="177" t="s">
        <v>240</v>
      </c>
      <c r="B58" s="177"/>
      <c r="C58" s="177"/>
      <c r="D58" s="177"/>
      <c r="E58" s="183" t="s">
        <v>241</v>
      </c>
      <c r="F58" s="177">
        <v>90</v>
      </c>
      <c r="G58" s="180">
        <v>90</v>
      </c>
      <c r="H58" s="74">
        <f t="shared" si="28"/>
        <v>1</v>
      </c>
      <c r="I58" s="181">
        <v>42.904000000000003</v>
      </c>
      <c r="J58" s="75">
        <f t="shared" si="29"/>
        <v>47.095999999999997</v>
      </c>
      <c r="K58" s="76">
        <f t="shared" si="30"/>
        <v>0.5232888888888888</v>
      </c>
      <c r="L58" s="128">
        <f>G58*營業基本資訊!$D$8</f>
        <v>0</v>
      </c>
      <c r="M58" s="78">
        <f>G58*營業基本資訊!$D$5</f>
        <v>46.618440000000007</v>
      </c>
      <c r="N58" s="78">
        <f>G58*營業基本資訊!$D$6</f>
        <v>0</v>
      </c>
      <c r="O58" s="78">
        <f>G58*營業基本資訊!$D$7</f>
        <v>0</v>
      </c>
      <c r="P58" s="78">
        <f t="shared" si="31"/>
        <v>4.5</v>
      </c>
      <c r="Q58" s="128">
        <f t="shared" si="32"/>
        <v>51.118440000000007</v>
      </c>
      <c r="R58" s="88">
        <f t="shared" si="33"/>
        <v>-4.0224400000000102</v>
      </c>
      <c r="S58" s="182">
        <f t="shared" si="34"/>
        <v>-4.4693777777777895E-2</v>
      </c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1:38" ht="15.75" customHeight="1">
      <c r="A59" s="177" t="s">
        <v>242</v>
      </c>
      <c r="B59" s="177"/>
      <c r="C59" s="177"/>
      <c r="D59" s="177"/>
      <c r="E59" s="183" t="s">
        <v>243</v>
      </c>
      <c r="F59" s="177">
        <v>90</v>
      </c>
      <c r="G59" s="180">
        <v>90</v>
      </c>
      <c r="H59" s="74">
        <f t="shared" si="28"/>
        <v>1</v>
      </c>
      <c r="I59" s="181">
        <v>191.06</v>
      </c>
      <c r="J59" s="75">
        <f t="shared" si="29"/>
        <v>-101.06</v>
      </c>
      <c r="K59" s="76">
        <f t="shared" si="30"/>
        <v>-1.1228888888888888</v>
      </c>
      <c r="L59" s="128">
        <f>G59*營業基本資訊!$D$8</f>
        <v>0</v>
      </c>
      <c r="M59" s="78">
        <f>G59*營業基本資訊!$D$5</f>
        <v>46.618440000000007</v>
      </c>
      <c r="N59" s="78">
        <f>G59*營業基本資訊!$D$6</f>
        <v>0</v>
      </c>
      <c r="O59" s="78">
        <f>G59*營業基本資訊!$D$7</f>
        <v>0</v>
      </c>
      <c r="P59" s="78">
        <f t="shared" si="31"/>
        <v>4.5</v>
      </c>
      <c r="Q59" s="128">
        <f t="shared" si="32"/>
        <v>51.118440000000007</v>
      </c>
      <c r="R59" s="88">
        <f t="shared" si="33"/>
        <v>-152.17844000000002</v>
      </c>
      <c r="S59" s="182">
        <f t="shared" si="34"/>
        <v>-1.6908715555555558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1:38" ht="18.75" customHeight="1">
      <c r="A60" s="198"/>
      <c r="B60" s="198"/>
      <c r="C60" s="198"/>
      <c r="D60" s="198"/>
      <c r="E60" s="199"/>
      <c r="F60" s="198"/>
      <c r="G60" s="200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</row>
    <row r="61" spans="1:38" ht="15.75" customHeight="1">
      <c r="A61" s="177" t="s">
        <v>244</v>
      </c>
      <c r="B61" s="177"/>
      <c r="C61" s="177"/>
      <c r="D61" s="177"/>
      <c r="E61" s="183" t="s">
        <v>245</v>
      </c>
      <c r="F61" s="177">
        <v>180</v>
      </c>
      <c r="G61" s="180">
        <v>180</v>
      </c>
      <c r="H61" s="74">
        <f t="shared" ref="H61:H62" si="35">G61/F61</f>
        <v>1</v>
      </c>
      <c r="I61" s="181">
        <v>30.745560000000001</v>
      </c>
      <c r="J61" s="75">
        <f t="shared" ref="J61:J62" si="36">G61-I61</f>
        <v>149.25443999999999</v>
      </c>
      <c r="K61" s="76">
        <f t="shared" ref="K61:K62" si="37">J61/G61</f>
        <v>0.82919133333333328</v>
      </c>
      <c r="L61" s="128">
        <f>G61*營業基本資訊!$D$8</f>
        <v>0</v>
      </c>
      <c r="M61" s="78">
        <f>G61*營業基本資訊!$D$5</f>
        <v>93.236880000000014</v>
      </c>
      <c r="N61" s="78">
        <f>G61*營業基本資訊!$D$6</f>
        <v>0</v>
      </c>
      <c r="O61" s="78">
        <f>G61*營業基本資訊!$D$7</f>
        <v>0</v>
      </c>
      <c r="P61" s="78">
        <f t="shared" ref="P61:P62" si="38">G61*0.05</f>
        <v>9</v>
      </c>
      <c r="Q61" s="128">
        <f t="shared" ref="Q61:Q62" si="39">SUM(L61:P61)</f>
        <v>102.23688000000001</v>
      </c>
      <c r="R61" s="88">
        <f t="shared" ref="R61:R62" si="40">J61-Q61</f>
        <v>47.017559999999975</v>
      </c>
      <c r="S61" s="182">
        <f t="shared" ref="S61:S62" si="41">R61/G61</f>
        <v>0.26120866666666653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1:38" ht="15.75" customHeight="1">
      <c r="A62" s="177" t="s">
        <v>246</v>
      </c>
      <c r="B62" s="177"/>
      <c r="C62" s="177"/>
      <c r="D62" s="177"/>
      <c r="E62" s="183" t="s">
        <v>247</v>
      </c>
      <c r="F62" s="177">
        <v>150</v>
      </c>
      <c r="G62" s="180">
        <v>150</v>
      </c>
      <c r="H62" s="74">
        <f t="shared" si="35"/>
        <v>1</v>
      </c>
      <c r="I62" s="181">
        <v>34.802500000000002</v>
      </c>
      <c r="J62" s="75">
        <f t="shared" si="36"/>
        <v>115.19749999999999</v>
      </c>
      <c r="K62" s="76">
        <f t="shared" si="37"/>
        <v>0.76798333333333324</v>
      </c>
      <c r="L62" s="128">
        <f>G62*營業基本資訊!$D$8</f>
        <v>0</v>
      </c>
      <c r="M62" s="78">
        <f>G62*營業基本資訊!$D$5</f>
        <v>77.697400000000002</v>
      </c>
      <c r="N62" s="78">
        <f>G62*營業基本資訊!$D$6</f>
        <v>0</v>
      </c>
      <c r="O62" s="78">
        <f>G62*營業基本資訊!$D$7</f>
        <v>0</v>
      </c>
      <c r="P62" s="78">
        <f t="shared" si="38"/>
        <v>7.5</v>
      </c>
      <c r="Q62" s="128">
        <f t="shared" si="39"/>
        <v>85.197400000000002</v>
      </c>
      <c r="R62" s="88">
        <f t="shared" si="40"/>
        <v>30.000099999999989</v>
      </c>
      <c r="S62" s="182">
        <f t="shared" si="41"/>
        <v>0.2000006666666666</v>
      </c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</row>
    <row r="63" spans="1:38" ht="27" customHeight="1">
      <c r="A63" s="198"/>
      <c r="B63" s="198"/>
      <c r="C63" s="198"/>
      <c r="D63" s="198"/>
      <c r="E63" s="199"/>
      <c r="F63" s="198"/>
      <c r="G63" s="200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</row>
    <row r="64" spans="1:38" ht="15.75" customHeight="1">
      <c r="A64" s="177" t="s">
        <v>248</v>
      </c>
      <c r="B64" s="177"/>
      <c r="C64" s="177"/>
      <c r="D64" s="177"/>
      <c r="E64" s="183" t="s">
        <v>249</v>
      </c>
      <c r="F64" s="177">
        <v>70</v>
      </c>
      <c r="G64" s="180">
        <v>70</v>
      </c>
      <c r="H64" s="74">
        <f t="shared" ref="H64:H66" si="42">G64/F64</f>
        <v>1</v>
      </c>
      <c r="I64" s="181">
        <v>30.977499999999999</v>
      </c>
      <c r="J64" s="75">
        <f t="shared" ref="J64:J66" si="43">G64-I64</f>
        <v>39.022500000000001</v>
      </c>
      <c r="K64" s="76">
        <f t="shared" ref="K64:K66" si="44">J64/G64</f>
        <v>0.55746428571428575</v>
      </c>
      <c r="L64" s="128">
        <f>G64*營業基本資訊!$D$8</f>
        <v>0</v>
      </c>
      <c r="M64" s="78">
        <f>G64*營業基本資訊!$D$5</f>
        <v>36.258786666666666</v>
      </c>
      <c r="N64" s="78">
        <f>G64*營業基本資訊!$D$6</f>
        <v>0</v>
      </c>
      <c r="O64" s="78">
        <f>G64*營業基本資訊!$D$7</f>
        <v>0</v>
      </c>
      <c r="P64" s="78">
        <f t="shared" ref="P64:P66" si="45">G64*0.05</f>
        <v>3.5</v>
      </c>
      <c r="Q64" s="128">
        <f t="shared" ref="Q64:Q66" si="46">SUM(L64:P64)</f>
        <v>39.758786666666666</v>
      </c>
      <c r="R64" s="88">
        <f t="shared" ref="R64:R66" si="47">J64-Q64</f>
        <v>-0.73628666666666476</v>
      </c>
      <c r="S64" s="182">
        <f t="shared" ref="S64:S66" si="48">R64/G64</f>
        <v>-1.0518380952380925E-2</v>
      </c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spans="1:38" ht="15.75" customHeight="1">
      <c r="A65" s="177" t="s">
        <v>250</v>
      </c>
      <c r="B65" s="177"/>
      <c r="C65" s="177"/>
      <c r="D65" s="177"/>
      <c r="E65" s="183" t="s">
        <v>251</v>
      </c>
      <c r="F65" s="177">
        <v>320</v>
      </c>
      <c r="G65" s="180">
        <v>320</v>
      </c>
      <c r="H65" s="74">
        <f t="shared" si="42"/>
        <v>1</v>
      </c>
      <c r="I65" s="181">
        <v>88.234440000000006</v>
      </c>
      <c r="J65" s="75">
        <f t="shared" si="43"/>
        <v>231.76555999999999</v>
      </c>
      <c r="K65" s="76">
        <f t="shared" si="44"/>
        <v>0.72426737499999994</v>
      </c>
      <c r="L65" s="128">
        <f>G65*營業基本資訊!$D$8</f>
        <v>0</v>
      </c>
      <c r="M65" s="78">
        <f>G65*營業基本資訊!$D$5</f>
        <v>165.75445333333334</v>
      </c>
      <c r="N65" s="78">
        <f>G65*營業基本資訊!$D$6</f>
        <v>0</v>
      </c>
      <c r="O65" s="78">
        <f>G65*營業基本資訊!$D$7</f>
        <v>0</v>
      </c>
      <c r="P65" s="78">
        <f t="shared" si="45"/>
        <v>16</v>
      </c>
      <c r="Q65" s="128">
        <f t="shared" si="46"/>
        <v>181.75445333333334</v>
      </c>
      <c r="R65" s="88">
        <f t="shared" si="47"/>
        <v>50.011106666666649</v>
      </c>
      <c r="S65" s="182">
        <f t="shared" si="48"/>
        <v>0.15628470833333327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</row>
    <row r="66" spans="1:38" ht="15.75" customHeight="1">
      <c r="A66" s="177" t="s">
        <v>252</v>
      </c>
      <c r="B66" s="177"/>
      <c r="C66" s="177"/>
      <c r="D66" s="177"/>
      <c r="E66" s="183" t="s">
        <v>253</v>
      </c>
      <c r="F66" s="177">
        <v>280</v>
      </c>
      <c r="G66" s="180">
        <v>280</v>
      </c>
      <c r="H66" s="74">
        <f t="shared" si="42"/>
        <v>1</v>
      </c>
      <c r="I66" s="181">
        <v>69.489999999999995</v>
      </c>
      <c r="J66" s="75">
        <f t="shared" si="43"/>
        <v>210.51</v>
      </c>
      <c r="K66" s="76">
        <f t="shared" si="44"/>
        <v>0.75182142857142853</v>
      </c>
      <c r="L66" s="128">
        <f>G66*營業基本資訊!$D$8</f>
        <v>0</v>
      </c>
      <c r="M66" s="78">
        <f>G66*營業基本資訊!$D$5</f>
        <v>145.03514666666666</v>
      </c>
      <c r="N66" s="78">
        <f>G66*營業基本資訊!$D$6</f>
        <v>0</v>
      </c>
      <c r="O66" s="78">
        <f>G66*營業基本資訊!$D$7</f>
        <v>0</v>
      </c>
      <c r="P66" s="78">
        <f t="shared" si="45"/>
        <v>14</v>
      </c>
      <c r="Q66" s="128">
        <f t="shared" si="46"/>
        <v>159.03514666666666</v>
      </c>
      <c r="R66" s="88">
        <f t="shared" si="47"/>
        <v>51.474853333333328</v>
      </c>
      <c r="S66" s="182">
        <f t="shared" si="48"/>
        <v>0.18383876190476189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</row>
    <row r="67" spans="1:38" ht="25.5" customHeight="1">
      <c r="A67" s="195"/>
      <c r="B67" s="195"/>
      <c r="C67" s="195"/>
      <c r="D67" s="195"/>
      <c r="E67" s="196"/>
      <c r="F67" s="195"/>
      <c r="G67" s="180"/>
      <c r="H67" s="74"/>
      <c r="I67" s="197"/>
      <c r="J67" s="75"/>
      <c r="K67" s="76"/>
      <c r="L67" s="128"/>
      <c r="M67" s="78"/>
      <c r="N67" s="78"/>
      <c r="O67" s="78"/>
      <c r="P67" s="78"/>
      <c r="Q67" s="78"/>
      <c r="R67" s="88"/>
      <c r="S67" s="76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pans="1:38" ht="15.75" customHeight="1">
      <c r="A68" s="177" t="s">
        <v>254</v>
      </c>
      <c r="B68" s="177"/>
      <c r="C68" s="177"/>
      <c r="D68" s="177"/>
      <c r="E68" s="183" t="s">
        <v>255</v>
      </c>
      <c r="F68" s="177">
        <v>65</v>
      </c>
      <c r="G68" s="180">
        <v>65</v>
      </c>
      <c r="H68" s="74">
        <f>G68/F68</f>
        <v>1</v>
      </c>
      <c r="I68" s="181">
        <v>55.79</v>
      </c>
      <c r="J68" s="75">
        <f>G68-I68</f>
        <v>9.2100000000000009</v>
      </c>
      <c r="K68" s="76">
        <f>J68/G68</f>
        <v>0.1416923076923077</v>
      </c>
      <c r="L68" s="128">
        <f>G68*營業基本資訊!$D$8</f>
        <v>0</v>
      </c>
      <c r="M68" s="78">
        <f>G68*營業基本資訊!$D$5</f>
        <v>33.668873333333337</v>
      </c>
      <c r="N68" s="78">
        <f>G68*營業基本資訊!$D$6</f>
        <v>0</v>
      </c>
      <c r="O68" s="78">
        <f>G68*營業基本資訊!$D$7</f>
        <v>0</v>
      </c>
      <c r="P68" s="78">
        <f>G68*0.05</f>
        <v>3.25</v>
      </c>
      <c r="Q68" s="128">
        <f>SUM(L68:P68)</f>
        <v>36.918873333333337</v>
      </c>
      <c r="R68" s="88">
        <f>J68-Q68</f>
        <v>-27.708873333333337</v>
      </c>
      <c r="S68" s="182">
        <f>R68/G68</f>
        <v>-0.42629035897435902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ht="21" customHeight="1">
      <c r="A69" s="195"/>
      <c r="B69" s="195"/>
      <c r="C69" s="195"/>
      <c r="D69" s="195"/>
      <c r="E69" s="196"/>
      <c r="F69" s="195"/>
      <c r="G69" s="180"/>
      <c r="H69" s="74"/>
      <c r="I69" s="197"/>
      <c r="J69" s="75"/>
      <c r="K69" s="76"/>
      <c r="L69" s="128"/>
      <c r="M69" s="78"/>
      <c r="N69" s="78"/>
      <c r="O69" s="78"/>
      <c r="P69" s="78"/>
      <c r="Q69" s="78"/>
      <c r="R69" s="88"/>
      <c r="S69" s="76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 ht="15.75" customHeight="1">
      <c r="A70" s="201" t="s">
        <v>256</v>
      </c>
      <c r="B70" s="201"/>
      <c r="C70" s="201"/>
      <c r="D70" s="201"/>
      <c r="E70" s="202" t="s">
        <v>179</v>
      </c>
      <c r="F70" s="201">
        <v>180</v>
      </c>
      <c r="G70" s="203">
        <v>180</v>
      </c>
      <c r="H70" s="204">
        <f t="shared" ref="H70:H71" si="49">G70/F70</f>
        <v>1</v>
      </c>
      <c r="I70" s="205">
        <v>72.766000000000005</v>
      </c>
      <c r="J70" s="206">
        <f t="shared" ref="J70:J71" si="50">G70-I70</f>
        <v>107.23399999999999</v>
      </c>
      <c r="K70" s="207">
        <f t="shared" ref="K70:K71" si="51">J70/G70</f>
        <v>0.59574444444444441</v>
      </c>
      <c r="L70" s="208">
        <f>G70*營業基本資訊!$D$8</f>
        <v>0</v>
      </c>
      <c r="M70" s="209">
        <f>G70*營業基本資訊!$D$5</f>
        <v>93.236880000000014</v>
      </c>
      <c r="N70" s="209">
        <f>G70*營業基本資訊!$D$6</f>
        <v>0</v>
      </c>
      <c r="O70" s="209">
        <f>G70*營業基本資訊!$D$7</f>
        <v>0</v>
      </c>
      <c r="P70" s="209">
        <f t="shared" ref="P70:P71" si="52">G70*0.05</f>
        <v>9</v>
      </c>
      <c r="Q70" s="208">
        <f t="shared" ref="Q70:Q71" si="53">SUM(L70:P70)</f>
        <v>102.23688000000001</v>
      </c>
      <c r="R70" s="210">
        <f t="shared" ref="R70:R71" si="54">J70-Q70</f>
        <v>4.9971199999999811</v>
      </c>
      <c r="S70" s="211">
        <f t="shared" ref="S70:S71" si="55">R70/G70</f>
        <v>2.7761777777777673E-2</v>
      </c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</row>
    <row r="71" spans="1:38" ht="15.75" customHeight="1">
      <c r="A71" s="201" t="s">
        <v>257</v>
      </c>
      <c r="B71" s="201"/>
      <c r="C71" s="201"/>
      <c r="D71" s="201"/>
      <c r="E71" s="202" t="s">
        <v>258</v>
      </c>
      <c r="F71" s="201">
        <v>15</v>
      </c>
      <c r="G71" s="203">
        <v>15</v>
      </c>
      <c r="H71" s="204">
        <f t="shared" si="49"/>
        <v>1</v>
      </c>
      <c r="I71" s="205">
        <v>11.69</v>
      </c>
      <c r="J71" s="206">
        <f t="shared" si="50"/>
        <v>3.3100000000000005</v>
      </c>
      <c r="K71" s="207">
        <f t="shared" si="51"/>
        <v>0.22066666666666671</v>
      </c>
      <c r="L71" s="208">
        <f>G71*營業基本資訊!$D$8</f>
        <v>0</v>
      </c>
      <c r="M71" s="209">
        <f>G71*營業基本資訊!$D$5</f>
        <v>7.7697400000000005</v>
      </c>
      <c r="N71" s="209">
        <f>G71*營業基本資訊!$D$6</f>
        <v>0</v>
      </c>
      <c r="O71" s="209">
        <f>G71*營業基本資訊!$D$7</f>
        <v>0</v>
      </c>
      <c r="P71" s="209">
        <f t="shared" si="52"/>
        <v>0.75</v>
      </c>
      <c r="Q71" s="208">
        <f t="shared" si="53"/>
        <v>8.5197400000000005</v>
      </c>
      <c r="R71" s="210">
        <f t="shared" si="54"/>
        <v>-5.20974</v>
      </c>
      <c r="S71" s="211">
        <f t="shared" si="55"/>
        <v>-0.34731600000000001</v>
      </c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</row>
    <row r="72" spans="1:38" ht="15.75" customHeight="1">
      <c r="A72" s="142"/>
      <c r="B72" s="43"/>
      <c r="C72" s="43"/>
      <c r="D72" s="43"/>
      <c r="E72" s="213"/>
      <c r="F72" s="43"/>
      <c r="G72" s="43"/>
      <c r="H72" s="43"/>
      <c r="I72" s="148"/>
      <c r="J72" s="43"/>
      <c r="K72" s="43"/>
      <c r="L72" s="148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pans="1:38" ht="15.75" customHeight="1">
      <c r="A73" s="142"/>
      <c r="B73" s="43"/>
      <c r="C73" s="43"/>
      <c r="D73" s="43"/>
      <c r="E73" s="213"/>
      <c r="F73" s="43"/>
      <c r="G73" s="43"/>
      <c r="H73" s="43"/>
      <c r="I73" s="148"/>
      <c r="J73" s="43"/>
      <c r="K73" s="43"/>
      <c r="L73" s="148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pans="1:38" ht="15.75" customHeight="1">
      <c r="A74" s="142"/>
      <c r="B74" s="43"/>
      <c r="C74" s="43"/>
      <c r="D74" s="43"/>
      <c r="E74" s="213"/>
      <c r="F74" s="43"/>
      <c r="G74" s="43"/>
      <c r="H74" s="43"/>
      <c r="I74" s="148"/>
      <c r="J74" s="43"/>
      <c r="K74" s="43"/>
      <c r="L74" s="148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pans="1:38" ht="15.75" customHeight="1">
      <c r="A75" s="142"/>
      <c r="B75" s="43"/>
      <c r="C75" s="43"/>
      <c r="D75" s="43"/>
      <c r="E75" s="213"/>
      <c r="F75" s="43"/>
      <c r="G75" s="43"/>
      <c r="H75" s="43"/>
      <c r="I75" s="148"/>
      <c r="J75" s="43"/>
      <c r="K75" s="43"/>
      <c r="L75" s="148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pans="1:38" ht="15.75" customHeight="1">
      <c r="A76" s="142"/>
      <c r="B76" s="43"/>
      <c r="C76" s="43"/>
      <c r="D76" s="43"/>
      <c r="E76" s="213"/>
      <c r="F76" s="43"/>
      <c r="G76" s="43"/>
      <c r="H76" s="43"/>
      <c r="I76" s="148"/>
      <c r="J76" s="43"/>
      <c r="K76" s="43"/>
      <c r="L76" s="148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 ht="15.75" customHeight="1">
      <c r="A77" s="142"/>
      <c r="B77" s="43"/>
      <c r="C77" s="43"/>
      <c r="D77" s="43"/>
      <c r="E77" s="213"/>
      <c r="F77" s="43"/>
      <c r="G77" s="43"/>
      <c r="H77" s="43"/>
      <c r="I77" s="148"/>
      <c r="J77" s="43"/>
      <c r="K77" s="43"/>
      <c r="L77" s="148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pans="1:38" ht="15.75" customHeight="1">
      <c r="A78" s="142"/>
      <c r="B78" s="43"/>
      <c r="C78" s="43"/>
      <c r="D78" s="43"/>
      <c r="E78" s="213"/>
      <c r="F78" s="43"/>
      <c r="G78" s="43"/>
      <c r="H78" s="43"/>
      <c r="I78" s="148"/>
      <c r="J78" s="43"/>
      <c r="K78" s="43"/>
      <c r="L78" s="148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pans="1:38" ht="15.75" customHeight="1">
      <c r="A79" s="2"/>
      <c r="B79" s="43"/>
      <c r="C79" s="43"/>
      <c r="D79" s="43"/>
      <c r="E79" s="213"/>
      <c r="F79" s="43"/>
      <c r="G79" s="43"/>
      <c r="H79" s="43"/>
      <c r="I79" s="148"/>
      <c r="J79" s="43"/>
      <c r="K79" s="43"/>
      <c r="L79" s="148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pans="1:38" ht="15.75" customHeight="1">
      <c r="A80" s="2"/>
      <c r="B80" s="43"/>
      <c r="C80" s="43"/>
      <c r="D80" s="43"/>
      <c r="E80" s="213"/>
      <c r="F80" s="43"/>
      <c r="G80" s="43"/>
      <c r="H80" s="43"/>
      <c r="I80" s="148"/>
      <c r="J80" s="43"/>
      <c r="K80" s="43"/>
      <c r="L80" s="148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pans="1:38" ht="15.75" customHeight="1">
      <c r="A81" s="2"/>
      <c r="B81" s="43"/>
      <c r="C81" s="43"/>
      <c r="D81" s="43"/>
      <c r="E81" s="213"/>
      <c r="F81" s="43"/>
      <c r="G81" s="43"/>
      <c r="H81" s="43"/>
      <c r="I81" s="148"/>
      <c r="J81" s="43"/>
      <c r="K81" s="43"/>
      <c r="L81" s="148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pans="1:38" ht="15.75" customHeight="1">
      <c r="A82" s="2"/>
      <c r="B82" s="43"/>
      <c r="C82" s="43"/>
      <c r="D82" s="43"/>
      <c r="E82" s="213"/>
      <c r="F82" s="43"/>
      <c r="G82" s="43"/>
      <c r="H82" s="43"/>
      <c r="I82" s="148"/>
      <c r="J82" s="43"/>
      <c r="K82" s="43"/>
      <c r="L82" s="148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pans="1:38" ht="15.75" customHeight="1">
      <c r="A83" s="2"/>
      <c r="B83" s="43"/>
      <c r="C83" s="43"/>
      <c r="D83" s="43"/>
      <c r="E83" s="213"/>
      <c r="F83" s="43"/>
      <c r="G83" s="43"/>
      <c r="H83" s="43"/>
      <c r="I83" s="148"/>
      <c r="J83" s="43"/>
      <c r="K83" s="43"/>
      <c r="L83" s="148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pans="1:38" ht="15.75" customHeight="1">
      <c r="A84" s="2"/>
      <c r="B84" s="43"/>
      <c r="C84" s="43"/>
      <c r="D84" s="43"/>
      <c r="E84" s="213"/>
      <c r="F84" s="43"/>
      <c r="G84" s="43"/>
      <c r="H84" s="43"/>
      <c r="I84" s="148"/>
      <c r="J84" s="43"/>
      <c r="K84" s="43"/>
      <c r="L84" s="148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ht="15.75" customHeight="1">
      <c r="A85" s="2"/>
      <c r="B85" s="43"/>
      <c r="C85" s="43"/>
      <c r="D85" s="43"/>
      <c r="E85" s="213"/>
      <c r="F85" s="43"/>
      <c r="G85" s="43"/>
      <c r="H85" s="43"/>
      <c r="I85" s="148"/>
      <c r="J85" s="43"/>
      <c r="K85" s="43"/>
      <c r="L85" s="148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ht="15.75" customHeight="1">
      <c r="A86" s="2"/>
      <c r="B86" s="43"/>
      <c r="C86" s="43"/>
      <c r="D86" s="43"/>
      <c r="E86" s="213"/>
      <c r="F86" s="43"/>
      <c r="G86" s="43"/>
      <c r="H86" s="43"/>
      <c r="I86" s="148"/>
      <c r="J86" s="43"/>
      <c r="K86" s="43"/>
      <c r="L86" s="148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ht="15.75" customHeight="1">
      <c r="A87" s="2"/>
      <c r="B87" s="43"/>
      <c r="C87" s="43"/>
      <c r="D87" s="43"/>
      <c r="E87" s="213"/>
      <c r="F87" s="43"/>
      <c r="G87" s="43"/>
      <c r="H87" s="43"/>
      <c r="I87" s="148"/>
      <c r="J87" s="43"/>
      <c r="K87" s="43"/>
      <c r="L87" s="148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 ht="15.75" customHeight="1">
      <c r="A88" s="2"/>
      <c r="B88" s="43"/>
      <c r="C88" s="43"/>
      <c r="D88" s="43"/>
      <c r="E88" s="213"/>
      <c r="F88" s="43"/>
      <c r="G88" s="43"/>
      <c r="H88" s="43"/>
      <c r="I88" s="148"/>
      <c r="J88" s="43"/>
      <c r="K88" s="43"/>
      <c r="L88" s="148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ht="15.75" customHeight="1">
      <c r="A89" s="2"/>
      <c r="B89" s="43"/>
      <c r="C89" s="43"/>
      <c r="D89" s="43"/>
      <c r="E89" s="213"/>
      <c r="F89" s="43"/>
      <c r="G89" s="43"/>
      <c r="H89" s="43"/>
      <c r="I89" s="148"/>
      <c r="J89" s="43"/>
      <c r="K89" s="43"/>
      <c r="L89" s="148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ht="15.75" customHeight="1">
      <c r="A90" s="2"/>
      <c r="B90" s="43"/>
      <c r="C90" s="43"/>
      <c r="D90" s="43"/>
      <c r="E90" s="213"/>
      <c r="F90" s="43"/>
      <c r="G90" s="43"/>
      <c r="H90" s="43"/>
      <c r="I90" s="148"/>
      <c r="J90" s="43"/>
      <c r="K90" s="43"/>
      <c r="L90" s="148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ht="15.75" customHeight="1">
      <c r="A91" s="2"/>
      <c r="B91" s="43"/>
      <c r="C91" s="43"/>
      <c r="D91" s="43"/>
      <c r="E91" s="213"/>
      <c r="F91" s="43"/>
      <c r="G91" s="43"/>
      <c r="H91" s="43"/>
      <c r="I91" s="148"/>
      <c r="J91" s="43"/>
      <c r="K91" s="43"/>
      <c r="L91" s="148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2"/>
      <c r="B92" s="43"/>
      <c r="C92" s="43"/>
      <c r="D92" s="43"/>
      <c r="E92" s="213"/>
      <c r="F92" s="43"/>
      <c r="G92" s="43"/>
      <c r="H92" s="43"/>
      <c r="I92" s="148"/>
      <c r="J92" s="43"/>
      <c r="K92" s="43"/>
      <c r="L92" s="148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2"/>
      <c r="B93" s="43"/>
      <c r="C93" s="43"/>
      <c r="D93" s="43"/>
      <c r="E93" s="213"/>
      <c r="F93" s="43"/>
      <c r="G93" s="43"/>
      <c r="H93" s="43"/>
      <c r="I93" s="148"/>
      <c r="J93" s="43"/>
      <c r="K93" s="43"/>
      <c r="L93" s="148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2"/>
      <c r="B94" s="43"/>
      <c r="C94" s="43"/>
      <c r="D94" s="43"/>
      <c r="E94" s="213"/>
      <c r="F94" s="43"/>
      <c r="G94" s="43"/>
      <c r="H94" s="43"/>
      <c r="I94" s="148"/>
      <c r="J94" s="43"/>
      <c r="K94" s="43"/>
      <c r="L94" s="148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2"/>
      <c r="B95" s="43"/>
      <c r="C95" s="43"/>
      <c r="D95" s="43"/>
      <c r="E95" s="213"/>
      <c r="F95" s="43"/>
      <c r="G95" s="43"/>
      <c r="H95" s="43"/>
      <c r="I95" s="148"/>
      <c r="J95" s="43"/>
      <c r="K95" s="43"/>
      <c r="L95" s="148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2"/>
      <c r="B96" s="43"/>
      <c r="C96" s="43"/>
      <c r="D96" s="43"/>
      <c r="E96" s="213"/>
      <c r="F96" s="43"/>
      <c r="G96" s="43"/>
      <c r="H96" s="43"/>
      <c r="I96" s="148"/>
      <c r="J96" s="43"/>
      <c r="K96" s="43"/>
      <c r="L96" s="148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2"/>
      <c r="B97" s="43"/>
      <c r="C97" s="43"/>
      <c r="D97" s="43"/>
      <c r="E97" s="213"/>
      <c r="F97" s="43"/>
      <c r="G97" s="43"/>
      <c r="H97" s="43"/>
      <c r="I97" s="148"/>
      <c r="J97" s="43"/>
      <c r="K97" s="43"/>
      <c r="L97" s="148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2"/>
      <c r="B98" s="43"/>
      <c r="C98" s="43"/>
      <c r="D98" s="43"/>
      <c r="E98" s="213"/>
      <c r="F98" s="43"/>
      <c r="G98" s="43"/>
      <c r="H98" s="43"/>
      <c r="I98" s="148"/>
      <c r="J98" s="43"/>
      <c r="K98" s="43"/>
      <c r="L98" s="148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2"/>
      <c r="B99" s="43"/>
      <c r="C99" s="43"/>
      <c r="D99" s="43"/>
      <c r="E99" s="213"/>
      <c r="F99" s="43"/>
      <c r="G99" s="43"/>
      <c r="H99" s="43"/>
      <c r="I99" s="148"/>
      <c r="J99" s="43"/>
      <c r="K99" s="43"/>
      <c r="L99" s="148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2"/>
      <c r="B100" s="43"/>
      <c r="C100" s="43"/>
      <c r="D100" s="43"/>
      <c r="E100" s="213"/>
      <c r="F100" s="43"/>
      <c r="G100" s="43"/>
      <c r="H100" s="43"/>
      <c r="I100" s="148"/>
      <c r="J100" s="43"/>
      <c r="K100" s="43"/>
      <c r="L100" s="148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2"/>
      <c r="B101" s="43"/>
      <c r="C101" s="43"/>
      <c r="D101" s="43"/>
      <c r="E101" s="213"/>
      <c r="F101" s="43"/>
      <c r="G101" s="43"/>
      <c r="H101" s="43"/>
      <c r="I101" s="148"/>
      <c r="J101" s="43"/>
      <c r="K101" s="43"/>
      <c r="L101" s="148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2"/>
      <c r="B102" s="43"/>
      <c r="C102" s="43"/>
      <c r="D102" s="43"/>
      <c r="E102" s="213"/>
      <c r="F102" s="43"/>
      <c r="G102" s="43"/>
      <c r="H102" s="43"/>
      <c r="I102" s="148"/>
      <c r="J102" s="43"/>
      <c r="K102" s="43"/>
      <c r="L102" s="148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2"/>
      <c r="B103" s="43"/>
      <c r="C103" s="43"/>
      <c r="D103" s="43"/>
      <c r="E103" s="213"/>
      <c r="F103" s="43"/>
      <c r="G103" s="43"/>
      <c r="H103" s="43"/>
      <c r="I103" s="148"/>
      <c r="J103" s="43"/>
      <c r="K103" s="43"/>
      <c r="L103" s="148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2"/>
      <c r="B104" s="43"/>
      <c r="C104" s="43"/>
      <c r="D104" s="43"/>
      <c r="E104" s="213"/>
      <c r="F104" s="43"/>
      <c r="G104" s="43"/>
      <c r="H104" s="43"/>
      <c r="I104" s="148"/>
      <c r="J104" s="43"/>
      <c r="K104" s="43"/>
      <c r="L104" s="148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2"/>
      <c r="B105" s="43"/>
      <c r="C105" s="43"/>
      <c r="D105" s="43"/>
      <c r="E105" s="213"/>
      <c r="F105" s="43"/>
      <c r="G105" s="43"/>
      <c r="H105" s="43"/>
      <c r="I105" s="148"/>
      <c r="J105" s="43"/>
      <c r="K105" s="43"/>
      <c r="L105" s="148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2"/>
      <c r="B106" s="43"/>
      <c r="C106" s="43"/>
      <c r="D106" s="43"/>
      <c r="E106" s="213"/>
      <c r="F106" s="43"/>
      <c r="G106" s="43"/>
      <c r="H106" s="43"/>
      <c r="I106" s="148"/>
      <c r="J106" s="43"/>
      <c r="K106" s="43"/>
      <c r="L106" s="148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2"/>
      <c r="B107" s="43"/>
      <c r="C107" s="43"/>
      <c r="D107" s="43"/>
      <c r="E107" s="213"/>
      <c r="F107" s="43"/>
      <c r="G107" s="43"/>
      <c r="H107" s="43"/>
      <c r="I107" s="148"/>
      <c r="J107" s="43"/>
      <c r="K107" s="43"/>
      <c r="L107" s="148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2"/>
      <c r="B108" s="43"/>
      <c r="C108" s="43"/>
      <c r="D108" s="43"/>
      <c r="E108" s="213"/>
      <c r="F108" s="43"/>
      <c r="G108" s="43"/>
      <c r="H108" s="43"/>
      <c r="I108" s="148"/>
      <c r="J108" s="43"/>
      <c r="K108" s="43"/>
      <c r="L108" s="148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2"/>
      <c r="B109" s="43"/>
      <c r="C109" s="43"/>
      <c r="D109" s="43"/>
      <c r="E109" s="213"/>
      <c r="F109" s="43"/>
      <c r="G109" s="43"/>
      <c r="H109" s="43"/>
      <c r="I109" s="148"/>
      <c r="J109" s="43"/>
      <c r="K109" s="43"/>
      <c r="L109" s="148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2"/>
      <c r="B110" s="43"/>
      <c r="C110" s="43"/>
      <c r="D110" s="43"/>
      <c r="E110" s="213"/>
      <c r="F110" s="43"/>
      <c r="G110" s="43"/>
      <c r="H110" s="43"/>
      <c r="I110" s="148"/>
      <c r="J110" s="43"/>
      <c r="K110" s="43"/>
      <c r="L110" s="148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2"/>
      <c r="B111" s="43"/>
      <c r="C111" s="43"/>
      <c r="D111" s="43"/>
      <c r="E111" s="213"/>
      <c r="F111" s="43"/>
      <c r="G111" s="43"/>
      <c r="H111" s="43"/>
      <c r="I111" s="148"/>
      <c r="J111" s="43"/>
      <c r="K111" s="43"/>
      <c r="L111" s="148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2"/>
      <c r="B112" s="43"/>
      <c r="C112" s="43"/>
      <c r="D112" s="43"/>
      <c r="E112" s="213"/>
      <c r="F112" s="43"/>
      <c r="G112" s="43"/>
      <c r="H112" s="43"/>
      <c r="I112" s="148"/>
      <c r="J112" s="43"/>
      <c r="K112" s="43"/>
      <c r="L112" s="148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2"/>
      <c r="B113" s="43"/>
      <c r="C113" s="43"/>
      <c r="D113" s="43"/>
      <c r="E113" s="213"/>
      <c r="F113" s="43"/>
      <c r="G113" s="43"/>
      <c r="H113" s="43"/>
      <c r="I113" s="148"/>
      <c r="J113" s="43"/>
      <c r="K113" s="43"/>
      <c r="L113" s="148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2"/>
      <c r="B114" s="43"/>
      <c r="C114" s="43"/>
      <c r="D114" s="43"/>
      <c r="E114" s="213"/>
      <c r="F114" s="43"/>
      <c r="G114" s="43"/>
      <c r="H114" s="43"/>
      <c r="I114" s="148"/>
      <c r="J114" s="43"/>
      <c r="K114" s="43"/>
      <c r="L114" s="148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2"/>
      <c r="B115" s="43"/>
      <c r="C115" s="43"/>
      <c r="D115" s="43"/>
      <c r="E115" s="213"/>
      <c r="F115" s="43"/>
      <c r="G115" s="43"/>
      <c r="H115" s="43"/>
      <c r="I115" s="148"/>
      <c r="J115" s="43"/>
      <c r="K115" s="43"/>
      <c r="L115" s="148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2"/>
      <c r="B116" s="43"/>
      <c r="C116" s="43"/>
      <c r="D116" s="43"/>
      <c r="E116" s="213"/>
      <c r="F116" s="43"/>
      <c r="G116" s="43"/>
      <c r="H116" s="43"/>
      <c r="I116" s="148"/>
      <c r="J116" s="43"/>
      <c r="K116" s="43"/>
      <c r="L116" s="148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2"/>
      <c r="B117" s="43"/>
      <c r="C117" s="43"/>
      <c r="D117" s="43"/>
      <c r="E117" s="213"/>
      <c r="F117" s="43"/>
      <c r="G117" s="43"/>
      <c r="H117" s="43"/>
      <c r="I117" s="148"/>
      <c r="J117" s="43"/>
      <c r="K117" s="43"/>
      <c r="L117" s="148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2"/>
      <c r="B118" s="43"/>
      <c r="C118" s="43"/>
      <c r="D118" s="43"/>
      <c r="E118" s="213"/>
      <c r="F118" s="43"/>
      <c r="G118" s="43"/>
      <c r="H118" s="43"/>
      <c r="I118" s="148"/>
      <c r="J118" s="43"/>
      <c r="K118" s="43"/>
      <c r="L118" s="148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2"/>
      <c r="B119" s="43"/>
      <c r="C119" s="43"/>
      <c r="D119" s="43"/>
      <c r="E119" s="213"/>
      <c r="F119" s="43"/>
      <c r="G119" s="43"/>
      <c r="H119" s="43"/>
      <c r="I119" s="148"/>
      <c r="J119" s="43"/>
      <c r="K119" s="43"/>
      <c r="L119" s="148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2"/>
      <c r="B120" s="43"/>
      <c r="C120" s="43"/>
      <c r="D120" s="43"/>
      <c r="E120" s="213"/>
      <c r="F120" s="43"/>
      <c r="G120" s="43"/>
      <c r="H120" s="43"/>
      <c r="I120" s="148"/>
      <c r="J120" s="43"/>
      <c r="K120" s="43"/>
      <c r="L120" s="148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2"/>
      <c r="B121" s="43"/>
      <c r="C121" s="43"/>
      <c r="D121" s="43"/>
      <c r="E121" s="213"/>
      <c r="F121" s="43"/>
      <c r="G121" s="43"/>
      <c r="H121" s="43"/>
      <c r="I121" s="148"/>
      <c r="J121" s="43"/>
      <c r="K121" s="43"/>
      <c r="L121" s="148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2"/>
      <c r="B122" s="43"/>
      <c r="C122" s="43"/>
      <c r="D122" s="43"/>
      <c r="E122" s="213"/>
      <c r="F122" s="43"/>
      <c r="G122" s="43"/>
      <c r="H122" s="43"/>
      <c r="I122" s="148"/>
      <c r="J122" s="43"/>
      <c r="K122" s="43"/>
      <c r="L122" s="148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2"/>
      <c r="B123" s="43"/>
      <c r="C123" s="43"/>
      <c r="D123" s="43"/>
      <c r="E123" s="213"/>
      <c r="F123" s="43"/>
      <c r="G123" s="43"/>
      <c r="H123" s="43"/>
      <c r="I123" s="148"/>
      <c r="J123" s="43"/>
      <c r="K123" s="43"/>
      <c r="L123" s="148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2"/>
      <c r="B124" s="43"/>
      <c r="C124" s="43"/>
      <c r="D124" s="43"/>
      <c r="E124" s="213"/>
      <c r="F124" s="43"/>
      <c r="G124" s="43"/>
      <c r="H124" s="43"/>
      <c r="I124" s="148"/>
      <c r="J124" s="43"/>
      <c r="K124" s="43"/>
      <c r="L124" s="148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2"/>
      <c r="B125" s="43"/>
      <c r="C125" s="43"/>
      <c r="D125" s="43"/>
      <c r="E125" s="213"/>
      <c r="F125" s="43"/>
      <c r="G125" s="43"/>
      <c r="H125" s="43"/>
      <c r="I125" s="148"/>
      <c r="J125" s="43"/>
      <c r="K125" s="43"/>
      <c r="L125" s="148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2"/>
      <c r="B126" s="43"/>
      <c r="C126" s="43"/>
      <c r="D126" s="43"/>
      <c r="E126" s="213"/>
      <c r="F126" s="43"/>
      <c r="G126" s="43"/>
      <c r="H126" s="43"/>
      <c r="I126" s="148"/>
      <c r="J126" s="43"/>
      <c r="K126" s="43"/>
      <c r="L126" s="148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2"/>
      <c r="B127" s="43"/>
      <c r="C127" s="43"/>
      <c r="D127" s="43"/>
      <c r="E127" s="213"/>
      <c r="F127" s="43"/>
      <c r="G127" s="43"/>
      <c r="H127" s="43"/>
      <c r="I127" s="148"/>
      <c r="J127" s="43"/>
      <c r="K127" s="43"/>
      <c r="L127" s="148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2"/>
      <c r="B128" s="43"/>
      <c r="C128" s="43"/>
      <c r="D128" s="43"/>
      <c r="E128" s="213"/>
      <c r="F128" s="43"/>
      <c r="G128" s="43"/>
      <c r="H128" s="43"/>
      <c r="I128" s="148"/>
      <c r="J128" s="43"/>
      <c r="K128" s="43"/>
      <c r="L128" s="148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2"/>
      <c r="B129" s="43"/>
      <c r="C129" s="43"/>
      <c r="D129" s="43"/>
      <c r="E129" s="213"/>
      <c r="F129" s="43"/>
      <c r="G129" s="43"/>
      <c r="H129" s="43"/>
      <c r="I129" s="148"/>
      <c r="J129" s="43"/>
      <c r="K129" s="43"/>
      <c r="L129" s="148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2"/>
      <c r="B130" s="43"/>
      <c r="C130" s="43"/>
      <c r="D130" s="43"/>
      <c r="E130" s="213"/>
      <c r="F130" s="43"/>
      <c r="G130" s="43"/>
      <c r="H130" s="43"/>
      <c r="I130" s="148"/>
      <c r="J130" s="43"/>
      <c r="K130" s="43"/>
      <c r="L130" s="148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2"/>
      <c r="B131" s="43"/>
      <c r="C131" s="43"/>
      <c r="D131" s="43"/>
      <c r="E131" s="213"/>
      <c r="F131" s="43"/>
      <c r="G131" s="43"/>
      <c r="H131" s="43"/>
      <c r="I131" s="148"/>
      <c r="J131" s="43"/>
      <c r="K131" s="43"/>
      <c r="L131" s="148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2"/>
      <c r="B132" s="43"/>
      <c r="C132" s="43"/>
      <c r="D132" s="43"/>
      <c r="E132" s="213"/>
      <c r="F132" s="43"/>
      <c r="G132" s="43"/>
      <c r="H132" s="43"/>
      <c r="I132" s="148"/>
      <c r="J132" s="43"/>
      <c r="K132" s="43"/>
      <c r="L132" s="148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2"/>
      <c r="B133" s="43"/>
      <c r="C133" s="43"/>
      <c r="D133" s="43"/>
      <c r="E133" s="213"/>
      <c r="F133" s="43"/>
      <c r="G133" s="43"/>
      <c r="H133" s="43"/>
      <c r="I133" s="148"/>
      <c r="J133" s="43"/>
      <c r="K133" s="43"/>
      <c r="L133" s="148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2"/>
      <c r="B134" s="43"/>
      <c r="C134" s="43"/>
      <c r="D134" s="43"/>
      <c r="E134" s="213"/>
      <c r="F134" s="43"/>
      <c r="G134" s="43"/>
      <c r="H134" s="43"/>
      <c r="I134" s="148"/>
      <c r="J134" s="43"/>
      <c r="K134" s="43"/>
      <c r="L134" s="148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2"/>
      <c r="B135" s="43"/>
      <c r="C135" s="43"/>
      <c r="D135" s="43"/>
      <c r="E135" s="213"/>
      <c r="F135" s="43"/>
      <c r="G135" s="43"/>
      <c r="H135" s="43"/>
      <c r="I135" s="148"/>
      <c r="J135" s="43"/>
      <c r="K135" s="43"/>
      <c r="L135" s="148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2"/>
      <c r="B136" s="43"/>
      <c r="C136" s="43"/>
      <c r="D136" s="43"/>
      <c r="E136" s="213"/>
      <c r="F136" s="43"/>
      <c r="G136" s="43"/>
      <c r="H136" s="43"/>
      <c r="I136" s="148"/>
      <c r="J136" s="43"/>
      <c r="K136" s="43"/>
      <c r="L136" s="148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2"/>
      <c r="B137" s="43"/>
      <c r="C137" s="43"/>
      <c r="D137" s="43"/>
      <c r="E137" s="213"/>
      <c r="F137" s="43"/>
      <c r="G137" s="43"/>
      <c r="H137" s="43"/>
      <c r="I137" s="148"/>
      <c r="J137" s="43"/>
      <c r="K137" s="43"/>
      <c r="L137" s="148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2"/>
      <c r="B138" s="43"/>
      <c r="C138" s="43"/>
      <c r="D138" s="43"/>
      <c r="E138" s="213"/>
      <c r="F138" s="43"/>
      <c r="G138" s="43"/>
      <c r="H138" s="43"/>
      <c r="I138" s="148"/>
      <c r="J138" s="43"/>
      <c r="K138" s="43"/>
      <c r="L138" s="148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2"/>
      <c r="B139" s="43"/>
      <c r="C139" s="43"/>
      <c r="D139" s="43"/>
      <c r="E139" s="213"/>
      <c r="F139" s="43"/>
      <c r="G139" s="43"/>
      <c r="H139" s="43"/>
      <c r="I139" s="148"/>
      <c r="J139" s="43"/>
      <c r="K139" s="43"/>
      <c r="L139" s="148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2"/>
      <c r="B140" s="43"/>
      <c r="C140" s="43"/>
      <c r="D140" s="43"/>
      <c r="E140" s="213"/>
      <c r="F140" s="43"/>
      <c r="G140" s="43"/>
      <c r="H140" s="43"/>
      <c r="I140" s="148"/>
      <c r="J140" s="43"/>
      <c r="K140" s="43"/>
      <c r="L140" s="148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2"/>
      <c r="B141" s="43"/>
      <c r="C141" s="43"/>
      <c r="D141" s="43"/>
      <c r="E141" s="213"/>
      <c r="F141" s="43"/>
      <c r="G141" s="43"/>
      <c r="H141" s="43"/>
      <c r="I141" s="148"/>
      <c r="J141" s="43"/>
      <c r="K141" s="43"/>
      <c r="L141" s="148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2"/>
      <c r="B142" s="43"/>
      <c r="C142" s="43"/>
      <c r="D142" s="43"/>
      <c r="E142" s="213"/>
      <c r="F142" s="43"/>
      <c r="G142" s="43"/>
      <c r="H142" s="43"/>
      <c r="I142" s="148"/>
      <c r="J142" s="43"/>
      <c r="K142" s="43"/>
      <c r="L142" s="148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2"/>
      <c r="B143" s="43"/>
      <c r="C143" s="43"/>
      <c r="D143" s="43"/>
      <c r="E143" s="213"/>
      <c r="F143" s="43"/>
      <c r="G143" s="43"/>
      <c r="H143" s="43"/>
      <c r="I143" s="148"/>
      <c r="J143" s="43"/>
      <c r="K143" s="43"/>
      <c r="L143" s="148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2"/>
      <c r="B144" s="43"/>
      <c r="C144" s="43"/>
      <c r="D144" s="43"/>
      <c r="E144" s="213"/>
      <c r="F144" s="43"/>
      <c r="G144" s="43"/>
      <c r="H144" s="43"/>
      <c r="I144" s="148"/>
      <c r="J144" s="43"/>
      <c r="K144" s="43"/>
      <c r="L144" s="148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2"/>
      <c r="B145" s="43"/>
      <c r="C145" s="43"/>
      <c r="D145" s="43"/>
      <c r="E145" s="213"/>
      <c r="F145" s="43"/>
      <c r="G145" s="43"/>
      <c r="H145" s="43"/>
      <c r="I145" s="148"/>
      <c r="J145" s="43"/>
      <c r="K145" s="43"/>
      <c r="L145" s="148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2"/>
      <c r="B146" s="43"/>
      <c r="C146" s="43"/>
      <c r="D146" s="43"/>
      <c r="E146" s="213"/>
      <c r="F146" s="43"/>
      <c r="G146" s="43"/>
      <c r="H146" s="43"/>
      <c r="I146" s="148"/>
      <c r="J146" s="43"/>
      <c r="K146" s="43"/>
      <c r="L146" s="148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2"/>
      <c r="B147" s="43"/>
      <c r="C147" s="43"/>
      <c r="D147" s="43"/>
      <c r="E147" s="213"/>
      <c r="F147" s="43"/>
      <c r="G147" s="43"/>
      <c r="H147" s="43"/>
      <c r="I147" s="148"/>
      <c r="J147" s="43"/>
      <c r="K147" s="43"/>
      <c r="L147" s="148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2"/>
      <c r="B148" s="43"/>
      <c r="C148" s="43"/>
      <c r="D148" s="43"/>
      <c r="E148" s="213"/>
      <c r="F148" s="43"/>
      <c r="G148" s="43"/>
      <c r="H148" s="43"/>
      <c r="I148" s="148"/>
      <c r="J148" s="43"/>
      <c r="K148" s="43"/>
      <c r="L148" s="148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2"/>
      <c r="B149" s="43"/>
      <c r="C149" s="43"/>
      <c r="D149" s="43"/>
      <c r="E149" s="213"/>
      <c r="F149" s="43"/>
      <c r="G149" s="43"/>
      <c r="H149" s="43"/>
      <c r="I149" s="148"/>
      <c r="J149" s="43"/>
      <c r="K149" s="43"/>
      <c r="L149" s="148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2"/>
      <c r="B150" s="43"/>
      <c r="C150" s="43"/>
      <c r="D150" s="43"/>
      <c r="E150" s="213"/>
      <c r="F150" s="43"/>
      <c r="G150" s="43"/>
      <c r="H150" s="43"/>
      <c r="I150" s="148"/>
      <c r="J150" s="43"/>
      <c r="K150" s="43"/>
      <c r="L150" s="148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2"/>
      <c r="B151" s="43"/>
      <c r="C151" s="43"/>
      <c r="D151" s="43"/>
      <c r="E151" s="213"/>
      <c r="F151" s="43"/>
      <c r="G151" s="43"/>
      <c r="H151" s="43"/>
      <c r="I151" s="148"/>
      <c r="J151" s="43"/>
      <c r="K151" s="43"/>
      <c r="L151" s="148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2"/>
      <c r="B152" s="43"/>
      <c r="C152" s="43"/>
      <c r="D152" s="43"/>
      <c r="E152" s="213"/>
      <c r="F152" s="43"/>
      <c r="G152" s="43"/>
      <c r="H152" s="43"/>
      <c r="I152" s="148"/>
      <c r="J152" s="43"/>
      <c r="K152" s="43"/>
      <c r="L152" s="148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2"/>
      <c r="B153" s="43"/>
      <c r="C153" s="43"/>
      <c r="D153" s="43"/>
      <c r="E153" s="213"/>
      <c r="F153" s="43"/>
      <c r="G153" s="43"/>
      <c r="H153" s="43"/>
      <c r="I153" s="148"/>
      <c r="J153" s="43"/>
      <c r="K153" s="43"/>
      <c r="L153" s="148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2"/>
      <c r="B154" s="43"/>
      <c r="C154" s="43"/>
      <c r="D154" s="43"/>
      <c r="E154" s="213"/>
      <c r="F154" s="43"/>
      <c r="G154" s="43"/>
      <c r="H154" s="43"/>
      <c r="I154" s="148"/>
      <c r="J154" s="43"/>
      <c r="K154" s="43"/>
      <c r="L154" s="148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2"/>
      <c r="B155" s="43"/>
      <c r="C155" s="43"/>
      <c r="D155" s="43"/>
      <c r="E155" s="213"/>
      <c r="F155" s="43"/>
      <c r="G155" s="43"/>
      <c r="H155" s="43"/>
      <c r="I155" s="148"/>
      <c r="J155" s="43"/>
      <c r="K155" s="43"/>
      <c r="L155" s="148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2"/>
      <c r="B156" s="43"/>
      <c r="C156" s="43"/>
      <c r="D156" s="43"/>
      <c r="E156" s="213"/>
      <c r="F156" s="43"/>
      <c r="G156" s="43"/>
      <c r="H156" s="43"/>
      <c r="I156" s="148"/>
      <c r="J156" s="43"/>
      <c r="K156" s="43"/>
      <c r="L156" s="148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2"/>
      <c r="B157" s="43"/>
      <c r="C157" s="43"/>
      <c r="D157" s="43"/>
      <c r="E157" s="213"/>
      <c r="F157" s="43"/>
      <c r="G157" s="43"/>
      <c r="H157" s="43"/>
      <c r="I157" s="148"/>
      <c r="J157" s="43"/>
      <c r="K157" s="43"/>
      <c r="L157" s="148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2"/>
      <c r="B158" s="43"/>
      <c r="C158" s="43"/>
      <c r="D158" s="43"/>
      <c r="E158" s="213"/>
      <c r="F158" s="43"/>
      <c r="G158" s="43"/>
      <c r="H158" s="43"/>
      <c r="I158" s="148"/>
      <c r="J158" s="43"/>
      <c r="K158" s="43"/>
      <c r="L158" s="148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2"/>
      <c r="B159" s="43"/>
      <c r="C159" s="43"/>
      <c r="D159" s="43"/>
      <c r="E159" s="213"/>
      <c r="F159" s="43"/>
      <c r="G159" s="43"/>
      <c r="H159" s="43"/>
      <c r="I159" s="148"/>
      <c r="J159" s="43"/>
      <c r="K159" s="43"/>
      <c r="L159" s="148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2"/>
      <c r="B160" s="43"/>
      <c r="C160" s="43"/>
      <c r="D160" s="43"/>
      <c r="E160" s="213"/>
      <c r="F160" s="43"/>
      <c r="G160" s="43"/>
      <c r="H160" s="43"/>
      <c r="I160" s="148"/>
      <c r="J160" s="43"/>
      <c r="K160" s="43"/>
      <c r="L160" s="148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2"/>
      <c r="B161" s="43"/>
      <c r="C161" s="43"/>
      <c r="D161" s="43"/>
      <c r="E161" s="213"/>
      <c r="F161" s="43"/>
      <c r="G161" s="43"/>
      <c r="H161" s="43"/>
      <c r="I161" s="148"/>
      <c r="J161" s="43"/>
      <c r="K161" s="43"/>
      <c r="L161" s="148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2"/>
      <c r="B162" s="43"/>
      <c r="C162" s="43"/>
      <c r="D162" s="43"/>
      <c r="E162" s="213"/>
      <c r="F162" s="43"/>
      <c r="G162" s="43"/>
      <c r="H162" s="43"/>
      <c r="I162" s="148"/>
      <c r="J162" s="43"/>
      <c r="K162" s="43"/>
      <c r="L162" s="148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2"/>
      <c r="B163" s="43"/>
      <c r="C163" s="43"/>
      <c r="D163" s="43"/>
      <c r="E163" s="213"/>
      <c r="F163" s="43"/>
      <c r="G163" s="43"/>
      <c r="H163" s="43"/>
      <c r="I163" s="148"/>
      <c r="J163" s="43"/>
      <c r="K163" s="43"/>
      <c r="L163" s="148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2"/>
      <c r="B164" s="43"/>
      <c r="C164" s="43"/>
      <c r="D164" s="43"/>
      <c r="E164" s="213"/>
      <c r="F164" s="43"/>
      <c r="G164" s="43"/>
      <c r="H164" s="43"/>
      <c r="I164" s="148"/>
      <c r="J164" s="43"/>
      <c r="K164" s="43"/>
      <c r="L164" s="148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2"/>
      <c r="B165" s="43"/>
      <c r="C165" s="43"/>
      <c r="D165" s="43"/>
      <c r="E165" s="213"/>
      <c r="F165" s="43"/>
      <c r="G165" s="43"/>
      <c r="H165" s="43"/>
      <c r="I165" s="148"/>
      <c r="J165" s="43"/>
      <c r="K165" s="43"/>
      <c r="L165" s="148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2"/>
      <c r="B166" s="43"/>
      <c r="C166" s="43"/>
      <c r="D166" s="43"/>
      <c r="E166" s="213"/>
      <c r="F166" s="43"/>
      <c r="G166" s="43"/>
      <c r="H166" s="43"/>
      <c r="I166" s="148"/>
      <c r="J166" s="43"/>
      <c r="K166" s="43"/>
      <c r="L166" s="148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2"/>
      <c r="B167" s="43"/>
      <c r="C167" s="43"/>
      <c r="D167" s="43"/>
      <c r="E167" s="213"/>
      <c r="F167" s="43"/>
      <c r="G167" s="43"/>
      <c r="H167" s="43"/>
      <c r="I167" s="148"/>
      <c r="J167" s="43"/>
      <c r="K167" s="43"/>
      <c r="L167" s="148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2"/>
      <c r="B168" s="43"/>
      <c r="C168" s="43"/>
      <c r="D168" s="43"/>
      <c r="E168" s="213"/>
      <c r="F168" s="43"/>
      <c r="G168" s="43"/>
      <c r="H168" s="43"/>
      <c r="I168" s="148"/>
      <c r="J168" s="43"/>
      <c r="K168" s="43"/>
      <c r="L168" s="148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2"/>
      <c r="B169" s="43"/>
      <c r="C169" s="43"/>
      <c r="D169" s="43"/>
      <c r="E169" s="213"/>
      <c r="F169" s="43"/>
      <c r="G169" s="43"/>
      <c r="H169" s="43"/>
      <c r="I169" s="148"/>
      <c r="J169" s="43"/>
      <c r="K169" s="43"/>
      <c r="L169" s="148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2"/>
      <c r="B170" s="43"/>
      <c r="C170" s="43"/>
      <c r="D170" s="43"/>
      <c r="E170" s="213"/>
      <c r="F170" s="43"/>
      <c r="G170" s="43"/>
      <c r="H170" s="43"/>
      <c r="I170" s="148"/>
      <c r="J170" s="43"/>
      <c r="K170" s="43"/>
      <c r="L170" s="148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2"/>
      <c r="B171" s="43"/>
      <c r="C171" s="43"/>
      <c r="D171" s="43"/>
      <c r="E171" s="213"/>
      <c r="F171" s="43"/>
      <c r="G171" s="43"/>
      <c r="H171" s="43"/>
      <c r="I171" s="148"/>
      <c r="J171" s="43"/>
      <c r="K171" s="43"/>
      <c r="L171" s="148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2"/>
      <c r="B172" s="43"/>
      <c r="C172" s="43"/>
      <c r="D172" s="43"/>
      <c r="E172" s="213"/>
      <c r="F172" s="43"/>
      <c r="G172" s="43"/>
      <c r="H172" s="43"/>
      <c r="I172" s="148"/>
      <c r="J172" s="43"/>
      <c r="K172" s="43"/>
      <c r="L172" s="148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2"/>
      <c r="B173" s="43"/>
      <c r="C173" s="43"/>
      <c r="D173" s="43"/>
      <c r="E173" s="213"/>
      <c r="F173" s="43"/>
      <c r="G173" s="43"/>
      <c r="H173" s="43"/>
      <c r="I173" s="148"/>
      <c r="J173" s="43"/>
      <c r="K173" s="43"/>
      <c r="L173" s="148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2"/>
      <c r="B174" s="43"/>
      <c r="C174" s="43"/>
      <c r="D174" s="43"/>
      <c r="E174" s="213"/>
      <c r="F174" s="43"/>
      <c r="G174" s="43"/>
      <c r="H174" s="43"/>
      <c r="I174" s="148"/>
      <c r="J174" s="43"/>
      <c r="K174" s="43"/>
      <c r="L174" s="148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2"/>
      <c r="B175" s="43"/>
      <c r="C175" s="43"/>
      <c r="D175" s="43"/>
      <c r="E175" s="213"/>
      <c r="F175" s="43"/>
      <c r="G175" s="43"/>
      <c r="H175" s="43"/>
      <c r="I175" s="148"/>
      <c r="J175" s="43"/>
      <c r="K175" s="43"/>
      <c r="L175" s="148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2"/>
      <c r="B176" s="43"/>
      <c r="C176" s="43"/>
      <c r="D176" s="43"/>
      <c r="E176" s="213"/>
      <c r="F176" s="43"/>
      <c r="G176" s="43"/>
      <c r="H176" s="43"/>
      <c r="I176" s="148"/>
      <c r="J176" s="43"/>
      <c r="K176" s="43"/>
      <c r="L176" s="148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2"/>
      <c r="B177" s="43"/>
      <c r="C177" s="43"/>
      <c r="D177" s="43"/>
      <c r="E177" s="213"/>
      <c r="F177" s="43"/>
      <c r="G177" s="43"/>
      <c r="H177" s="43"/>
      <c r="I177" s="148"/>
      <c r="J177" s="43"/>
      <c r="K177" s="43"/>
      <c r="L177" s="148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2"/>
      <c r="B178" s="43"/>
      <c r="C178" s="43"/>
      <c r="D178" s="43"/>
      <c r="E178" s="213"/>
      <c r="F178" s="43"/>
      <c r="G178" s="43"/>
      <c r="H178" s="43"/>
      <c r="I178" s="148"/>
      <c r="J178" s="43"/>
      <c r="K178" s="43"/>
      <c r="L178" s="148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2"/>
      <c r="B179" s="43"/>
      <c r="C179" s="43"/>
      <c r="D179" s="43"/>
      <c r="E179" s="213"/>
      <c r="F179" s="43"/>
      <c r="G179" s="43"/>
      <c r="H179" s="43"/>
      <c r="I179" s="148"/>
      <c r="J179" s="43"/>
      <c r="K179" s="43"/>
      <c r="L179" s="148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2"/>
      <c r="B180" s="43"/>
      <c r="C180" s="43"/>
      <c r="D180" s="43"/>
      <c r="E180" s="213"/>
      <c r="F180" s="43"/>
      <c r="G180" s="43"/>
      <c r="H180" s="43"/>
      <c r="I180" s="148"/>
      <c r="J180" s="43"/>
      <c r="K180" s="43"/>
      <c r="L180" s="148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2"/>
      <c r="B181" s="43"/>
      <c r="C181" s="43"/>
      <c r="D181" s="43"/>
      <c r="E181" s="213"/>
      <c r="F181" s="43"/>
      <c r="G181" s="43"/>
      <c r="H181" s="43"/>
      <c r="I181" s="148"/>
      <c r="J181" s="43"/>
      <c r="K181" s="43"/>
      <c r="L181" s="148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2"/>
      <c r="B182" s="43"/>
      <c r="C182" s="43"/>
      <c r="D182" s="43"/>
      <c r="E182" s="213"/>
      <c r="F182" s="43"/>
      <c r="G182" s="43"/>
      <c r="H182" s="43"/>
      <c r="I182" s="148"/>
      <c r="J182" s="43"/>
      <c r="K182" s="43"/>
      <c r="L182" s="148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2"/>
      <c r="B183" s="43"/>
      <c r="C183" s="43"/>
      <c r="D183" s="43"/>
      <c r="E183" s="213"/>
      <c r="F183" s="43"/>
      <c r="G183" s="43"/>
      <c r="H183" s="43"/>
      <c r="I183" s="148"/>
      <c r="J183" s="43"/>
      <c r="K183" s="43"/>
      <c r="L183" s="148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2"/>
      <c r="B184" s="43"/>
      <c r="C184" s="43"/>
      <c r="D184" s="43"/>
      <c r="E184" s="213"/>
      <c r="F184" s="43"/>
      <c r="G184" s="43"/>
      <c r="H184" s="43"/>
      <c r="I184" s="148"/>
      <c r="J184" s="43"/>
      <c r="K184" s="43"/>
      <c r="L184" s="148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2"/>
      <c r="B185" s="43"/>
      <c r="C185" s="43"/>
      <c r="D185" s="43"/>
      <c r="E185" s="213"/>
      <c r="F185" s="43"/>
      <c r="G185" s="43"/>
      <c r="H185" s="43"/>
      <c r="I185" s="148"/>
      <c r="J185" s="43"/>
      <c r="K185" s="43"/>
      <c r="L185" s="148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2"/>
      <c r="B186" s="43"/>
      <c r="C186" s="43"/>
      <c r="D186" s="43"/>
      <c r="E186" s="213"/>
      <c r="F186" s="43"/>
      <c r="G186" s="43"/>
      <c r="H186" s="43"/>
      <c r="I186" s="148"/>
      <c r="J186" s="43"/>
      <c r="K186" s="43"/>
      <c r="L186" s="148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2"/>
      <c r="B187" s="43"/>
      <c r="C187" s="43"/>
      <c r="D187" s="43"/>
      <c r="E187" s="213"/>
      <c r="F187" s="43"/>
      <c r="G187" s="43"/>
      <c r="H187" s="43"/>
      <c r="I187" s="148"/>
      <c r="J187" s="43"/>
      <c r="K187" s="43"/>
      <c r="L187" s="148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2"/>
      <c r="B188" s="43"/>
      <c r="C188" s="43"/>
      <c r="D188" s="43"/>
      <c r="E188" s="213"/>
      <c r="F188" s="43"/>
      <c r="G188" s="43"/>
      <c r="H188" s="43"/>
      <c r="I188" s="148"/>
      <c r="J188" s="43"/>
      <c r="K188" s="43"/>
      <c r="L188" s="148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2"/>
      <c r="B189" s="43"/>
      <c r="C189" s="43"/>
      <c r="D189" s="43"/>
      <c r="E189" s="213"/>
      <c r="F189" s="43"/>
      <c r="G189" s="43"/>
      <c r="H189" s="43"/>
      <c r="I189" s="148"/>
      <c r="J189" s="43"/>
      <c r="K189" s="43"/>
      <c r="L189" s="148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2"/>
      <c r="B190" s="43"/>
      <c r="C190" s="43"/>
      <c r="D190" s="43"/>
      <c r="E190" s="213"/>
      <c r="F190" s="43"/>
      <c r="G190" s="43"/>
      <c r="H190" s="43"/>
      <c r="I190" s="148"/>
      <c r="J190" s="43"/>
      <c r="K190" s="43"/>
      <c r="L190" s="148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2"/>
      <c r="B191" s="43"/>
      <c r="C191" s="43"/>
      <c r="D191" s="43"/>
      <c r="E191" s="213"/>
      <c r="F191" s="43"/>
      <c r="G191" s="43"/>
      <c r="H191" s="43"/>
      <c r="I191" s="148"/>
      <c r="J191" s="43"/>
      <c r="K191" s="43"/>
      <c r="L191" s="148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2"/>
      <c r="B192" s="43"/>
      <c r="C192" s="43"/>
      <c r="D192" s="43"/>
      <c r="E192" s="213"/>
      <c r="F192" s="43"/>
      <c r="G192" s="43"/>
      <c r="H192" s="43"/>
      <c r="I192" s="148"/>
      <c r="J192" s="43"/>
      <c r="K192" s="43"/>
      <c r="L192" s="148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2"/>
      <c r="B193" s="43"/>
      <c r="C193" s="43"/>
      <c r="D193" s="43"/>
      <c r="E193" s="213"/>
      <c r="F193" s="43"/>
      <c r="G193" s="43"/>
      <c r="H193" s="43"/>
      <c r="I193" s="148"/>
      <c r="J193" s="43"/>
      <c r="K193" s="43"/>
      <c r="L193" s="148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2"/>
      <c r="B194" s="43"/>
      <c r="C194" s="43"/>
      <c r="D194" s="43"/>
      <c r="E194" s="213"/>
      <c r="F194" s="43"/>
      <c r="G194" s="43"/>
      <c r="H194" s="43"/>
      <c r="I194" s="148"/>
      <c r="J194" s="43"/>
      <c r="K194" s="43"/>
      <c r="L194" s="148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2"/>
      <c r="B195" s="43"/>
      <c r="C195" s="43"/>
      <c r="D195" s="43"/>
      <c r="E195" s="213"/>
      <c r="F195" s="43"/>
      <c r="G195" s="43"/>
      <c r="H195" s="43"/>
      <c r="I195" s="148"/>
      <c r="J195" s="43"/>
      <c r="K195" s="43"/>
      <c r="L195" s="148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2"/>
      <c r="B196" s="43"/>
      <c r="C196" s="43"/>
      <c r="D196" s="43"/>
      <c r="E196" s="213"/>
      <c r="F196" s="43"/>
      <c r="G196" s="43"/>
      <c r="H196" s="43"/>
      <c r="I196" s="148"/>
      <c r="J196" s="43"/>
      <c r="K196" s="43"/>
      <c r="L196" s="148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2"/>
      <c r="B197" s="43"/>
      <c r="C197" s="43"/>
      <c r="D197" s="43"/>
      <c r="E197" s="213"/>
      <c r="F197" s="43"/>
      <c r="G197" s="43"/>
      <c r="H197" s="43"/>
      <c r="I197" s="148"/>
      <c r="J197" s="43"/>
      <c r="K197" s="43"/>
      <c r="L197" s="148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2"/>
      <c r="B198" s="43"/>
      <c r="C198" s="43"/>
      <c r="D198" s="43"/>
      <c r="E198" s="213"/>
      <c r="F198" s="43"/>
      <c r="G198" s="43"/>
      <c r="H198" s="43"/>
      <c r="I198" s="148"/>
      <c r="J198" s="43"/>
      <c r="K198" s="43"/>
      <c r="L198" s="148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2"/>
      <c r="B199" s="43"/>
      <c r="C199" s="43"/>
      <c r="D199" s="43"/>
      <c r="E199" s="213"/>
      <c r="F199" s="43"/>
      <c r="G199" s="43"/>
      <c r="H199" s="43"/>
      <c r="I199" s="148"/>
      <c r="J199" s="43"/>
      <c r="K199" s="43"/>
      <c r="L199" s="148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2"/>
      <c r="B200" s="43"/>
      <c r="C200" s="43"/>
      <c r="D200" s="43"/>
      <c r="E200" s="213"/>
      <c r="F200" s="43"/>
      <c r="G200" s="43"/>
      <c r="H200" s="43"/>
      <c r="I200" s="148"/>
      <c r="J200" s="43"/>
      <c r="K200" s="43"/>
      <c r="L200" s="148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2"/>
      <c r="B201" s="43"/>
      <c r="C201" s="43"/>
      <c r="D201" s="43"/>
      <c r="E201" s="213"/>
      <c r="F201" s="43"/>
      <c r="G201" s="43"/>
      <c r="H201" s="43"/>
      <c r="I201" s="148"/>
      <c r="J201" s="43"/>
      <c r="K201" s="43"/>
      <c r="L201" s="148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2"/>
      <c r="B202" s="43"/>
      <c r="C202" s="43"/>
      <c r="D202" s="43"/>
      <c r="E202" s="213"/>
      <c r="F202" s="43"/>
      <c r="G202" s="43"/>
      <c r="H202" s="43"/>
      <c r="I202" s="148"/>
      <c r="J202" s="43"/>
      <c r="K202" s="43"/>
      <c r="L202" s="148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2"/>
      <c r="B203" s="43"/>
      <c r="C203" s="43"/>
      <c r="D203" s="43"/>
      <c r="E203" s="213"/>
      <c r="F203" s="43"/>
      <c r="G203" s="43"/>
      <c r="H203" s="43"/>
      <c r="I203" s="148"/>
      <c r="J203" s="43"/>
      <c r="K203" s="43"/>
      <c r="L203" s="148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2"/>
      <c r="B204" s="43"/>
      <c r="C204" s="43"/>
      <c r="D204" s="43"/>
      <c r="E204" s="213"/>
      <c r="F204" s="43"/>
      <c r="G204" s="43"/>
      <c r="H204" s="43"/>
      <c r="I204" s="148"/>
      <c r="J204" s="43"/>
      <c r="K204" s="43"/>
      <c r="L204" s="148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2"/>
      <c r="B205" s="43"/>
      <c r="C205" s="43"/>
      <c r="D205" s="43"/>
      <c r="E205" s="213"/>
      <c r="F205" s="43"/>
      <c r="G205" s="43"/>
      <c r="H205" s="43"/>
      <c r="I205" s="148"/>
      <c r="J205" s="43"/>
      <c r="K205" s="43"/>
      <c r="L205" s="148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2"/>
      <c r="B206" s="43"/>
      <c r="C206" s="43"/>
      <c r="D206" s="43"/>
      <c r="E206" s="213"/>
      <c r="F206" s="43"/>
      <c r="G206" s="43"/>
      <c r="H206" s="43"/>
      <c r="I206" s="148"/>
      <c r="J206" s="43"/>
      <c r="K206" s="43"/>
      <c r="L206" s="148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2"/>
      <c r="B207" s="43"/>
      <c r="C207" s="43"/>
      <c r="D207" s="43"/>
      <c r="E207" s="213"/>
      <c r="F207" s="43"/>
      <c r="G207" s="43"/>
      <c r="H207" s="43"/>
      <c r="I207" s="148"/>
      <c r="J207" s="43"/>
      <c r="K207" s="43"/>
      <c r="L207" s="148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2"/>
      <c r="B208" s="43"/>
      <c r="C208" s="43"/>
      <c r="D208" s="43"/>
      <c r="E208" s="213"/>
      <c r="F208" s="43"/>
      <c r="G208" s="43"/>
      <c r="H208" s="43"/>
      <c r="I208" s="148"/>
      <c r="J208" s="43"/>
      <c r="K208" s="43"/>
      <c r="L208" s="148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2"/>
      <c r="B209" s="43"/>
      <c r="C209" s="43"/>
      <c r="D209" s="43"/>
      <c r="E209" s="213"/>
      <c r="F209" s="43"/>
      <c r="G209" s="43"/>
      <c r="H209" s="43"/>
      <c r="I209" s="148"/>
      <c r="J209" s="43"/>
      <c r="K209" s="43"/>
      <c r="L209" s="148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2"/>
      <c r="B210" s="43"/>
      <c r="C210" s="43"/>
      <c r="D210" s="43"/>
      <c r="E210" s="213"/>
      <c r="F210" s="43"/>
      <c r="G210" s="43"/>
      <c r="H210" s="43"/>
      <c r="I210" s="148"/>
      <c r="J210" s="43"/>
      <c r="K210" s="43"/>
      <c r="L210" s="148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2"/>
      <c r="B211" s="43"/>
      <c r="C211" s="43"/>
      <c r="D211" s="43"/>
      <c r="E211" s="213"/>
      <c r="F211" s="43"/>
      <c r="G211" s="43"/>
      <c r="H211" s="43"/>
      <c r="I211" s="148"/>
      <c r="J211" s="43"/>
      <c r="K211" s="43"/>
      <c r="L211" s="148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2"/>
      <c r="B212" s="43"/>
      <c r="C212" s="43"/>
      <c r="D212" s="43"/>
      <c r="E212" s="213"/>
      <c r="F212" s="43"/>
      <c r="G212" s="43"/>
      <c r="H212" s="43"/>
      <c r="I212" s="148"/>
      <c r="J212" s="43"/>
      <c r="K212" s="43"/>
      <c r="L212" s="148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2"/>
      <c r="B213" s="43"/>
      <c r="C213" s="43"/>
      <c r="D213" s="43"/>
      <c r="E213" s="213"/>
      <c r="F213" s="43"/>
      <c r="G213" s="43"/>
      <c r="H213" s="43"/>
      <c r="I213" s="148"/>
      <c r="J213" s="43"/>
      <c r="K213" s="43"/>
      <c r="L213" s="148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2"/>
      <c r="B214" s="43"/>
      <c r="C214" s="43"/>
      <c r="D214" s="43"/>
      <c r="E214" s="213"/>
      <c r="F214" s="43"/>
      <c r="G214" s="43"/>
      <c r="H214" s="43"/>
      <c r="I214" s="148"/>
      <c r="J214" s="43"/>
      <c r="K214" s="43"/>
      <c r="L214" s="148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2"/>
      <c r="B215" s="43"/>
      <c r="C215" s="43"/>
      <c r="D215" s="43"/>
      <c r="E215" s="213"/>
      <c r="F215" s="43"/>
      <c r="G215" s="43"/>
      <c r="H215" s="43"/>
      <c r="I215" s="148"/>
      <c r="J215" s="43"/>
      <c r="K215" s="43"/>
      <c r="L215" s="148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2"/>
      <c r="B216" s="43"/>
      <c r="C216" s="43"/>
      <c r="D216" s="43"/>
      <c r="E216" s="213"/>
      <c r="F216" s="43"/>
      <c r="G216" s="43"/>
      <c r="H216" s="43"/>
      <c r="I216" s="148"/>
      <c r="J216" s="43"/>
      <c r="K216" s="43"/>
      <c r="L216" s="148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2"/>
      <c r="B217" s="43"/>
      <c r="C217" s="43"/>
      <c r="D217" s="43"/>
      <c r="E217" s="213"/>
      <c r="F217" s="43"/>
      <c r="G217" s="43"/>
      <c r="H217" s="43"/>
      <c r="I217" s="148"/>
      <c r="J217" s="43"/>
      <c r="K217" s="43"/>
      <c r="L217" s="148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2"/>
      <c r="B218" s="43"/>
      <c r="C218" s="43"/>
      <c r="D218" s="43"/>
      <c r="E218" s="213"/>
      <c r="F218" s="43"/>
      <c r="G218" s="43"/>
      <c r="H218" s="43"/>
      <c r="I218" s="148"/>
      <c r="J218" s="43"/>
      <c r="K218" s="43"/>
      <c r="L218" s="148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2"/>
      <c r="B219" s="43"/>
      <c r="C219" s="43"/>
      <c r="D219" s="43"/>
      <c r="E219" s="213"/>
      <c r="F219" s="43"/>
      <c r="G219" s="43"/>
      <c r="H219" s="43"/>
      <c r="I219" s="148"/>
      <c r="J219" s="43"/>
      <c r="K219" s="43"/>
      <c r="L219" s="148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2"/>
      <c r="B220" s="43"/>
      <c r="C220" s="43"/>
      <c r="D220" s="43"/>
      <c r="E220" s="213"/>
      <c r="F220" s="43"/>
      <c r="G220" s="43"/>
      <c r="H220" s="43"/>
      <c r="I220" s="148"/>
      <c r="J220" s="43"/>
      <c r="K220" s="43"/>
      <c r="L220" s="148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2"/>
      <c r="B221" s="43"/>
      <c r="C221" s="43"/>
      <c r="D221" s="43"/>
      <c r="E221" s="213"/>
      <c r="F221" s="43"/>
      <c r="G221" s="43"/>
      <c r="H221" s="43"/>
      <c r="I221" s="148"/>
      <c r="J221" s="43"/>
      <c r="K221" s="43"/>
      <c r="L221" s="148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2"/>
      <c r="B222" s="43"/>
      <c r="C222" s="43"/>
      <c r="D222" s="43"/>
      <c r="E222" s="213"/>
      <c r="F222" s="43"/>
      <c r="G222" s="43"/>
      <c r="H222" s="43"/>
      <c r="I222" s="148"/>
      <c r="J222" s="43"/>
      <c r="K222" s="43"/>
      <c r="L222" s="148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2"/>
      <c r="B223" s="43"/>
      <c r="C223" s="43"/>
      <c r="D223" s="43"/>
      <c r="E223" s="213"/>
      <c r="F223" s="43"/>
      <c r="G223" s="43"/>
      <c r="H223" s="43"/>
      <c r="I223" s="148"/>
      <c r="J223" s="43"/>
      <c r="K223" s="43"/>
      <c r="L223" s="148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2"/>
      <c r="B224" s="43"/>
      <c r="C224" s="43"/>
      <c r="D224" s="43"/>
      <c r="E224" s="213"/>
      <c r="F224" s="43"/>
      <c r="G224" s="43"/>
      <c r="H224" s="43"/>
      <c r="I224" s="148"/>
      <c r="J224" s="43"/>
      <c r="K224" s="43"/>
      <c r="L224" s="148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2"/>
      <c r="B225" s="43"/>
      <c r="C225" s="43"/>
      <c r="D225" s="43"/>
      <c r="E225" s="213"/>
      <c r="F225" s="43"/>
      <c r="G225" s="43"/>
      <c r="H225" s="43"/>
      <c r="I225" s="148"/>
      <c r="J225" s="43"/>
      <c r="K225" s="43"/>
      <c r="L225" s="148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2"/>
      <c r="B226" s="43"/>
      <c r="C226" s="43"/>
      <c r="D226" s="43"/>
      <c r="E226" s="213"/>
      <c r="F226" s="43"/>
      <c r="G226" s="43"/>
      <c r="H226" s="43"/>
      <c r="I226" s="148"/>
      <c r="J226" s="43"/>
      <c r="K226" s="43"/>
      <c r="L226" s="148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2"/>
      <c r="B227" s="43"/>
      <c r="C227" s="43"/>
      <c r="D227" s="43"/>
      <c r="E227" s="213"/>
      <c r="F227" s="43"/>
      <c r="G227" s="43"/>
      <c r="H227" s="43"/>
      <c r="I227" s="148"/>
      <c r="J227" s="43"/>
      <c r="K227" s="43"/>
      <c r="L227" s="148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2"/>
      <c r="B228" s="43"/>
      <c r="C228" s="43"/>
      <c r="D228" s="43"/>
      <c r="E228" s="213"/>
      <c r="F228" s="43"/>
      <c r="G228" s="43"/>
      <c r="H228" s="43"/>
      <c r="I228" s="148"/>
      <c r="J228" s="43"/>
      <c r="K228" s="43"/>
      <c r="L228" s="148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2"/>
      <c r="B229" s="43"/>
      <c r="C229" s="43"/>
      <c r="D229" s="43"/>
      <c r="E229" s="213"/>
      <c r="F229" s="43"/>
      <c r="G229" s="43"/>
      <c r="H229" s="43"/>
      <c r="I229" s="148"/>
      <c r="J229" s="43"/>
      <c r="K229" s="43"/>
      <c r="L229" s="148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2"/>
      <c r="B230" s="43"/>
      <c r="C230" s="43"/>
      <c r="D230" s="43"/>
      <c r="E230" s="213"/>
      <c r="F230" s="43"/>
      <c r="G230" s="43"/>
      <c r="H230" s="43"/>
      <c r="I230" s="148"/>
      <c r="J230" s="43"/>
      <c r="K230" s="43"/>
      <c r="L230" s="148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2"/>
      <c r="B231" s="43"/>
      <c r="C231" s="43"/>
      <c r="D231" s="43"/>
      <c r="E231" s="213"/>
      <c r="F231" s="43"/>
      <c r="G231" s="43"/>
      <c r="H231" s="43"/>
      <c r="I231" s="148"/>
      <c r="J231" s="43"/>
      <c r="K231" s="43"/>
      <c r="L231" s="148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2"/>
      <c r="B232" s="43"/>
      <c r="C232" s="43"/>
      <c r="D232" s="43"/>
      <c r="E232" s="213"/>
      <c r="F232" s="43"/>
      <c r="G232" s="43"/>
      <c r="H232" s="43"/>
      <c r="I232" s="148"/>
      <c r="J232" s="43"/>
      <c r="K232" s="43"/>
      <c r="L232" s="148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2"/>
      <c r="B233" s="43"/>
      <c r="C233" s="43"/>
      <c r="D233" s="43"/>
      <c r="E233" s="213"/>
      <c r="F233" s="43"/>
      <c r="G233" s="43"/>
      <c r="H233" s="43"/>
      <c r="I233" s="148"/>
      <c r="J233" s="43"/>
      <c r="K233" s="43"/>
      <c r="L233" s="148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2"/>
      <c r="B234" s="43"/>
      <c r="C234" s="43"/>
      <c r="D234" s="43"/>
      <c r="E234" s="213"/>
      <c r="F234" s="43"/>
      <c r="G234" s="43"/>
      <c r="H234" s="43"/>
      <c r="I234" s="148"/>
      <c r="J234" s="43"/>
      <c r="K234" s="43"/>
      <c r="L234" s="148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2"/>
      <c r="B235" s="43"/>
      <c r="C235" s="43"/>
      <c r="D235" s="43"/>
      <c r="E235" s="213"/>
      <c r="F235" s="43"/>
      <c r="G235" s="43"/>
      <c r="H235" s="43"/>
      <c r="I235" s="148"/>
      <c r="J235" s="43"/>
      <c r="K235" s="43"/>
      <c r="L235" s="148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2"/>
      <c r="B236" s="43"/>
      <c r="C236" s="43"/>
      <c r="D236" s="43"/>
      <c r="E236" s="213"/>
      <c r="F236" s="43"/>
      <c r="G236" s="43"/>
      <c r="H236" s="43"/>
      <c r="I236" s="148"/>
      <c r="J236" s="43"/>
      <c r="K236" s="43"/>
      <c r="L236" s="148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2"/>
      <c r="B237" s="43"/>
      <c r="C237" s="43"/>
      <c r="D237" s="43"/>
      <c r="E237" s="213"/>
      <c r="F237" s="43"/>
      <c r="G237" s="43"/>
      <c r="H237" s="43"/>
      <c r="I237" s="148"/>
      <c r="J237" s="43"/>
      <c r="K237" s="43"/>
      <c r="L237" s="148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2"/>
      <c r="B238" s="43"/>
      <c r="C238" s="43"/>
      <c r="D238" s="43"/>
      <c r="E238" s="213"/>
      <c r="F238" s="43"/>
      <c r="G238" s="43"/>
      <c r="H238" s="43"/>
      <c r="I238" s="148"/>
      <c r="J238" s="43"/>
      <c r="K238" s="43"/>
      <c r="L238" s="148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2"/>
      <c r="B239" s="43"/>
      <c r="C239" s="43"/>
      <c r="D239" s="43"/>
      <c r="E239" s="213"/>
      <c r="F239" s="43"/>
      <c r="G239" s="43"/>
      <c r="H239" s="43"/>
      <c r="I239" s="148"/>
      <c r="J239" s="43"/>
      <c r="K239" s="43"/>
      <c r="L239" s="148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2"/>
      <c r="B240" s="43"/>
      <c r="C240" s="43"/>
      <c r="D240" s="43"/>
      <c r="E240" s="213"/>
      <c r="F240" s="43"/>
      <c r="G240" s="43"/>
      <c r="H240" s="43"/>
      <c r="I240" s="148"/>
      <c r="J240" s="43"/>
      <c r="K240" s="43"/>
      <c r="L240" s="148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2"/>
      <c r="B241" s="43"/>
      <c r="C241" s="43"/>
      <c r="D241" s="43"/>
      <c r="E241" s="213"/>
      <c r="F241" s="43"/>
      <c r="G241" s="43"/>
      <c r="H241" s="43"/>
      <c r="I241" s="148"/>
      <c r="J241" s="43"/>
      <c r="K241" s="43"/>
      <c r="L241" s="148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2"/>
      <c r="B242" s="43"/>
      <c r="C242" s="43"/>
      <c r="D242" s="43"/>
      <c r="E242" s="213"/>
      <c r="F242" s="43"/>
      <c r="G242" s="43"/>
      <c r="H242" s="43"/>
      <c r="I242" s="148"/>
      <c r="J242" s="43"/>
      <c r="K242" s="43"/>
      <c r="L242" s="148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2"/>
      <c r="B243" s="43"/>
      <c r="C243" s="43"/>
      <c r="D243" s="43"/>
      <c r="E243" s="213"/>
      <c r="F243" s="43"/>
      <c r="G243" s="43"/>
      <c r="H243" s="43"/>
      <c r="I243" s="148"/>
      <c r="J243" s="43"/>
      <c r="K243" s="43"/>
      <c r="L243" s="148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2"/>
      <c r="B244" s="43"/>
      <c r="C244" s="43"/>
      <c r="D244" s="43"/>
      <c r="E244" s="213"/>
      <c r="F244" s="43"/>
      <c r="G244" s="43"/>
      <c r="H244" s="43"/>
      <c r="I244" s="148"/>
      <c r="J244" s="43"/>
      <c r="K244" s="43"/>
      <c r="L244" s="148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2"/>
      <c r="B245" s="43"/>
      <c r="C245" s="43"/>
      <c r="D245" s="43"/>
      <c r="E245" s="213"/>
      <c r="F245" s="43"/>
      <c r="G245" s="43"/>
      <c r="H245" s="43"/>
      <c r="I245" s="148"/>
      <c r="J245" s="43"/>
      <c r="K245" s="43"/>
      <c r="L245" s="148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2"/>
      <c r="B246" s="43"/>
      <c r="C246" s="43"/>
      <c r="D246" s="43"/>
      <c r="E246" s="213"/>
      <c r="F246" s="43"/>
      <c r="G246" s="43"/>
      <c r="H246" s="43"/>
      <c r="I246" s="148"/>
      <c r="J246" s="43"/>
      <c r="K246" s="43"/>
      <c r="L246" s="148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2"/>
      <c r="B247" s="43"/>
      <c r="C247" s="43"/>
      <c r="D247" s="43"/>
      <c r="E247" s="213"/>
      <c r="F247" s="43"/>
      <c r="G247" s="43"/>
      <c r="H247" s="43"/>
      <c r="I247" s="148"/>
      <c r="J247" s="43"/>
      <c r="K247" s="43"/>
      <c r="L247" s="148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2"/>
      <c r="B248" s="43"/>
      <c r="C248" s="43"/>
      <c r="D248" s="43"/>
      <c r="E248" s="213"/>
      <c r="F248" s="43"/>
      <c r="G248" s="43"/>
      <c r="H248" s="43"/>
      <c r="I248" s="148"/>
      <c r="J248" s="43"/>
      <c r="K248" s="43"/>
      <c r="L248" s="148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2"/>
      <c r="B249" s="43"/>
      <c r="C249" s="43"/>
      <c r="D249" s="43"/>
      <c r="E249" s="213"/>
      <c r="F249" s="43"/>
      <c r="G249" s="43"/>
      <c r="H249" s="43"/>
      <c r="I249" s="148"/>
      <c r="J249" s="43"/>
      <c r="K249" s="43"/>
      <c r="L249" s="148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2"/>
      <c r="B250" s="43"/>
      <c r="C250" s="43"/>
      <c r="D250" s="43"/>
      <c r="E250" s="213"/>
      <c r="F250" s="43"/>
      <c r="G250" s="43"/>
      <c r="H250" s="43"/>
      <c r="I250" s="148"/>
      <c r="J250" s="43"/>
      <c r="K250" s="43"/>
      <c r="L250" s="148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2"/>
      <c r="B251" s="43"/>
      <c r="C251" s="43"/>
      <c r="D251" s="43"/>
      <c r="E251" s="213"/>
      <c r="F251" s="43"/>
      <c r="G251" s="43"/>
      <c r="H251" s="43"/>
      <c r="I251" s="148"/>
      <c r="J251" s="43"/>
      <c r="K251" s="43"/>
      <c r="L251" s="148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2"/>
      <c r="B252" s="43"/>
      <c r="C252" s="43"/>
      <c r="D252" s="43"/>
      <c r="E252" s="213"/>
      <c r="F252" s="43"/>
      <c r="G252" s="43"/>
      <c r="H252" s="43"/>
      <c r="I252" s="148"/>
      <c r="J252" s="43"/>
      <c r="K252" s="43"/>
      <c r="L252" s="148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2"/>
      <c r="B253" s="43"/>
      <c r="C253" s="43"/>
      <c r="D253" s="43"/>
      <c r="E253" s="213"/>
      <c r="F253" s="43"/>
      <c r="G253" s="43"/>
      <c r="H253" s="43"/>
      <c r="I253" s="148"/>
      <c r="J253" s="43"/>
      <c r="K253" s="43"/>
      <c r="L253" s="148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2"/>
      <c r="B254" s="43"/>
      <c r="C254" s="43"/>
      <c r="D254" s="43"/>
      <c r="E254" s="213"/>
      <c r="F254" s="43"/>
      <c r="G254" s="43"/>
      <c r="H254" s="43"/>
      <c r="I254" s="148"/>
      <c r="J254" s="43"/>
      <c r="K254" s="43"/>
      <c r="L254" s="148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2"/>
      <c r="B255" s="43"/>
      <c r="C255" s="43"/>
      <c r="D255" s="43"/>
      <c r="E255" s="213"/>
      <c r="F255" s="43"/>
      <c r="G255" s="43"/>
      <c r="H255" s="43"/>
      <c r="I255" s="148"/>
      <c r="J255" s="43"/>
      <c r="K255" s="43"/>
      <c r="L255" s="148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4.25" customHeight="1">
      <c r="E256" s="214"/>
      <c r="I256" s="215"/>
      <c r="L256" s="215"/>
    </row>
    <row r="257" spans="5:12" ht="14.25" customHeight="1">
      <c r="E257" s="214"/>
      <c r="I257" s="215"/>
      <c r="L257" s="215"/>
    </row>
    <row r="258" spans="5:12" ht="14.25" customHeight="1">
      <c r="E258" s="214"/>
      <c r="I258" s="215"/>
      <c r="L258" s="215"/>
    </row>
    <row r="259" spans="5:12" ht="14.25" customHeight="1">
      <c r="E259" s="214"/>
      <c r="I259" s="215"/>
      <c r="L259" s="215"/>
    </row>
    <row r="260" spans="5:12" ht="14.25" customHeight="1">
      <c r="E260" s="214"/>
      <c r="I260" s="215"/>
      <c r="L260" s="215"/>
    </row>
    <row r="261" spans="5:12" ht="14.25" customHeight="1">
      <c r="E261" s="214"/>
      <c r="I261" s="215"/>
      <c r="L261" s="215"/>
    </row>
    <row r="262" spans="5:12" ht="14.25" customHeight="1">
      <c r="E262" s="214"/>
      <c r="I262" s="215"/>
      <c r="L262" s="215"/>
    </row>
    <row r="263" spans="5:12" ht="14.25" customHeight="1">
      <c r="E263" s="214"/>
      <c r="I263" s="215"/>
      <c r="L263" s="215"/>
    </row>
    <row r="264" spans="5:12" ht="14.25" customHeight="1">
      <c r="E264" s="214"/>
      <c r="I264" s="215"/>
      <c r="L264" s="215"/>
    </row>
    <row r="265" spans="5:12" ht="14.25" customHeight="1">
      <c r="E265" s="214"/>
      <c r="I265" s="215"/>
      <c r="L265" s="215"/>
    </row>
    <row r="266" spans="5:12" ht="14.25" customHeight="1">
      <c r="E266" s="214"/>
      <c r="I266" s="215"/>
      <c r="L266" s="215"/>
    </row>
    <row r="267" spans="5:12" ht="14.25" customHeight="1">
      <c r="E267" s="214"/>
      <c r="I267" s="215"/>
      <c r="L267" s="215"/>
    </row>
    <row r="268" spans="5:12" ht="14.25" customHeight="1">
      <c r="E268" s="214"/>
      <c r="I268" s="215"/>
      <c r="L268" s="215"/>
    </row>
    <row r="269" spans="5:12" ht="14.25" customHeight="1">
      <c r="E269" s="214"/>
      <c r="I269" s="215"/>
      <c r="L269" s="215"/>
    </row>
    <row r="270" spans="5:12" ht="14.25" customHeight="1">
      <c r="E270" s="214"/>
      <c r="I270" s="215"/>
      <c r="L270" s="215"/>
    </row>
    <row r="271" spans="5:12" ht="14.25" customHeight="1">
      <c r="E271" s="214"/>
      <c r="I271" s="215"/>
      <c r="L271" s="215"/>
    </row>
    <row r="272" spans="5:12" ht="14.25" customHeight="1">
      <c r="E272" s="214"/>
      <c r="I272" s="215"/>
      <c r="L272" s="215"/>
    </row>
    <row r="273" spans="5:12" ht="14.25" customHeight="1">
      <c r="E273" s="214"/>
      <c r="I273" s="215"/>
      <c r="L273" s="215"/>
    </row>
    <row r="274" spans="5:12" ht="14.25" customHeight="1">
      <c r="E274" s="214"/>
      <c r="I274" s="215"/>
      <c r="L274" s="215"/>
    </row>
    <row r="275" spans="5:12" ht="14.25" customHeight="1">
      <c r="E275" s="214"/>
      <c r="I275" s="215"/>
      <c r="L275" s="215"/>
    </row>
    <row r="276" spans="5:12" ht="14.25" customHeight="1">
      <c r="E276" s="214"/>
      <c r="I276" s="215"/>
      <c r="L276" s="215"/>
    </row>
    <row r="277" spans="5:12" ht="14.25" customHeight="1">
      <c r="E277" s="214"/>
      <c r="I277" s="215"/>
      <c r="L277" s="215"/>
    </row>
    <row r="278" spans="5:12" ht="14.25" customHeight="1">
      <c r="E278" s="214"/>
      <c r="I278" s="215"/>
      <c r="L278" s="215"/>
    </row>
    <row r="279" spans="5:12" ht="14.25" customHeight="1">
      <c r="E279" s="214"/>
      <c r="I279" s="215"/>
      <c r="L279" s="215"/>
    </row>
    <row r="280" spans="5:12" ht="14.25" customHeight="1">
      <c r="E280" s="214"/>
      <c r="I280" s="215"/>
      <c r="L280" s="215"/>
    </row>
    <row r="281" spans="5:12" ht="14.25" customHeight="1">
      <c r="E281" s="214"/>
      <c r="I281" s="215"/>
      <c r="L281" s="215"/>
    </row>
    <row r="282" spans="5:12" ht="14.25" customHeight="1">
      <c r="E282" s="214"/>
      <c r="I282" s="215"/>
      <c r="L282" s="215"/>
    </row>
    <row r="283" spans="5:12" ht="14.25" customHeight="1">
      <c r="E283" s="214"/>
      <c r="I283" s="215"/>
      <c r="L283" s="215"/>
    </row>
    <row r="284" spans="5:12" ht="14.25" customHeight="1">
      <c r="E284" s="214"/>
      <c r="I284" s="215"/>
      <c r="L284" s="215"/>
    </row>
    <row r="285" spans="5:12" ht="14.25" customHeight="1">
      <c r="E285" s="214"/>
      <c r="I285" s="215"/>
      <c r="L285" s="215"/>
    </row>
    <row r="286" spans="5:12" ht="14.25" customHeight="1">
      <c r="E286" s="214"/>
      <c r="I286" s="215"/>
      <c r="L286" s="215"/>
    </row>
    <row r="287" spans="5:12" ht="14.25" customHeight="1">
      <c r="E287" s="214"/>
      <c r="I287" s="215"/>
      <c r="L287" s="215"/>
    </row>
    <row r="288" spans="5:12" ht="14.25" customHeight="1">
      <c r="E288" s="214"/>
      <c r="I288" s="215"/>
      <c r="L288" s="215"/>
    </row>
    <row r="289" spans="5:12" ht="14.25" customHeight="1">
      <c r="E289" s="214"/>
      <c r="I289" s="215"/>
      <c r="L289" s="215"/>
    </row>
    <row r="290" spans="5:12" ht="14.25" customHeight="1">
      <c r="E290" s="214"/>
      <c r="I290" s="215"/>
      <c r="L290" s="215"/>
    </row>
    <row r="291" spans="5:12" ht="14.25" customHeight="1">
      <c r="E291" s="214"/>
      <c r="I291" s="215"/>
      <c r="L291" s="215"/>
    </row>
    <row r="292" spans="5:12" ht="14.25" customHeight="1">
      <c r="E292" s="214"/>
      <c r="I292" s="215"/>
      <c r="L292" s="215"/>
    </row>
    <row r="293" spans="5:12" ht="14.25" customHeight="1">
      <c r="E293" s="214"/>
      <c r="I293" s="215"/>
      <c r="L293" s="215"/>
    </row>
    <row r="294" spans="5:12" ht="14.25" customHeight="1">
      <c r="E294" s="214"/>
      <c r="I294" s="215"/>
      <c r="L294" s="215"/>
    </row>
    <row r="295" spans="5:12" ht="14.25" customHeight="1">
      <c r="E295" s="214"/>
      <c r="I295" s="215"/>
      <c r="L295" s="215"/>
    </row>
    <row r="296" spans="5:12" ht="14.25" customHeight="1">
      <c r="E296" s="214"/>
      <c r="I296" s="215"/>
      <c r="L296" s="215"/>
    </row>
    <row r="297" spans="5:12" ht="14.25" customHeight="1">
      <c r="E297" s="214"/>
      <c r="I297" s="215"/>
      <c r="L297" s="215"/>
    </row>
    <row r="298" spans="5:12" ht="14.25" customHeight="1">
      <c r="E298" s="214"/>
      <c r="I298" s="215"/>
      <c r="L298" s="215"/>
    </row>
    <row r="299" spans="5:12" ht="14.25" customHeight="1">
      <c r="E299" s="214"/>
      <c r="I299" s="215"/>
      <c r="L299" s="215"/>
    </row>
    <row r="300" spans="5:12" ht="14.25" customHeight="1">
      <c r="E300" s="214"/>
      <c r="I300" s="215"/>
      <c r="L300" s="215"/>
    </row>
    <row r="301" spans="5:12" ht="14.25" customHeight="1">
      <c r="E301" s="214"/>
      <c r="I301" s="215"/>
      <c r="L301" s="215"/>
    </row>
    <row r="302" spans="5:12" ht="14.25" customHeight="1">
      <c r="E302" s="214"/>
      <c r="I302" s="215"/>
      <c r="L302" s="215"/>
    </row>
    <row r="303" spans="5:12" ht="14.25" customHeight="1">
      <c r="E303" s="214"/>
      <c r="I303" s="215"/>
      <c r="L303" s="215"/>
    </row>
    <row r="304" spans="5:12" ht="14.25" customHeight="1">
      <c r="E304" s="214"/>
      <c r="I304" s="215"/>
      <c r="L304" s="215"/>
    </row>
    <row r="305" spans="5:12" ht="14.25" customHeight="1">
      <c r="E305" s="214"/>
      <c r="I305" s="215"/>
      <c r="L305" s="215"/>
    </row>
    <row r="306" spans="5:12" ht="14.25" customHeight="1">
      <c r="E306" s="214"/>
      <c r="I306" s="215"/>
      <c r="L306" s="215"/>
    </row>
    <row r="307" spans="5:12" ht="14.25" customHeight="1">
      <c r="E307" s="214"/>
      <c r="I307" s="215"/>
      <c r="L307" s="215"/>
    </row>
    <row r="308" spans="5:12" ht="14.25" customHeight="1">
      <c r="E308" s="214"/>
      <c r="I308" s="215"/>
      <c r="L308" s="215"/>
    </row>
    <row r="309" spans="5:12" ht="14.25" customHeight="1">
      <c r="E309" s="214"/>
      <c r="I309" s="215"/>
      <c r="L309" s="215"/>
    </row>
    <row r="310" spans="5:12" ht="14.25" customHeight="1">
      <c r="E310" s="214"/>
      <c r="I310" s="215"/>
      <c r="L310" s="215"/>
    </row>
    <row r="311" spans="5:12" ht="14.25" customHeight="1">
      <c r="E311" s="214"/>
      <c r="I311" s="215"/>
      <c r="L311" s="215"/>
    </row>
    <row r="312" spans="5:12" ht="14.25" customHeight="1">
      <c r="E312" s="214"/>
      <c r="I312" s="215"/>
      <c r="L312" s="215"/>
    </row>
    <row r="313" spans="5:12" ht="14.25" customHeight="1">
      <c r="E313" s="214"/>
      <c r="I313" s="215"/>
      <c r="L313" s="215"/>
    </row>
    <row r="314" spans="5:12" ht="14.25" customHeight="1">
      <c r="E314" s="214"/>
      <c r="I314" s="215"/>
      <c r="L314" s="215"/>
    </row>
    <row r="315" spans="5:12" ht="14.25" customHeight="1">
      <c r="E315" s="214"/>
      <c r="I315" s="215"/>
      <c r="L315" s="215"/>
    </row>
    <row r="316" spans="5:12" ht="14.25" customHeight="1">
      <c r="E316" s="214"/>
      <c r="I316" s="215"/>
      <c r="L316" s="215"/>
    </row>
    <row r="317" spans="5:12" ht="14.25" customHeight="1">
      <c r="E317" s="214"/>
      <c r="I317" s="215"/>
      <c r="L317" s="215"/>
    </row>
    <row r="318" spans="5:12" ht="14.25" customHeight="1">
      <c r="E318" s="214"/>
      <c r="I318" s="215"/>
      <c r="L318" s="215"/>
    </row>
    <row r="319" spans="5:12" ht="14.25" customHeight="1">
      <c r="E319" s="214"/>
      <c r="I319" s="215"/>
      <c r="L319" s="215"/>
    </row>
    <row r="320" spans="5:12" ht="14.25" customHeight="1">
      <c r="E320" s="214"/>
      <c r="I320" s="215"/>
      <c r="L320" s="215"/>
    </row>
    <row r="321" spans="5:12" ht="14.25" customHeight="1">
      <c r="E321" s="214"/>
      <c r="I321" s="215"/>
      <c r="L321" s="215"/>
    </row>
    <row r="322" spans="5:12" ht="14.25" customHeight="1">
      <c r="E322" s="214"/>
      <c r="I322" s="215"/>
      <c r="L322" s="215"/>
    </row>
    <row r="323" spans="5:12" ht="14.25" customHeight="1">
      <c r="E323" s="214"/>
      <c r="I323" s="215"/>
      <c r="L323" s="215"/>
    </row>
    <row r="324" spans="5:12" ht="14.25" customHeight="1">
      <c r="E324" s="214"/>
      <c r="I324" s="215"/>
      <c r="L324" s="215"/>
    </row>
    <row r="325" spans="5:12" ht="14.25" customHeight="1">
      <c r="E325" s="214"/>
      <c r="I325" s="215"/>
      <c r="L325" s="215"/>
    </row>
    <row r="326" spans="5:12" ht="14.25" customHeight="1">
      <c r="E326" s="214"/>
      <c r="I326" s="215"/>
      <c r="L326" s="215"/>
    </row>
    <row r="327" spans="5:12" ht="14.25" customHeight="1">
      <c r="E327" s="214"/>
      <c r="I327" s="215"/>
      <c r="L327" s="215"/>
    </row>
    <row r="328" spans="5:12" ht="14.25" customHeight="1">
      <c r="E328" s="214"/>
      <c r="I328" s="215"/>
      <c r="L328" s="215"/>
    </row>
    <row r="329" spans="5:12" ht="14.25" customHeight="1">
      <c r="E329" s="214"/>
      <c r="I329" s="215"/>
      <c r="L329" s="215"/>
    </row>
    <row r="330" spans="5:12" ht="14.25" customHeight="1">
      <c r="E330" s="214"/>
      <c r="I330" s="215"/>
      <c r="L330" s="215"/>
    </row>
    <row r="331" spans="5:12" ht="14.25" customHeight="1">
      <c r="E331" s="214"/>
      <c r="I331" s="215"/>
      <c r="L331" s="215"/>
    </row>
    <row r="332" spans="5:12" ht="14.25" customHeight="1">
      <c r="E332" s="214"/>
      <c r="I332" s="215"/>
      <c r="L332" s="215"/>
    </row>
    <row r="333" spans="5:12" ht="14.25" customHeight="1">
      <c r="E333" s="214"/>
      <c r="I333" s="215"/>
      <c r="L333" s="215"/>
    </row>
    <row r="334" spans="5:12" ht="14.25" customHeight="1">
      <c r="E334" s="214"/>
      <c r="I334" s="215"/>
      <c r="L334" s="215"/>
    </row>
    <row r="335" spans="5:12" ht="14.25" customHeight="1">
      <c r="E335" s="214"/>
      <c r="I335" s="215"/>
      <c r="L335" s="215"/>
    </row>
    <row r="336" spans="5:12" ht="14.25" customHeight="1">
      <c r="E336" s="214"/>
      <c r="I336" s="215"/>
      <c r="L336" s="215"/>
    </row>
    <row r="337" spans="5:12" ht="14.25" customHeight="1">
      <c r="E337" s="214"/>
      <c r="I337" s="215"/>
      <c r="L337" s="215"/>
    </row>
    <row r="338" spans="5:12" ht="14.25" customHeight="1">
      <c r="E338" s="214"/>
      <c r="I338" s="215"/>
      <c r="L338" s="215"/>
    </row>
    <row r="339" spans="5:12" ht="14.25" customHeight="1">
      <c r="E339" s="214"/>
      <c r="I339" s="215"/>
      <c r="L339" s="215"/>
    </row>
    <row r="340" spans="5:12" ht="14.25" customHeight="1">
      <c r="E340" s="214"/>
      <c r="I340" s="215"/>
      <c r="L340" s="215"/>
    </row>
    <row r="341" spans="5:12" ht="14.25" customHeight="1">
      <c r="E341" s="214"/>
      <c r="I341" s="215"/>
      <c r="L341" s="215"/>
    </row>
    <row r="342" spans="5:12" ht="14.25" customHeight="1">
      <c r="E342" s="214"/>
      <c r="I342" s="215"/>
      <c r="L342" s="215"/>
    </row>
    <row r="343" spans="5:12" ht="14.25" customHeight="1">
      <c r="E343" s="214"/>
      <c r="I343" s="215"/>
      <c r="L343" s="215"/>
    </row>
    <row r="344" spans="5:12" ht="14.25" customHeight="1">
      <c r="E344" s="214"/>
      <c r="I344" s="215"/>
      <c r="L344" s="215"/>
    </row>
    <row r="345" spans="5:12" ht="14.25" customHeight="1">
      <c r="E345" s="214"/>
      <c r="I345" s="215"/>
      <c r="L345" s="215"/>
    </row>
    <row r="346" spans="5:12" ht="14.25" customHeight="1">
      <c r="E346" s="214"/>
      <c r="I346" s="215"/>
      <c r="L346" s="215"/>
    </row>
    <row r="347" spans="5:12" ht="14.25" customHeight="1">
      <c r="E347" s="214"/>
      <c r="I347" s="215"/>
      <c r="L347" s="215"/>
    </row>
    <row r="348" spans="5:12" ht="14.25" customHeight="1">
      <c r="E348" s="214"/>
      <c r="I348" s="215"/>
      <c r="L348" s="215"/>
    </row>
    <row r="349" spans="5:12" ht="14.25" customHeight="1">
      <c r="E349" s="214"/>
      <c r="I349" s="215"/>
      <c r="L349" s="215"/>
    </row>
    <row r="350" spans="5:12" ht="14.25" customHeight="1">
      <c r="E350" s="214"/>
      <c r="I350" s="215"/>
      <c r="L350" s="215"/>
    </row>
    <row r="351" spans="5:12" ht="14.25" customHeight="1">
      <c r="E351" s="214"/>
      <c r="I351" s="215"/>
      <c r="L351" s="215"/>
    </row>
    <row r="352" spans="5:12" ht="14.25" customHeight="1">
      <c r="E352" s="214"/>
      <c r="I352" s="215"/>
      <c r="L352" s="215"/>
    </row>
    <row r="353" spans="5:12" ht="14.25" customHeight="1">
      <c r="E353" s="214"/>
      <c r="I353" s="215"/>
      <c r="L353" s="215"/>
    </row>
    <row r="354" spans="5:12" ht="14.25" customHeight="1">
      <c r="E354" s="214"/>
      <c r="I354" s="215"/>
      <c r="L354" s="215"/>
    </row>
    <row r="355" spans="5:12" ht="14.25" customHeight="1">
      <c r="E355" s="214"/>
      <c r="I355" s="215"/>
      <c r="L355" s="215"/>
    </row>
    <row r="356" spans="5:12" ht="14.25" customHeight="1">
      <c r="E356" s="214"/>
      <c r="I356" s="215"/>
      <c r="L356" s="215"/>
    </row>
    <row r="357" spans="5:12" ht="14.25" customHeight="1">
      <c r="E357" s="214"/>
      <c r="I357" s="215"/>
      <c r="L357" s="215"/>
    </row>
    <row r="358" spans="5:12" ht="14.25" customHeight="1">
      <c r="E358" s="214"/>
      <c r="I358" s="215"/>
      <c r="L358" s="215"/>
    </row>
    <row r="359" spans="5:12" ht="14.25" customHeight="1">
      <c r="E359" s="214"/>
      <c r="I359" s="215"/>
      <c r="L359" s="215"/>
    </row>
    <row r="360" spans="5:12" ht="14.25" customHeight="1">
      <c r="E360" s="214"/>
      <c r="I360" s="215"/>
      <c r="L360" s="215"/>
    </row>
    <row r="361" spans="5:12" ht="14.25" customHeight="1">
      <c r="E361" s="214"/>
      <c r="I361" s="215"/>
      <c r="L361" s="215"/>
    </row>
    <row r="362" spans="5:12" ht="14.25" customHeight="1">
      <c r="E362" s="214"/>
      <c r="I362" s="215"/>
      <c r="L362" s="215"/>
    </row>
    <row r="363" spans="5:12" ht="14.25" customHeight="1">
      <c r="E363" s="214"/>
      <c r="I363" s="215"/>
      <c r="L363" s="215"/>
    </row>
    <row r="364" spans="5:12" ht="14.25" customHeight="1">
      <c r="E364" s="214"/>
      <c r="I364" s="215"/>
      <c r="L364" s="215"/>
    </row>
    <row r="365" spans="5:12" ht="14.25" customHeight="1">
      <c r="E365" s="214"/>
      <c r="I365" s="215"/>
      <c r="L365" s="215"/>
    </row>
    <row r="366" spans="5:12" ht="14.25" customHeight="1">
      <c r="E366" s="214"/>
      <c r="I366" s="215"/>
      <c r="L366" s="215"/>
    </row>
    <row r="367" spans="5:12" ht="14.25" customHeight="1">
      <c r="E367" s="214"/>
      <c r="I367" s="215"/>
      <c r="L367" s="215"/>
    </row>
    <row r="368" spans="5:12" ht="14.25" customHeight="1">
      <c r="E368" s="214"/>
      <c r="I368" s="215"/>
      <c r="L368" s="215"/>
    </row>
    <row r="369" spans="5:12" ht="14.25" customHeight="1">
      <c r="E369" s="214"/>
      <c r="I369" s="215"/>
      <c r="L369" s="215"/>
    </row>
    <row r="370" spans="5:12" ht="14.25" customHeight="1">
      <c r="E370" s="214"/>
      <c r="I370" s="215"/>
      <c r="L370" s="215"/>
    </row>
    <row r="371" spans="5:12" ht="14.25" customHeight="1">
      <c r="E371" s="214"/>
      <c r="I371" s="215"/>
      <c r="L371" s="215"/>
    </row>
    <row r="372" spans="5:12" ht="14.25" customHeight="1">
      <c r="E372" s="214"/>
      <c r="I372" s="215"/>
      <c r="L372" s="215"/>
    </row>
    <row r="373" spans="5:12" ht="14.25" customHeight="1">
      <c r="E373" s="214"/>
      <c r="I373" s="215"/>
      <c r="L373" s="215"/>
    </row>
    <row r="374" spans="5:12" ht="14.25" customHeight="1">
      <c r="E374" s="214"/>
      <c r="I374" s="215"/>
      <c r="L374" s="215"/>
    </row>
    <row r="375" spans="5:12" ht="14.25" customHeight="1">
      <c r="E375" s="214"/>
      <c r="I375" s="215"/>
      <c r="L375" s="215"/>
    </row>
    <row r="376" spans="5:12" ht="14.25" customHeight="1">
      <c r="E376" s="214"/>
      <c r="I376" s="215"/>
      <c r="L376" s="215"/>
    </row>
    <row r="377" spans="5:12" ht="14.25" customHeight="1">
      <c r="E377" s="214"/>
      <c r="I377" s="215"/>
      <c r="L377" s="215"/>
    </row>
    <row r="378" spans="5:12" ht="14.25" customHeight="1">
      <c r="E378" s="214"/>
      <c r="I378" s="215"/>
      <c r="L378" s="215"/>
    </row>
    <row r="379" spans="5:12" ht="14.25" customHeight="1">
      <c r="E379" s="214"/>
      <c r="I379" s="215"/>
      <c r="L379" s="215"/>
    </row>
    <row r="380" spans="5:12" ht="14.25" customHeight="1">
      <c r="E380" s="214"/>
      <c r="I380" s="215"/>
      <c r="L380" s="215"/>
    </row>
    <row r="381" spans="5:12" ht="14.25" customHeight="1">
      <c r="E381" s="214"/>
      <c r="I381" s="215"/>
      <c r="L381" s="215"/>
    </row>
    <row r="382" spans="5:12" ht="14.25" customHeight="1">
      <c r="E382" s="214"/>
      <c r="I382" s="215"/>
      <c r="L382" s="215"/>
    </row>
    <row r="383" spans="5:12" ht="14.25" customHeight="1">
      <c r="E383" s="214"/>
      <c r="I383" s="215"/>
      <c r="L383" s="215"/>
    </row>
    <row r="384" spans="5:12" ht="14.25" customHeight="1">
      <c r="E384" s="214"/>
      <c r="I384" s="215"/>
      <c r="L384" s="215"/>
    </row>
    <row r="385" spans="5:12" ht="14.25" customHeight="1">
      <c r="E385" s="214"/>
      <c r="I385" s="215"/>
      <c r="L385" s="215"/>
    </row>
    <row r="386" spans="5:12" ht="14.25" customHeight="1">
      <c r="E386" s="214"/>
      <c r="I386" s="215"/>
      <c r="L386" s="215"/>
    </row>
    <row r="387" spans="5:12" ht="14.25" customHeight="1">
      <c r="E387" s="214"/>
      <c r="I387" s="215"/>
      <c r="L387" s="215"/>
    </row>
    <row r="388" spans="5:12" ht="14.25" customHeight="1">
      <c r="E388" s="214"/>
      <c r="I388" s="215"/>
      <c r="L388" s="215"/>
    </row>
    <row r="389" spans="5:12" ht="14.25" customHeight="1">
      <c r="E389" s="214"/>
      <c r="I389" s="215"/>
      <c r="L389" s="215"/>
    </row>
    <row r="390" spans="5:12" ht="14.25" customHeight="1">
      <c r="E390" s="214"/>
      <c r="I390" s="215"/>
      <c r="L390" s="215"/>
    </row>
    <row r="391" spans="5:12" ht="14.25" customHeight="1">
      <c r="E391" s="214"/>
      <c r="I391" s="215"/>
      <c r="L391" s="215"/>
    </row>
    <row r="392" spans="5:12" ht="14.25" customHeight="1">
      <c r="E392" s="214"/>
      <c r="I392" s="215"/>
      <c r="L392" s="215"/>
    </row>
    <row r="393" spans="5:12" ht="14.25" customHeight="1">
      <c r="E393" s="214"/>
      <c r="I393" s="215"/>
      <c r="L393" s="215"/>
    </row>
    <row r="394" spans="5:12" ht="14.25" customHeight="1">
      <c r="E394" s="214"/>
      <c r="I394" s="215"/>
      <c r="L394" s="215"/>
    </row>
    <row r="395" spans="5:12" ht="14.25" customHeight="1">
      <c r="E395" s="214"/>
      <c r="I395" s="215"/>
      <c r="L395" s="215"/>
    </row>
    <row r="396" spans="5:12" ht="14.25" customHeight="1">
      <c r="E396" s="214"/>
      <c r="I396" s="215"/>
      <c r="L396" s="215"/>
    </row>
    <row r="397" spans="5:12" ht="14.25" customHeight="1">
      <c r="E397" s="214"/>
      <c r="I397" s="215"/>
      <c r="L397" s="215"/>
    </row>
    <row r="398" spans="5:12" ht="14.25" customHeight="1">
      <c r="E398" s="214"/>
      <c r="I398" s="215"/>
      <c r="L398" s="215"/>
    </row>
    <row r="399" spans="5:12" ht="14.25" customHeight="1">
      <c r="E399" s="214"/>
      <c r="I399" s="215"/>
      <c r="L399" s="215"/>
    </row>
    <row r="400" spans="5:12" ht="14.25" customHeight="1">
      <c r="E400" s="214"/>
      <c r="I400" s="215"/>
      <c r="L400" s="215"/>
    </row>
    <row r="401" spans="5:12" ht="14.25" customHeight="1">
      <c r="E401" s="214"/>
      <c r="I401" s="215"/>
      <c r="L401" s="215"/>
    </row>
    <row r="402" spans="5:12" ht="14.25" customHeight="1">
      <c r="E402" s="214"/>
      <c r="I402" s="215"/>
      <c r="L402" s="215"/>
    </row>
    <row r="403" spans="5:12" ht="14.25" customHeight="1">
      <c r="E403" s="214"/>
      <c r="I403" s="215"/>
      <c r="L403" s="215"/>
    </row>
    <row r="404" spans="5:12" ht="14.25" customHeight="1">
      <c r="E404" s="214"/>
      <c r="I404" s="215"/>
      <c r="L404" s="215"/>
    </row>
    <row r="405" spans="5:12" ht="14.25" customHeight="1">
      <c r="E405" s="214"/>
      <c r="I405" s="215"/>
      <c r="L405" s="215"/>
    </row>
    <row r="406" spans="5:12" ht="14.25" customHeight="1">
      <c r="E406" s="214"/>
      <c r="I406" s="215"/>
      <c r="L406" s="215"/>
    </row>
    <row r="407" spans="5:12" ht="14.25" customHeight="1">
      <c r="E407" s="214"/>
      <c r="I407" s="215"/>
      <c r="L407" s="215"/>
    </row>
    <row r="408" spans="5:12" ht="14.25" customHeight="1">
      <c r="E408" s="214"/>
      <c r="I408" s="215"/>
      <c r="L408" s="215"/>
    </row>
    <row r="409" spans="5:12" ht="14.25" customHeight="1">
      <c r="E409" s="214"/>
      <c r="I409" s="215"/>
      <c r="L409" s="215"/>
    </row>
    <row r="410" spans="5:12" ht="14.25" customHeight="1">
      <c r="E410" s="214"/>
      <c r="I410" s="215"/>
      <c r="L410" s="215"/>
    </row>
    <row r="411" spans="5:12" ht="14.25" customHeight="1">
      <c r="E411" s="214"/>
      <c r="I411" s="215"/>
      <c r="L411" s="215"/>
    </row>
    <row r="412" spans="5:12" ht="14.25" customHeight="1">
      <c r="E412" s="214"/>
      <c r="I412" s="215"/>
      <c r="L412" s="215"/>
    </row>
    <row r="413" spans="5:12" ht="14.25" customHeight="1">
      <c r="E413" s="214"/>
      <c r="I413" s="215"/>
      <c r="L413" s="215"/>
    </row>
    <row r="414" spans="5:12" ht="14.25" customHeight="1">
      <c r="E414" s="214"/>
      <c r="I414" s="215"/>
      <c r="L414" s="215"/>
    </row>
    <row r="415" spans="5:12" ht="14.25" customHeight="1">
      <c r="E415" s="214"/>
      <c r="I415" s="215"/>
      <c r="L415" s="215"/>
    </row>
    <row r="416" spans="5:12" ht="14.25" customHeight="1">
      <c r="E416" s="214"/>
      <c r="I416" s="215"/>
      <c r="L416" s="215"/>
    </row>
    <row r="417" spans="5:12" ht="14.25" customHeight="1">
      <c r="E417" s="214"/>
      <c r="I417" s="215"/>
      <c r="L417" s="215"/>
    </row>
    <row r="418" spans="5:12" ht="14.25" customHeight="1">
      <c r="E418" s="214"/>
      <c r="I418" s="215"/>
      <c r="L418" s="215"/>
    </row>
    <row r="419" spans="5:12" ht="14.25" customHeight="1">
      <c r="E419" s="214"/>
      <c r="I419" s="215"/>
      <c r="L419" s="215"/>
    </row>
    <row r="420" spans="5:12" ht="14.25" customHeight="1">
      <c r="E420" s="214"/>
      <c r="I420" s="215"/>
      <c r="L420" s="215"/>
    </row>
    <row r="421" spans="5:12" ht="14.25" customHeight="1">
      <c r="E421" s="214"/>
      <c r="I421" s="215"/>
      <c r="L421" s="215"/>
    </row>
    <row r="422" spans="5:12" ht="14.25" customHeight="1">
      <c r="E422" s="214"/>
      <c r="I422" s="215"/>
      <c r="L422" s="215"/>
    </row>
    <row r="423" spans="5:12" ht="14.25" customHeight="1">
      <c r="E423" s="214"/>
      <c r="I423" s="215"/>
      <c r="L423" s="215"/>
    </row>
    <row r="424" spans="5:12" ht="14.25" customHeight="1">
      <c r="E424" s="214"/>
      <c r="I424" s="215"/>
      <c r="L424" s="215"/>
    </row>
    <row r="425" spans="5:12" ht="14.25" customHeight="1">
      <c r="E425" s="214"/>
      <c r="I425" s="215"/>
      <c r="L425" s="215"/>
    </row>
    <row r="426" spans="5:12" ht="14.25" customHeight="1">
      <c r="E426" s="214"/>
      <c r="I426" s="215"/>
      <c r="L426" s="215"/>
    </row>
    <row r="427" spans="5:12" ht="14.25" customHeight="1">
      <c r="E427" s="214"/>
      <c r="I427" s="215"/>
      <c r="L427" s="215"/>
    </row>
    <row r="428" spans="5:12" ht="14.25" customHeight="1">
      <c r="E428" s="214"/>
      <c r="I428" s="215"/>
      <c r="L428" s="215"/>
    </row>
    <row r="429" spans="5:12" ht="14.25" customHeight="1">
      <c r="E429" s="214"/>
      <c r="I429" s="215"/>
      <c r="L429" s="215"/>
    </row>
    <row r="430" spans="5:12" ht="14.25" customHeight="1">
      <c r="E430" s="214"/>
      <c r="I430" s="215"/>
      <c r="L430" s="215"/>
    </row>
    <row r="431" spans="5:12" ht="14.25" customHeight="1">
      <c r="E431" s="214"/>
      <c r="I431" s="215"/>
      <c r="L431" s="215"/>
    </row>
    <row r="432" spans="5:12" ht="14.25" customHeight="1">
      <c r="E432" s="214"/>
      <c r="I432" s="215"/>
      <c r="L432" s="215"/>
    </row>
    <row r="433" spans="5:12" ht="14.25" customHeight="1">
      <c r="E433" s="214"/>
      <c r="I433" s="215"/>
      <c r="L433" s="215"/>
    </row>
    <row r="434" spans="5:12" ht="14.25" customHeight="1">
      <c r="E434" s="214"/>
      <c r="I434" s="215"/>
      <c r="L434" s="215"/>
    </row>
    <row r="435" spans="5:12" ht="14.25" customHeight="1">
      <c r="E435" s="214"/>
      <c r="I435" s="215"/>
      <c r="L435" s="215"/>
    </row>
    <row r="436" spans="5:12" ht="14.25" customHeight="1">
      <c r="E436" s="214"/>
      <c r="I436" s="215"/>
      <c r="L436" s="215"/>
    </row>
    <row r="437" spans="5:12" ht="14.25" customHeight="1">
      <c r="E437" s="214"/>
      <c r="I437" s="215"/>
      <c r="L437" s="215"/>
    </row>
    <row r="438" spans="5:12" ht="14.25" customHeight="1">
      <c r="E438" s="214"/>
      <c r="I438" s="215"/>
      <c r="L438" s="215"/>
    </row>
    <row r="439" spans="5:12" ht="14.25" customHeight="1">
      <c r="E439" s="214"/>
      <c r="I439" s="215"/>
      <c r="L439" s="215"/>
    </row>
    <row r="440" spans="5:12" ht="14.25" customHeight="1">
      <c r="E440" s="214"/>
      <c r="I440" s="215"/>
      <c r="L440" s="215"/>
    </row>
    <row r="441" spans="5:12" ht="14.25" customHeight="1">
      <c r="E441" s="214"/>
      <c r="I441" s="215"/>
      <c r="L441" s="215"/>
    </row>
    <row r="442" spans="5:12" ht="14.25" customHeight="1">
      <c r="E442" s="214"/>
      <c r="I442" s="215"/>
      <c r="L442" s="215"/>
    </row>
    <row r="443" spans="5:12" ht="14.25" customHeight="1">
      <c r="E443" s="214"/>
      <c r="I443" s="215"/>
      <c r="L443" s="215"/>
    </row>
    <row r="444" spans="5:12" ht="14.25" customHeight="1">
      <c r="E444" s="214"/>
      <c r="I444" s="215"/>
      <c r="L444" s="215"/>
    </row>
    <row r="445" spans="5:12" ht="14.25" customHeight="1">
      <c r="E445" s="214"/>
      <c r="I445" s="215"/>
      <c r="L445" s="215"/>
    </row>
    <row r="446" spans="5:12" ht="14.25" customHeight="1">
      <c r="E446" s="214"/>
      <c r="I446" s="215"/>
      <c r="L446" s="215"/>
    </row>
    <row r="447" spans="5:12" ht="14.25" customHeight="1">
      <c r="E447" s="214"/>
      <c r="I447" s="215"/>
      <c r="L447" s="215"/>
    </row>
    <row r="448" spans="5:12" ht="14.25" customHeight="1">
      <c r="E448" s="214"/>
      <c r="I448" s="215"/>
      <c r="L448" s="215"/>
    </row>
    <row r="449" spans="5:12" ht="14.25" customHeight="1">
      <c r="E449" s="214"/>
      <c r="I449" s="215"/>
      <c r="L449" s="215"/>
    </row>
    <row r="450" spans="5:12" ht="14.25" customHeight="1">
      <c r="E450" s="214"/>
      <c r="I450" s="215"/>
      <c r="L450" s="215"/>
    </row>
    <row r="451" spans="5:12" ht="14.25" customHeight="1">
      <c r="E451" s="214"/>
      <c r="I451" s="215"/>
      <c r="L451" s="215"/>
    </row>
    <row r="452" spans="5:12" ht="14.25" customHeight="1">
      <c r="E452" s="214"/>
      <c r="I452" s="215"/>
      <c r="L452" s="215"/>
    </row>
    <row r="453" spans="5:12" ht="14.25" customHeight="1">
      <c r="E453" s="214"/>
      <c r="I453" s="215"/>
      <c r="L453" s="215"/>
    </row>
    <row r="454" spans="5:12" ht="14.25" customHeight="1">
      <c r="E454" s="214"/>
      <c r="I454" s="215"/>
      <c r="L454" s="215"/>
    </row>
    <row r="455" spans="5:12" ht="14.25" customHeight="1">
      <c r="E455" s="214"/>
      <c r="I455" s="215"/>
      <c r="L455" s="215"/>
    </row>
    <row r="456" spans="5:12" ht="14.25" customHeight="1">
      <c r="E456" s="214"/>
      <c r="I456" s="215"/>
      <c r="L456" s="215"/>
    </row>
    <row r="457" spans="5:12" ht="14.25" customHeight="1">
      <c r="E457" s="214"/>
      <c r="I457" s="215"/>
      <c r="L457" s="215"/>
    </row>
    <row r="458" spans="5:12" ht="14.25" customHeight="1">
      <c r="E458" s="214"/>
      <c r="I458" s="215"/>
      <c r="L458" s="215"/>
    </row>
    <row r="459" spans="5:12" ht="14.25" customHeight="1">
      <c r="E459" s="214"/>
      <c r="I459" s="215"/>
      <c r="L459" s="215"/>
    </row>
    <row r="460" spans="5:12" ht="14.25" customHeight="1">
      <c r="E460" s="214"/>
      <c r="I460" s="215"/>
      <c r="L460" s="215"/>
    </row>
    <row r="461" spans="5:12" ht="14.25" customHeight="1">
      <c r="E461" s="214"/>
      <c r="I461" s="215"/>
      <c r="L461" s="215"/>
    </row>
    <row r="462" spans="5:12" ht="14.25" customHeight="1">
      <c r="E462" s="214"/>
      <c r="I462" s="215"/>
      <c r="L462" s="215"/>
    </row>
    <row r="463" spans="5:12" ht="14.25" customHeight="1">
      <c r="E463" s="214"/>
      <c r="I463" s="215"/>
      <c r="L463" s="215"/>
    </row>
    <row r="464" spans="5:12" ht="14.25" customHeight="1">
      <c r="E464" s="214"/>
      <c r="I464" s="215"/>
      <c r="L464" s="215"/>
    </row>
    <row r="465" spans="5:12" ht="14.25" customHeight="1">
      <c r="E465" s="214"/>
      <c r="I465" s="215"/>
      <c r="L465" s="215"/>
    </row>
    <row r="466" spans="5:12" ht="14.25" customHeight="1">
      <c r="E466" s="214"/>
      <c r="I466" s="215"/>
      <c r="L466" s="215"/>
    </row>
    <row r="467" spans="5:12" ht="14.25" customHeight="1">
      <c r="E467" s="214"/>
      <c r="I467" s="215"/>
      <c r="L467" s="215"/>
    </row>
    <row r="468" spans="5:12" ht="14.25" customHeight="1">
      <c r="E468" s="214"/>
      <c r="I468" s="215"/>
      <c r="L468" s="215"/>
    </row>
    <row r="469" spans="5:12" ht="14.25" customHeight="1">
      <c r="E469" s="214"/>
      <c r="I469" s="215"/>
      <c r="L469" s="215"/>
    </row>
    <row r="470" spans="5:12" ht="14.25" customHeight="1">
      <c r="E470" s="214"/>
      <c r="I470" s="215"/>
      <c r="L470" s="215"/>
    </row>
    <row r="471" spans="5:12" ht="14.25" customHeight="1">
      <c r="E471" s="214"/>
      <c r="I471" s="215"/>
      <c r="L471" s="215"/>
    </row>
    <row r="472" spans="5:12" ht="14.25" customHeight="1">
      <c r="E472" s="214"/>
      <c r="I472" s="215"/>
      <c r="L472" s="215"/>
    </row>
    <row r="473" spans="5:12" ht="14.25" customHeight="1">
      <c r="E473" s="214"/>
      <c r="I473" s="215"/>
      <c r="L473" s="215"/>
    </row>
    <row r="474" spans="5:12" ht="14.25" customHeight="1">
      <c r="E474" s="214"/>
      <c r="I474" s="215"/>
      <c r="L474" s="215"/>
    </row>
    <row r="475" spans="5:12" ht="14.25" customHeight="1">
      <c r="E475" s="214"/>
      <c r="I475" s="215"/>
      <c r="L475" s="215"/>
    </row>
    <row r="476" spans="5:12" ht="14.25" customHeight="1">
      <c r="E476" s="214"/>
      <c r="I476" s="215"/>
      <c r="L476" s="215"/>
    </row>
    <row r="477" spans="5:12" ht="14.25" customHeight="1">
      <c r="E477" s="214"/>
      <c r="I477" s="215"/>
      <c r="L477" s="215"/>
    </row>
    <row r="478" spans="5:12" ht="14.25" customHeight="1">
      <c r="E478" s="214"/>
      <c r="I478" s="215"/>
      <c r="L478" s="215"/>
    </row>
    <row r="479" spans="5:12" ht="14.25" customHeight="1">
      <c r="E479" s="214"/>
      <c r="I479" s="215"/>
      <c r="L479" s="215"/>
    </row>
    <row r="480" spans="5:12" ht="14.25" customHeight="1">
      <c r="E480" s="214"/>
      <c r="I480" s="215"/>
      <c r="L480" s="215"/>
    </row>
    <row r="481" spans="5:12" ht="14.25" customHeight="1">
      <c r="E481" s="214"/>
      <c r="I481" s="215"/>
      <c r="L481" s="215"/>
    </row>
    <row r="482" spans="5:12" ht="14.25" customHeight="1">
      <c r="E482" s="214"/>
      <c r="I482" s="215"/>
      <c r="L482" s="215"/>
    </row>
    <row r="483" spans="5:12" ht="14.25" customHeight="1">
      <c r="E483" s="214"/>
      <c r="I483" s="215"/>
      <c r="L483" s="215"/>
    </row>
    <row r="484" spans="5:12" ht="14.25" customHeight="1">
      <c r="E484" s="214"/>
      <c r="I484" s="215"/>
      <c r="L484" s="215"/>
    </row>
    <row r="485" spans="5:12" ht="14.25" customHeight="1">
      <c r="E485" s="214"/>
      <c r="I485" s="215"/>
      <c r="L485" s="215"/>
    </row>
    <row r="486" spans="5:12" ht="14.25" customHeight="1">
      <c r="E486" s="214"/>
      <c r="I486" s="215"/>
      <c r="L486" s="215"/>
    </row>
    <row r="487" spans="5:12" ht="14.25" customHeight="1">
      <c r="E487" s="214"/>
      <c r="I487" s="215"/>
      <c r="L487" s="215"/>
    </row>
    <row r="488" spans="5:12" ht="14.25" customHeight="1">
      <c r="E488" s="214"/>
      <c r="I488" s="215"/>
      <c r="L488" s="215"/>
    </row>
    <row r="489" spans="5:12" ht="14.25" customHeight="1">
      <c r="E489" s="214"/>
      <c r="I489" s="215"/>
      <c r="L489" s="215"/>
    </row>
    <row r="490" spans="5:12" ht="14.25" customHeight="1">
      <c r="E490" s="214"/>
      <c r="I490" s="215"/>
      <c r="L490" s="215"/>
    </row>
    <row r="491" spans="5:12" ht="14.25" customHeight="1">
      <c r="E491" s="214"/>
      <c r="I491" s="215"/>
      <c r="L491" s="215"/>
    </row>
    <row r="492" spans="5:12" ht="14.25" customHeight="1">
      <c r="E492" s="214"/>
      <c r="I492" s="215"/>
      <c r="L492" s="215"/>
    </row>
    <row r="493" spans="5:12" ht="14.25" customHeight="1">
      <c r="E493" s="214"/>
      <c r="I493" s="215"/>
      <c r="L493" s="215"/>
    </row>
    <row r="494" spans="5:12" ht="14.25" customHeight="1">
      <c r="E494" s="214"/>
      <c r="I494" s="215"/>
      <c r="L494" s="215"/>
    </row>
    <row r="495" spans="5:12" ht="14.25" customHeight="1">
      <c r="E495" s="214"/>
      <c r="I495" s="215"/>
      <c r="L495" s="215"/>
    </row>
    <row r="496" spans="5:12" ht="14.25" customHeight="1">
      <c r="E496" s="214"/>
      <c r="I496" s="215"/>
      <c r="L496" s="215"/>
    </row>
    <row r="497" spans="5:12" ht="14.25" customHeight="1">
      <c r="E497" s="214"/>
      <c r="I497" s="215"/>
      <c r="L497" s="215"/>
    </row>
    <row r="498" spans="5:12" ht="14.25" customHeight="1">
      <c r="E498" s="214"/>
      <c r="I498" s="215"/>
      <c r="L498" s="215"/>
    </row>
    <row r="499" spans="5:12" ht="14.25" customHeight="1">
      <c r="E499" s="214"/>
      <c r="I499" s="215"/>
      <c r="L499" s="215"/>
    </row>
    <row r="500" spans="5:12" ht="14.25" customHeight="1">
      <c r="E500" s="214"/>
      <c r="I500" s="215"/>
      <c r="L500" s="215"/>
    </row>
    <row r="501" spans="5:12" ht="14.25" customHeight="1">
      <c r="E501" s="214"/>
      <c r="I501" s="215"/>
      <c r="L501" s="215"/>
    </row>
    <row r="502" spans="5:12" ht="14.25" customHeight="1">
      <c r="E502" s="214"/>
      <c r="I502" s="215"/>
      <c r="L502" s="215"/>
    </row>
    <row r="503" spans="5:12" ht="14.25" customHeight="1">
      <c r="E503" s="214"/>
      <c r="I503" s="215"/>
      <c r="L503" s="215"/>
    </row>
    <row r="504" spans="5:12" ht="14.25" customHeight="1">
      <c r="E504" s="214"/>
      <c r="I504" s="215"/>
      <c r="L504" s="215"/>
    </row>
    <row r="505" spans="5:12" ht="14.25" customHeight="1">
      <c r="E505" s="214"/>
      <c r="I505" s="215"/>
      <c r="L505" s="215"/>
    </row>
    <row r="506" spans="5:12" ht="14.25" customHeight="1">
      <c r="E506" s="214"/>
      <c r="I506" s="215"/>
      <c r="L506" s="215"/>
    </row>
    <row r="507" spans="5:12" ht="14.25" customHeight="1">
      <c r="E507" s="214"/>
      <c r="I507" s="215"/>
      <c r="L507" s="215"/>
    </row>
    <row r="508" spans="5:12" ht="14.25" customHeight="1">
      <c r="E508" s="214"/>
      <c r="I508" s="215"/>
      <c r="L508" s="215"/>
    </row>
    <row r="509" spans="5:12" ht="14.25" customHeight="1">
      <c r="E509" s="214"/>
      <c r="I509" s="215"/>
      <c r="L509" s="215"/>
    </row>
    <row r="510" spans="5:12" ht="14.25" customHeight="1">
      <c r="E510" s="214"/>
      <c r="I510" s="215"/>
      <c r="L510" s="215"/>
    </row>
    <row r="511" spans="5:12" ht="14.25" customHeight="1">
      <c r="E511" s="214"/>
      <c r="I511" s="215"/>
      <c r="L511" s="215"/>
    </row>
    <row r="512" spans="5:12" ht="14.25" customHeight="1">
      <c r="E512" s="214"/>
      <c r="I512" s="215"/>
      <c r="L512" s="215"/>
    </row>
    <row r="513" spans="5:12" ht="14.25" customHeight="1">
      <c r="E513" s="214"/>
      <c r="I513" s="215"/>
      <c r="L513" s="215"/>
    </row>
    <row r="514" spans="5:12" ht="14.25" customHeight="1">
      <c r="E514" s="214"/>
      <c r="I514" s="215"/>
      <c r="L514" s="215"/>
    </row>
    <row r="515" spans="5:12" ht="14.25" customHeight="1">
      <c r="E515" s="214"/>
      <c r="I515" s="215"/>
      <c r="L515" s="215"/>
    </row>
    <row r="516" spans="5:12" ht="14.25" customHeight="1">
      <c r="E516" s="214"/>
      <c r="I516" s="215"/>
      <c r="L516" s="215"/>
    </row>
    <row r="517" spans="5:12" ht="14.25" customHeight="1">
      <c r="E517" s="214"/>
      <c r="I517" s="215"/>
      <c r="L517" s="215"/>
    </row>
    <row r="518" spans="5:12" ht="14.25" customHeight="1">
      <c r="E518" s="214"/>
      <c r="I518" s="215"/>
      <c r="L518" s="215"/>
    </row>
    <row r="519" spans="5:12" ht="14.25" customHeight="1">
      <c r="E519" s="214"/>
      <c r="I519" s="215"/>
      <c r="L519" s="215"/>
    </row>
    <row r="520" spans="5:12" ht="14.25" customHeight="1">
      <c r="E520" s="214"/>
      <c r="I520" s="215"/>
      <c r="L520" s="215"/>
    </row>
    <row r="521" spans="5:12" ht="14.25" customHeight="1">
      <c r="E521" s="214"/>
      <c r="I521" s="215"/>
      <c r="L521" s="215"/>
    </row>
    <row r="522" spans="5:12" ht="14.25" customHeight="1">
      <c r="E522" s="214"/>
      <c r="I522" s="215"/>
      <c r="L522" s="215"/>
    </row>
    <row r="523" spans="5:12" ht="14.25" customHeight="1">
      <c r="E523" s="214"/>
      <c r="I523" s="215"/>
      <c r="L523" s="215"/>
    </row>
    <row r="524" spans="5:12" ht="14.25" customHeight="1">
      <c r="E524" s="214"/>
      <c r="I524" s="215"/>
      <c r="L524" s="215"/>
    </row>
    <row r="525" spans="5:12" ht="14.25" customHeight="1">
      <c r="E525" s="214"/>
      <c r="I525" s="215"/>
      <c r="L525" s="215"/>
    </row>
    <row r="526" spans="5:12" ht="14.25" customHeight="1">
      <c r="E526" s="214"/>
      <c r="I526" s="215"/>
      <c r="L526" s="215"/>
    </row>
    <row r="527" spans="5:12" ht="14.25" customHeight="1">
      <c r="E527" s="214"/>
      <c r="I527" s="215"/>
      <c r="L527" s="215"/>
    </row>
    <row r="528" spans="5:12" ht="14.25" customHeight="1">
      <c r="E528" s="214"/>
      <c r="I528" s="215"/>
      <c r="L528" s="215"/>
    </row>
    <row r="529" spans="5:12" ht="14.25" customHeight="1">
      <c r="E529" s="214"/>
      <c r="I529" s="215"/>
      <c r="L529" s="215"/>
    </row>
    <row r="530" spans="5:12" ht="14.25" customHeight="1">
      <c r="E530" s="214"/>
      <c r="I530" s="215"/>
      <c r="L530" s="215"/>
    </row>
    <row r="531" spans="5:12" ht="14.25" customHeight="1">
      <c r="E531" s="214"/>
      <c r="I531" s="215"/>
      <c r="L531" s="215"/>
    </row>
    <row r="532" spans="5:12" ht="14.25" customHeight="1">
      <c r="E532" s="214"/>
      <c r="I532" s="215"/>
      <c r="L532" s="215"/>
    </row>
    <row r="533" spans="5:12" ht="14.25" customHeight="1">
      <c r="E533" s="214"/>
      <c r="I533" s="215"/>
      <c r="L533" s="215"/>
    </row>
    <row r="534" spans="5:12" ht="14.25" customHeight="1">
      <c r="E534" s="214"/>
      <c r="I534" s="215"/>
      <c r="L534" s="215"/>
    </row>
    <row r="535" spans="5:12" ht="14.25" customHeight="1">
      <c r="E535" s="214"/>
      <c r="I535" s="215"/>
      <c r="L535" s="215"/>
    </row>
    <row r="536" spans="5:12" ht="14.25" customHeight="1">
      <c r="E536" s="214"/>
      <c r="I536" s="215"/>
      <c r="L536" s="215"/>
    </row>
    <row r="537" spans="5:12" ht="14.25" customHeight="1">
      <c r="E537" s="214"/>
      <c r="I537" s="215"/>
      <c r="L537" s="215"/>
    </row>
    <row r="538" spans="5:12" ht="14.25" customHeight="1">
      <c r="E538" s="214"/>
      <c r="I538" s="215"/>
      <c r="L538" s="215"/>
    </row>
    <row r="539" spans="5:12" ht="14.25" customHeight="1">
      <c r="E539" s="214"/>
      <c r="I539" s="215"/>
      <c r="L539" s="215"/>
    </row>
    <row r="540" spans="5:12" ht="14.25" customHeight="1">
      <c r="E540" s="214"/>
      <c r="I540" s="215"/>
      <c r="L540" s="215"/>
    </row>
    <row r="541" spans="5:12" ht="14.25" customHeight="1">
      <c r="E541" s="214"/>
      <c r="I541" s="215"/>
      <c r="L541" s="215"/>
    </row>
    <row r="542" spans="5:12" ht="14.25" customHeight="1">
      <c r="E542" s="214"/>
      <c r="I542" s="215"/>
      <c r="L542" s="215"/>
    </row>
    <row r="543" spans="5:12" ht="14.25" customHeight="1">
      <c r="E543" s="214"/>
      <c r="I543" s="215"/>
      <c r="L543" s="215"/>
    </row>
    <row r="544" spans="5:12" ht="14.25" customHeight="1">
      <c r="E544" s="214"/>
      <c r="I544" s="215"/>
      <c r="L544" s="215"/>
    </row>
    <row r="545" spans="5:12" ht="14.25" customHeight="1">
      <c r="E545" s="214"/>
      <c r="I545" s="215"/>
      <c r="L545" s="215"/>
    </row>
    <row r="546" spans="5:12" ht="14.25" customHeight="1">
      <c r="E546" s="214"/>
      <c r="I546" s="215"/>
      <c r="L546" s="215"/>
    </row>
    <row r="547" spans="5:12" ht="14.25" customHeight="1">
      <c r="E547" s="214"/>
      <c r="I547" s="215"/>
      <c r="L547" s="215"/>
    </row>
    <row r="548" spans="5:12" ht="14.25" customHeight="1">
      <c r="E548" s="214"/>
      <c r="I548" s="215"/>
      <c r="L548" s="215"/>
    </row>
    <row r="549" spans="5:12" ht="14.25" customHeight="1">
      <c r="E549" s="214"/>
      <c r="I549" s="215"/>
      <c r="L549" s="215"/>
    </row>
    <row r="550" spans="5:12" ht="14.25" customHeight="1">
      <c r="E550" s="214"/>
      <c r="I550" s="215"/>
      <c r="L550" s="215"/>
    </row>
    <row r="551" spans="5:12" ht="14.25" customHeight="1">
      <c r="E551" s="214"/>
      <c r="I551" s="215"/>
      <c r="L551" s="215"/>
    </row>
    <row r="552" spans="5:12" ht="14.25" customHeight="1">
      <c r="E552" s="214"/>
      <c r="I552" s="215"/>
      <c r="L552" s="215"/>
    </row>
    <row r="553" spans="5:12" ht="14.25" customHeight="1">
      <c r="E553" s="214"/>
      <c r="I553" s="215"/>
      <c r="L553" s="215"/>
    </row>
    <row r="554" spans="5:12" ht="14.25" customHeight="1">
      <c r="E554" s="214"/>
      <c r="I554" s="215"/>
      <c r="L554" s="215"/>
    </row>
    <row r="555" spans="5:12" ht="14.25" customHeight="1">
      <c r="E555" s="214"/>
      <c r="I555" s="215"/>
      <c r="L555" s="215"/>
    </row>
    <row r="556" spans="5:12" ht="14.25" customHeight="1">
      <c r="E556" s="214"/>
      <c r="I556" s="215"/>
      <c r="L556" s="215"/>
    </row>
    <row r="557" spans="5:12" ht="14.25" customHeight="1">
      <c r="E557" s="214"/>
      <c r="I557" s="215"/>
      <c r="L557" s="215"/>
    </row>
    <row r="558" spans="5:12" ht="14.25" customHeight="1">
      <c r="E558" s="214"/>
      <c r="I558" s="215"/>
      <c r="L558" s="215"/>
    </row>
    <row r="559" spans="5:12" ht="14.25" customHeight="1">
      <c r="E559" s="214"/>
      <c r="I559" s="215"/>
      <c r="L559" s="215"/>
    </row>
    <row r="560" spans="5:12" ht="14.25" customHeight="1">
      <c r="E560" s="214"/>
      <c r="I560" s="215"/>
      <c r="L560" s="215"/>
    </row>
    <row r="561" spans="5:12" ht="14.25" customHeight="1">
      <c r="E561" s="214"/>
      <c r="I561" s="215"/>
      <c r="L561" s="215"/>
    </row>
    <row r="562" spans="5:12" ht="14.25" customHeight="1">
      <c r="E562" s="214"/>
      <c r="I562" s="215"/>
      <c r="L562" s="215"/>
    </row>
    <row r="563" spans="5:12" ht="14.25" customHeight="1">
      <c r="E563" s="214"/>
      <c r="I563" s="215"/>
      <c r="L563" s="215"/>
    </row>
    <row r="564" spans="5:12" ht="14.25" customHeight="1">
      <c r="E564" s="214"/>
      <c r="I564" s="215"/>
      <c r="L564" s="215"/>
    </row>
    <row r="565" spans="5:12" ht="14.25" customHeight="1">
      <c r="E565" s="214"/>
      <c r="I565" s="215"/>
      <c r="L565" s="215"/>
    </row>
    <row r="566" spans="5:12" ht="14.25" customHeight="1">
      <c r="E566" s="214"/>
      <c r="I566" s="215"/>
      <c r="L566" s="215"/>
    </row>
    <row r="567" spans="5:12" ht="14.25" customHeight="1">
      <c r="E567" s="214"/>
      <c r="I567" s="215"/>
      <c r="L567" s="215"/>
    </row>
    <row r="568" spans="5:12" ht="14.25" customHeight="1">
      <c r="E568" s="214"/>
      <c r="I568" s="215"/>
      <c r="L568" s="215"/>
    </row>
    <row r="569" spans="5:12" ht="14.25" customHeight="1">
      <c r="E569" s="214"/>
      <c r="I569" s="215"/>
      <c r="L569" s="215"/>
    </row>
    <row r="570" spans="5:12" ht="14.25" customHeight="1">
      <c r="E570" s="214"/>
      <c r="I570" s="215"/>
      <c r="L570" s="215"/>
    </row>
    <row r="571" spans="5:12" ht="14.25" customHeight="1">
      <c r="E571" s="214"/>
      <c r="I571" s="215"/>
      <c r="L571" s="215"/>
    </row>
    <row r="572" spans="5:12" ht="14.25" customHeight="1">
      <c r="E572" s="214"/>
      <c r="I572" s="215"/>
      <c r="L572" s="215"/>
    </row>
    <row r="573" spans="5:12" ht="14.25" customHeight="1">
      <c r="E573" s="214"/>
      <c r="I573" s="215"/>
      <c r="L573" s="215"/>
    </row>
    <row r="574" spans="5:12" ht="14.25" customHeight="1">
      <c r="E574" s="214"/>
      <c r="I574" s="215"/>
      <c r="L574" s="215"/>
    </row>
    <row r="575" spans="5:12" ht="14.25" customHeight="1">
      <c r="E575" s="214"/>
      <c r="I575" s="215"/>
      <c r="L575" s="215"/>
    </row>
    <row r="576" spans="5:12" ht="14.25" customHeight="1">
      <c r="E576" s="214"/>
      <c r="I576" s="215"/>
      <c r="L576" s="215"/>
    </row>
    <row r="577" spans="5:12" ht="14.25" customHeight="1">
      <c r="E577" s="214"/>
      <c r="I577" s="215"/>
      <c r="L577" s="215"/>
    </row>
    <row r="578" spans="5:12" ht="14.25" customHeight="1">
      <c r="E578" s="214"/>
      <c r="I578" s="215"/>
      <c r="L578" s="215"/>
    </row>
    <row r="579" spans="5:12" ht="14.25" customHeight="1">
      <c r="E579" s="214"/>
      <c r="I579" s="215"/>
      <c r="L579" s="215"/>
    </row>
    <row r="580" spans="5:12" ht="14.25" customHeight="1">
      <c r="E580" s="214"/>
      <c r="I580" s="215"/>
      <c r="L580" s="215"/>
    </row>
    <row r="581" spans="5:12" ht="14.25" customHeight="1">
      <c r="E581" s="214"/>
      <c r="I581" s="215"/>
      <c r="L581" s="215"/>
    </row>
    <row r="582" spans="5:12" ht="14.25" customHeight="1">
      <c r="E582" s="214"/>
      <c r="I582" s="215"/>
      <c r="L582" s="215"/>
    </row>
    <row r="583" spans="5:12" ht="14.25" customHeight="1">
      <c r="E583" s="214"/>
      <c r="I583" s="215"/>
      <c r="L583" s="215"/>
    </row>
    <row r="584" spans="5:12" ht="14.25" customHeight="1">
      <c r="E584" s="214"/>
      <c r="I584" s="215"/>
      <c r="L584" s="215"/>
    </row>
    <row r="585" spans="5:12" ht="14.25" customHeight="1">
      <c r="E585" s="214"/>
      <c r="I585" s="215"/>
      <c r="L585" s="215"/>
    </row>
    <row r="586" spans="5:12" ht="14.25" customHeight="1">
      <c r="E586" s="214"/>
      <c r="I586" s="215"/>
      <c r="L586" s="215"/>
    </row>
    <row r="587" spans="5:12" ht="14.25" customHeight="1">
      <c r="E587" s="214"/>
      <c r="I587" s="215"/>
      <c r="L587" s="215"/>
    </row>
    <row r="588" spans="5:12" ht="14.25" customHeight="1">
      <c r="E588" s="214"/>
      <c r="I588" s="215"/>
      <c r="L588" s="215"/>
    </row>
    <row r="589" spans="5:12" ht="14.25" customHeight="1">
      <c r="E589" s="214"/>
      <c r="I589" s="215"/>
      <c r="L589" s="215"/>
    </row>
    <row r="590" spans="5:12" ht="14.25" customHeight="1">
      <c r="E590" s="214"/>
      <c r="I590" s="215"/>
      <c r="L590" s="215"/>
    </row>
    <row r="591" spans="5:12" ht="14.25" customHeight="1">
      <c r="E591" s="214"/>
      <c r="I591" s="215"/>
      <c r="L591" s="215"/>
    </row>
    <row r="592" spans="5:12" ht="14.25" customHeight="1">
      <c r="E592" s="214"/>
      <c r="I592" s="215"/>
      <c r="L592" s="215"/>
    </row>
    <row r="593" spans="5:12" ht="14.25" customHeight="1">
      <c r="E593" s="214"/>
      <c r="I593" s="215"/>
      <c r="L593" s="215"/>
    </row>
    <row r="594" spans="5:12" ht="14.25" customHeight="1">
      <c r="E594" s="214"/>
      <c r="I594" s="215"/>
      <c r="L594" s="215"/>
    </row>
    <row r="595" spans="5:12" ht="14.25" customHeight="1">
      <c r="E595" s="214"/>
      <c r="I595" s="215"/>
      <c r="L595" s="215"/>
    </row>
    <row r="596" spans="5:12" ht="14.25" customHeight="1">
      <c r="E596" s="214"/>
      <c r="I596" s="215"/>
      <c r="L596" s="215"/>
    </row>
    <row r="597" spans="5:12" ht="14.25" customHeight="1">
      <c r="E597" s="214"/>
      <c r="I597" s="215"/>
      <c r="L597" s="215"/>
    </row>
    <row r="598" spans="5:12" ht="14.25" customHeight="1">
      <c r="E598" s="214"/>
      <c r="I598" s="215"/>
      <c r="L598" s="215"/>
    </row>
    <row r="599" spans="5:12" ht="14.25" customHeight="1">
      <c r="E599" s="214"/>
      <c r="I599" s="215"/>
      <c r="L599" s="215"/>
    </row>
    <row r="600" spans="5:12" ht="14.25" customHeight="1">
      <c r="E600" s="214"/>
      <c r="I600" s="215"/>
      <c r="L600" s="215"/>
    </row>
    <row r="601" spans="5:12" ht="14.25" customHeight="1">
      <c r="E601" s="214"/>
      <c r="I601" s="215"/>
      <c r="L601" s="215"/>
    </row>
    <row r="602" spans="5:12" ht="14.25" customHeight="1">
      <c r="E602" s="214"/>
      <c r="I602" s="215"/>
      <c r="L602" s="215"/>
    </row>
    <row r="603" spans="5:12" ht="14.25" customHeight="1">
      <c r="E603" s="214"/>
      <c r="I603" s="215"/>
      <c r="L603" s="215"/>
    </row>
    <row r="604" spans="5:12" ht="14.25" customHeight="1">
      <c r="E604" s="214"/>
      <c r="I604" s="215"/>
      <c r="L604" s="215"/>
    </row>
    <row r="605" spans="5:12" ht="14.25" customHeight="1">
      <c r="E605" s="214"/>
      <c r="I605" s="215"/>
      <c r="L605" s="215"/>
    </row>
    <row r="606" spans="5:12" ht="14.25" customHeight="1">
      <c r="E606" s="214"/>
      <c r="I606" s="215"/>
      <c r="L606" s="215"/>
    </row>
    <row r="607" spans="5:12" ht="14.25" customHeight="1">
      <c r="E607" s="214"/>
      <c r="I607" s="215"/>
      <c r="L607" s="215"/>
    </row>
    <row r="608" spans="5:12" ht="14.25" customHeight="1">
      <c r="E608" s="214"/>
      <c r="I608" s="215"/>
      <c r="L608" s="215"/>
    </row>
    <row r="609" spans="5:12" ht="14.25" customHeight="1">
      <c r="E609" s="214"/>
      <c r="I609" s="215"/>
      <c r="L609" s="215"/>
    </row>
    <row r="610" spans="5:12" ht="14.25" customHeight="1">
      <c r="E610" s="214"/>
      <c r="I610" s="215"/>
      <c r="L610" s="215"/>
    </row>
    <row r="611" spans="5:12" ht="14.25" customHeight="1">
      <c r="E611" s="214"/>
      <c r="I611" s="215"/>
      <c r="L611" s="215"/>
    </row>
    <row r="612" spans="5:12" ht="14.25" customHeight="1">
      <c r="E612" s="214"/>
      <c r="I612" s="215"/>
      <c r="L612" s="215"/>
    </row>
    <row r="613" spans="5:12" ht="14.25" customHeight="1">
      <c r="E613" s="214"/>
      <c r="I613" s="215"/>
      <c r="L613" s="215"/>
    </row>
    <row r="614" spans="5:12" ht="14.25" customHeight="1">
      <c r="E614" s="214"/>
      <c r="I614" s="215"/>
      <c r="L614" s="215"/>
    </row>
    <row r="615" spans="5:12" ht="14.25" customHeight="1">
      <c r="E615" s="214"/>
      <c r="I615" s="215"/>
      <c r="L615" s="215"/>
    </row>
    <row r="616" spans="5:12" ht="14.25" customHeight="1">
      <c r="E616" s="214"/>
      <c r="I616" s="215"/>
      <c r="L616" s="215"/>
    </row>
    <row r="617" spans="5:12" ht="14.25" customHeight="1">
      <c r="E617" s="214"/>
      <c r="I617" s="215"/>
      <c r="L617" s="215"/>
    </row>
    <row r="618" spans="5:12" ht="14.25" customHeight="1">
      <c r="E618" s="214"/>
      <c r="I618" s="215"/>
      <c r="L618" s="215"/>
    </row>
    <row r="619" spans="5:12" ht="14.25" customHeight="1">
      <c r="E619" s="214"/>
      <c r="I619" s="215"/>
      <c r="L619" s="215"/>
    </row>
    <row r="620" spans="5:12" ht="14.25" customHeight="1">
      <c r="E620" s="214"/>
      <c r="I620" s="215"/>
      <c r="L620" s="215"/>
    </row>
    <row r="621" spans="5:12" ht="14.25" customHeight="1">
      <c r="E621" s="214"/>
      <c r="I621" s="215"/>
      <c r="L621" s="215"/>
    </row>
    <row r="622" spans="5:12" ht="14.25" customHeight="1">
      <c r="E622" s="214"/>
      <c r="I622" s="215"/>
      <c r="L622" s="215"/>
    </row>
    <row r="623" spans="5:12" ht="14.25" customHeight="1">
      <c r="E623" s="214"/>
      <c r="I623" s="215"/>
      <c r="L623" s="215"/>
    </row>
    <row r="624" spans="5:12" ht="14.25" customHeight="1">
      <c r="E624" s="214"/>
      <c r="I624" s="215"/>
      <c r="L624" s="215"/>
    </row>
    <row r="625" spans="5:12" ht="14.25" customHeight="1">
      <c r="E625" s="214"/>
      <c r="I625" s="215"/>
      <c r="L625" s="215"/>
    </row>
    <row r="626" spans="5:12" ht="14.25" customHeight="1">
      <c r="E626" s="214"/>
      <c r="I626" s="215"/>
      <c r="L626" s="215"/>
    </row>
    <row r="627" spans="5:12" ht="14.25" customHeight="1">
      <c r="E627" s="214"/>
      <c r="I627" s="215"/>
      <c r="L627" s="215"/>
    </row>
    <row r="628" spans="5:12" ht="14.25" customHeight="1">
      <c r="E628" s="214"/>
      <c r="I628" s="215"/>
      <c r="L628" s="215"/>
    </row>
    <row r="629" spans="5:12" ht="14.25" customHeight="1">
      <c r="E629" s="214"/>
      <c r="I629" s="215"/>
      <c r="L629" s="215"/>
    </row>
    <row r="630" spans="5:12" ht="14.25" customHeight="1">
      <c r="E630" s="214"/>
      <c r="I630" s="215"/>
      <c r="L630" s="215"/>
    </row>
    <row r="631" spans="5:12" ht="14.25" customHeight="1">
      <c r="E631" s="214"/>
      <c r="I631" s="215"/>
      <c r="L631" s="215"/>
    </row>
    <row r="632" spans="5:12" ht="14.25" customHeight="1">
      <c r="E632" s="214"/>
      <c r="I632" s="215"/>
      <c r="L632" s="215"/>
    </row>
    <row r="633" spans="5:12" ht="14.25" customHeight="1">
      <c r="E633" s="214"/>
      <c r="I633" s="215"/>
      <c r="L633" s="215"/>
    </row>
    <row r="634" spans="5:12" ht="14.25" customHeight="1">
      <c r="E634" s="214"/>
      <c r="I634" s="215"/>
      <c r="L634" s="215"/>
    </row>
    <row r="635" spans="5:12" ht="14.25" customHeight="1">
      <c r="E635" s="214"/>
      <c r="I635" s="215"/>
      <c r="L635" s="215"/>
    </row>
    <row r="636" spans="5:12" ht="14.25" customHeight="1">
      <c r="E636" s="214"/>
      <c r="I636" s="215"/>
      <c r="L636" s="215"/>
    </row>
    <row r="637" spans="5:12" ht="14.25" customHeight="1">
      <c r="E637" s="214"/>
      <c r="I637" s="215"/>
      <c r="L637" s="215"/>
    </row>
    <row r="638" spans="5:12" ht="14.25" customHeight="1">
      <c r="E638" s="214"/>
      <c r="I638" s="215"/>
      <c r="L638" s="215"/>
    </row>
    <row r="639" spans="5:12" ht="14.25" customHeight="1">
      <c r="E639" s="214"/>
      <c r="I639" s="215"/>
      <c r="L639" s="215"/>
    </row>
    <row r="640" spans="5:12" ht="14.25" customHeight="1">
      <c r="E640" s="214"/>
      <c r="I640" s="215"/>
      <c r="L640" s="215"/>
    </row>
    <row r="641" spans="5:12" ht="14.25" customHeight="1">
      <c r="E641" s="214"/>
      <c r="I641" s="215"/>
      <c r="L641" s="215"/>
    </row>
    <row r="642" spans="5:12" ht="14.25" customHeight="1">
      <c r="E642" s="214"/>
      <c r="I642" s="215"/>
      <c r="L642" s="215"/>
    </row>
    <row r="643" spans="5:12" ht="14.25" customHeight="1">
      <c r="E643" s="214"/>
      <c r="I643" s="215"/>
      <c r="L643" s="215"/>
    </row>
    <row r="644" spans="5:12" ht="14.25" customHeight="1">
      <c r="E644" s="214"/>
      <c r="I644" s="215"/>
      <c r="L644" s="215"/>
    </row>
    <row r="645" spans="5:12" ht="14.25" customHeight="1">
      <c r="E645" s="214"/>
      <c r="I645" s="215"/>
      <c r="L645" s="215"/>
    </row>
    <row r="646" spans="5:12" ht="14.25" customHeight="1">
      <c r="E646" s="214"/>
      <c r="I646" s="215"/>
      <c r="L646" s="215"/>
    </row>
    <row r="647" spans="5:12" ht="14.25" customHeight="1">
      <c r="E647" s="214"/>
      <c r="I647" s="215"/>
      <c r="L647" s="215"/>
    </row>
    <row r="648" spans="5:12" ht="14.25" customHeight="1">
      <c r="E648" s="214"/>
      <c r="I648" s="215"/>
      <c r="L648" s="215"/>
    </row>
    <row r="649" spans="5:12" ht="14.25" customHeight="1">
      <c r="E649" s="214"/>
      <c r="I649" s="215"/>
      <c r="L649" s="215"/>
    </row>
    <row r="650" spans="5:12" ht="14.25" customHeight="1">
      <c r="E650" s="214"/>
      <c r="I650" s="215"/>
      <c r="L650" s="215"/>
    </row>
    <row r="651" spans="5:12" ht="14.25" customHeight="1">
      <c r="E651" s="214"/>
      <c r="I651" s="215"/>
      <c r="L651" s="215"/>
    </row>
    <row r="652" spans="5:12" ht="14.25" customHeight="1">
      <c r="E652" s="214"/>
      <c r="I652" s="215"/>
      <c r="L652" s="215"/>
    </row>
    <row r="653" spans="5:12" ht="14.25" customHeight="1">
      <c r="E653" s="214"/>
      <c r="I653" s="215"/>
      <c r="L653" s="215"/>
    </row>
    <row r="654" spans="5:12" ht="14.25" customHeight="1">
      <c r="E654" s="214"/>
      <c r="I654" s="215"/>
      <c r="L654" s="215"/>
    </row>
    <row r="655" spans="5:12" ht="14.25" customHeight="1">
      <c r="E655" s="214"/>
      <c r="I655" s="215"/>
      <c r="L655" s="215"/>
    </row>
    <row r="656" spans="5:12" ht="14.25" customHeight="1">
      <c r="E656" s="214"/>
      <c r="I656" s="215"/>
      <c r="L656" s="215"/>
    </row>
    <row r="657" spans="5:12" ht="14.25" customHeight="1">
      <c r="E657" s="214"/>
      <c r="I657" s="215"/>
      <c r="L657" s="215"/>
    </row>
    <row r="658" spans="5:12" ht="14.25" customHeight="1">
      <c r="E658" s="214"/>
      <c r="I658" s="215"/>
      <c r="L658" s="215"/>
    </row>
    <row r="659" spans="5:12" ht="14.25" customHeight="1">
      <c r="E659" s="214"/>
      <c r="I659" s="215"/>
      <c r="L659" s="215"/>
    </row>
    <row r="660" spans="5:12" ht="14.25" customHeight="1">
      <c r="E660" s="214"/>
      <c r="I660" s="215"/>
      <c r="L660" s="215"/>
    </row>
    <row r="661" spans="5:12" ht="14.25" customHeight="1">
      <c r="E661" s="214"/>
      <c r="I661" s="215"/>
      <c r="L661" s="215"/>
    </row>
    <row r="662" spans="5:12" ht="14.25" customHeight="1">
      <c r="E662" s="214"/>
      <c r="I662" s="215"/>
      <c r="L662" s="215"/>
    </row>
    <row r="663" spans="5:12" ht="14.25" customHeight="1">
      <c r="E663" s="214"/>
      <c r="I663" s="215"/>
      <c r="L663" s="215"/>
    </row>
    <row r="664" spans="5:12" ht="14.25" customHeight="1">
      <c r="E664" s="214"/>
      <c r="I664" s="215"/>
      <c r="L664" s="215"/>
    </row>
    <row r="665" spans="5:12" ht="14.25" customHeight="1">
      <c r="E665" s="214"/>
      <c r="I665" s="215"/>
      <c r="L665" s="215"/>
    </row>
    <row r="666" spans="5:12" ht="14.25" customHeight="1">
      <c r="E666" s="214"/>
      <c r="I666" s="215"/>
      <c r="L666" s="215"/>
    </row>
    <row r="667" spans="5:12" ht="14.25" customHeight="1">
      <c r="E667" s="214"/>
      <c r="I667" s="215"/>
      <c r="L667" s="215"/>
    </row>
    <row r="668" spans="5:12" ht="14.25" customHeight="1">
      <c r="E668" s="214"/>
      <c r="I668" s="215"/>
      <c r="L668" s="215"/>
    </row>
    <row r="669" spans="5:12" ht="14.25" customHeight="1">
      <c r="E669" s="214"/>
      <c r="I669" s="215"/>
      <c r="L669" s="215"/>
    </row>
    <row r="670" spans="5:12" ht="14.25" customHeight="1">
      <c r="E670" s="214"/>
      <c r="I670" s="215"/>
      <c r="L670" s="215"/>
    </row>
    <row r="671" spans="5:12" ht="14.25" customHeight="1">
      <c r="E671" s="214"/>
      <c r="I671" s="215"/>
      <c r="L671" s="215"/>
    </row>
    <row r="672" spans="5:12" ht="14.25" customHeight="1">
      <c r="E672" s="214"/>
      <c r="I672" s="215"/>
      <c r="L672" s="215"/>
    </row>
    <row r="673" spans="5:12" ht="14.25" customHeight="1">
      <c r="E673" s="214"/>
      <c r="I673" s="215"/>
      <c r="L673" s="215"/>
    </row>
    <row r="674" spans="5:12" ht="14.25" customHeight="1">
      <c r="E674" s="214"/>
      <c r="I674" s="215"/>
      <c r="L674" s="215"/>
    </row>
    <row r="675" spans="5:12" ht="14.25" customHeight="1">
      <c r="E675" s="214"/>
      <c r="I675" s="215"/>
      <c r="L675" s="215"/>
    </row>
    <row r="676" spans="5:12" ht="14.25" customHeight="1">
      <c r="E676" s="214"/>
      <c r="I676" s="215"/>
      <c r="L676" s="215"/>
    </row>
    <row r="677" spans="5:12" ht="14.25" customHeight="1">
      <c r="E677" s="214"/>
      <c r="I677" s="215"/>
      <c r="L677" s="215"/>
    </row>
    <row r="678" spans="5:12" ht="14.25" customHeight="1">
      <c r="E678" s="214"/>
      <c r="I678" s="215"/>
      <c r="L678" s="215"/>
    </row>
    <row r="679" spans="5:12" ht="14.25" customHeight="1">
      <c r="E679" s="214"/>
      <c r="I679" s="215"/>
      <c r="L679" s="215"/>
    </row>
    <row r="680" spans="5:12" ht="14.25" customHeight="1">
      <c r="E680" s="214"/>
      <c r="I680" s="215"/>
      <c r="L680" s="215"/>
    </row>
    <row r="681" spans="5:12" ht="14.25" customHeight="1">
      <c r="E681" s="214"/>
      <c r="I681" s="215"/>
      <c r="L681" s="215"/>
    </row>
    <row r="682" spans="5:12" ht="14.25" customHeight="1">
      <c r="E682" s="214"/>
      <c r="I682" s="215"/>
      <c r="L682" s="215"/>
    </row>
    <row r="683" spans="5:12" ht="14.25" customHeight="1">
      <c r="E683" s="214"/>
      <c r="I683" s="215"/>
      <c r="L683" s="215"/>
    </row>
    <row r="684" spans="5:12" ht="14.25" customHeight="1">
      <c r="E684" s="214"/>
      <c r="I684" s="215"/>
      <c r="L684" s="215"/>
    </row>
    <row r="685" spans="5:12" ht="14.25" customHeight="1">
      <c r="E685" s="214"/>
      <c r="I685" s="215"/>
      <c r="L685" s="215"/>
    </row>
    <row r="686" spans="5:12" ht="14.25" customHeight="1">
      <c r="E686" s="214"/>
      <c r="I686" s="215"/>
      <c r="L686" s="215"/>
    </row>
    <row r="687" spans="5:12" ht="14.25" customHeight="1">
      <c r="E687" s="214"/>
      <c r="I687" s="215"/>
      <c r="L687" s="215"/>
    </row>
    <row r="688" spans="5:12" ht="14.25" customHeight="1">
      <c r="E688" s="214"/>
      <c r="I688" s="215"/>
      <c r="L688" s="215"/>
    </row>
    <row r="689" spans="5:12" ht="14.25" customHeight="1">
      <c r="E689" s="214"/>
      <c r="I689" s="215"/>
      <c r="L689" s="215"/>
    </row>
    <row r="690" spans="5:12" ht="14.25" customHeight="1">
      <c r="E690" s="214"/>
      <c r="I690" s="215"/>
      <c r="L690" s="215"/>
    </row>
    <row r="691" spans="5:12" ht="14.25" customHeight="1">
      <c r="E691" s="214"/>
      <c r="I691" s="215"/>
      <c r="L691" s="215"/>
    </row>
    <row r="692" spans="5:12" ht="14.25" customHeight="1">
      <c r="E692" s="214"/>
      <c r="I692" s="215"/>
      <c r="L692" s="215"/>
    </row>
    <row r="693" spans="5:12" ht="14.25" customHeight="1">
      <c r="E693" s="214"/>
      <c r="I693" s="215"/>
      <c r="L693" s="215"/>
    </row>
    <row r="694" spans="5:12" ht="14.25" customHeight="1">
      <c r="E694" s="214"/>
      <c r="I694" s="215"/>
      <c r="L694" s="215"/>
    </row>
    <row r="695" spans="5:12" ht="14.25" customHeight="1">
      <c r="E695" s="214"/>
      <c r="I695" s="215"/>
      <c r="L695" s="215"/>
    </row>
    <row r="696" spans="5:12" ht="14.25" customHeight="1">
      <c r="E696" s="214"/>
      <c r="I696" s="215"/>
      <c r="L696" s="215"/>
    </row>
    <row r="697" spans="5:12" ht="14.25" customHeight="1">
      <c r="E697" s="214"/>
      <c r="I697" s="215"/>
      <c r="L697" s="215"/>
    </row>
    <row r="698" spans="5:12" ht="14.25" customHeight="1">
      <c r="E698" s="214"/>
      <c r="I698" s="215"/>
      <c r="L698" s="215"/>
    </row>
    <row r="699" spans="5:12" ht="14.25" customHeight="1">
      <c r="E699" s="214"/>
      <c r="I699" s="215"/>
      <c r="L699" s="215"/>
    </row>
    <row r="700" spans="5:12" ht="14.25" customHeight="1">
      <c r="E700" s="214"/>
      <c r="I700" s="215"/>
      <c r="L700" s="215"/>
    </row>
    <row r="701" spans="5:12" ht="14.25" customHeight="1">
      <c r="E701" s="214"/>
      <c r="I701" s="215"/>
      <c r="L701" s="215"/>
    </row>
    <row r="702" spans="5:12" ht="14.25" customHeight="1">
      <c r="E702" s="214"/>
      <c r="I702" s="215"/>
      <c r="L702" s="215"/>
    </row>
    <row r="703" spans="5:12" ht="14.25" customHeight="1">
      <c r="E703" s="214"/>
      <c r="I703" s="215"/>
      <c r="L703" s="215"/>
    </row>
    <row r="704" spans="5:12" ht="14.25" customHeight="1">
      <c r="E704" s="214"/>
      <c r="I704" s="215"/>
      <c r="L704" s="215"/>
    </row>
    <row r="705" spans="5:12" ht="14.25" customHeight="1">
      <c r="E705" s="214"/>
      <c r="I705" s="215"/>
      <c r="L705" s="215"/>
    </row>
    <row r="706" spans="5:12" ht="14.25" customHeight="1">
      <c r="E706" s="214"/>
      <c r="I706" s="215"/>
      <c r="L706" s="215"/>
    </row>
    <row r="707" spans="5:12" ht="14.25" customHeight="1">
      <c r="E707" s="214"/>
      <c r="I707" s="215"/>
      <c r="L707" s="215"/>
    </row>
    <row r="708" spans="5:12" ht="14.25" customHeight="1">
      <c r="E708" s="214"/>
      <c r="I708" s="215"/>
      <c r="L708" s="215"/>
    </row>
    <row r="709" spans="5:12" ht="14.25" customHeight="1">
      <c r="E709" s="214"/>
      <c r="I709" s="215"/>
      <c r="L709" s="215"/>
    </row>
    <row r="710" spans="5:12" ht="14.25" customHeight="1">
      <c r="E710" s="214"/>
      <c r="I710" s="215"/>
      <c r="L710" s="215"/>
    </row>
    <row r="711" spans="5:12" ht="14.25" customHeight="1">
      <c r="E711" s="214"/>
      <c r="I711" s="215"/>
      <c r="L711" s="215"/>
    </row>
    <row r="712" spans="5:12" ht="14.25" customHeight="1">
      <c r="E712" s="214"/>
      <c r="I712" s="215"/>
      <c r="L712" s="215"/>
    </row>
    <row r="713" spans="5:12" ht="14.25" customHeight="1">
      <c r="E713" s="214"/>
      <c r="I713" s="215"/>
      <c r="L713" s="215"/>
    </row>
    <row r="714" spans="5:12" ht="14.25" customHeight="1">
      <c r="E714" s="214"/>
      <c r="I714" s="215"/>
      <c r="L714" s="215"/>
    </row>
    <row r="715" spans="5:12" ht="14.25" customHeight="1">
      <c r="E715" s="214"/>
      <c r="I715" s="215"/>
      <c r="L715" s="215"/>
    </row>
    <row r="716" spans="5:12" ht="14.25" customHeight="1">
      <c r="E716" s="214"/>
      <c r="I716" s="215"/>
      <c r="L716" s="215"/>
    </row>
    <row r="717" spans="5:12" ht="14.25" customHeight="1">
      <c r="E717" s="214"/>
      <c r="I717" s="215"/>
      <c r="L717" s="215"/>
    </row>
    <row r="718" spans="5:12" ht="14.25" customHeight="1">
      <c r="E718" s="214"/>
      <c r="I718" s="215"/>
      <c r="L718" s="215"/>
    </row>
    <row r="719" spans="5:12" ht="14.25" customHeight="1">
      <c r="E719" s="214"/>
      <c r="I719" s="215"/>
      <c r="L719" s="215"/>
    </row>
    <row r="720" spans="5:12" ht="14.25" customHeight="1">
      <c r="E720" s="214"/>
      <c r="I720" s="215"/>
      <c r="L720" s="215"/>
    </row>
    <row r="721" spans="5:12" ht="14.25" customHeight="1">
      <c r="E721" s="214"/>
      <c r="I721" s="215"/>
      <c r="L721" s="215"/>
    </row>
    <row r="722" spans="5:12" ht="14.25" customHeight="1">
      <c r="E722" s="214"/>
      <c r="I722" s="215"/>
      <c r="L722" s="215"/>
    </row>
    <row r="723" spans="5:12" ht="14.25" customHeight="1">
      <c r="E723" s="214"/>
      <c r="I723" s="215"/>
      <c r="L723" s="215"/>
    </row>
    <row r="724" spans="5:12" ht="14.25" customHeight="1">
      <c r="E724" s="214"/>
      <c r="I724" s="215"/>
      <c r="L724" s="215"/>
    </row>
    <row r="725" spans="5:12" ht="14.25" customHeight="1">
      <c r="E725" s="214"/>
      <c r="I725" s="215"/>
      <c r="L725" s="215"/>
    </row>
    <row r="726" spans="5:12" ht="14.25" customHeight="1">
      <c r="E726" s="214"/>
      <c r="I726" s="215"/>
      <c r="L726" s="215"/>
    </row>
    <row r="727" spans="5:12" ht="14.25" customHeight="1">
      <c r="E727" s="214"/>
      <c r="I727" s="215"/>
      <c r="L727" s="215"/>
    </row>
    <row r="728" spans="5:12" ht="14.25" customHeight="1">
      <c r="E728" s="214"/>
      <c r="I728" s="215"/>
      <c r="L728" s="215"/>
    </row>
    <row r="729" spans="5:12" ht="14.25" customHeight="1">
      <c r="E729" s="214"/>
      <c r="I729" s="215"/>
      <c r="L729" s="215"/>
    </row>
    <row r="730" spans="5:12" ht="14.25" customHeight="1">
      <c r="E730" s="214"/>
      <c r="I730" s="215"/>
      <c r="L730" s="215"/>
    </row>
    <row r="731" spans="5:12" ht="14.25" customHeight="1">
      <c r="E731" s="214"/>
      <c r="I731" s="215"/>
      <c r="L731" s="215"/>
    </row>
    <row r="732" spans="5:12" ht="14.25" customHeight="1">
      <c r="E732" s="214"/>
      <c r="I732" s="215"/>
      <c r="L732" s="215"/>
    </row>
    <row r="733" spans="5:12" ht="14.25" customHeight="1">
      <c r="E733" s="214"/>
      <c r="I733" s="215"/>
      <c r="L733" s="215"/>
    </row>
    <row r="734" spans="5:12" ht="14.25" customHeight="1">
      <c r="E734" s="214"/>
      <c r="I734" s="215"/>
      <c r="L734" s="215"/>
    </row>
    <row r="735" spans="5:12" ht="14.25" customHeight="1">
      <c r="E735" s="214"/>
      <c r="I735" s="215"/>
      <c r="L735" s="215"/>
    </row>
    <row r="736" spans="5:12" ht="14.25" customHeight="1">
      <c r="E736" s="214"/>
      <c r="I736" s="215"/>
      <c r="L736" s="215"/>
    </row>
    <row r="737" spans="5:12" ht="14.25" customHeight="1">
      <c r="E737" s="214"/>
      <c r="I737" s="215"/>
      <c r="L737" s="215"/>
    </row>
    <row r="738" spans="5:12" ht="14.25" customHeight="1">
      <c r="E738" s="214"/>
      <c r="I738" s="215"/>
      <c r="L738" s="215"/>
    </row>
    <row r="739" spans="5:12" ht="14.25" customHeight="1">
      <c r="E739" s="214"/>
      <c r="I739" s="215"/>
      <c r="L739" s="215"/>
    </row>
    <row r="740" spans="5:12" ht="14.25" customHeight="1">
      <c r="E740" s="214"/>
      <c r="I740" s="215"/>
      <c r="L740" s="215"/>
    </row>
    <row r="741" spans="5:12" ht="14.25" customHeight="1">
      <c r="E741" s="214"/>
      <c r="I741" s="215"/>
      <c r="L741" s="215"/>
    </row>
    <row r="742" spans="5:12" ht="14.25" customHeight="1">
      <c r="E742" s="214"/>
      <c r="I742" s="215"/>
      <c r="L742" s="215"/>
    </row>
    <row r="743" spans="5:12" ht="14.25" customHeight="1">
      <c r="E743" s="214"/>
      <c r="I743" s="215"/>
      <c r="L743" s="215"/>
    </row>
    <row r="744" spans="5:12" ht="14.25" customHeight="1">
      <c r="E744" s="214"/>
      <c r="I744" s="215"/>
      <c r="L744" s="215"/>
    </row>
    <row r="745" spans="5:12" ht="14.25" customHeight="1">
      <c r="E745" s="214"/>
      <c r="I745" s="215"/>
      <c r="L745" s="215"/>
    </row>
    <row r="746" spans="5:12" ht="14.25" customHeight="1">
      <c r="E746" s="214"/>
      <c r="I746" s="215"/>
      <c r="L746" s="215"/>
    </row>
    <row r="747" spans="5:12" ht="14.25" customHeight="1">
      <c r="E747" s="214"/>
      <c r="I747" s="215"/>
      <c r="L747" s="215"/>
    </row>
    <row r="748" spans="5:12" ht="14.25" customHeight="1">
      <c r="E748" s="214"/>
      <c r="I748" s="215"/>
      <c r="L748" s="215"/>
    </row>
    <row r="749" spans="5:12" ht="14.25" customHeight="1">
      <c r="E749" s="214"/>
      <c r="I749" s="215"/>
      <c r="L749" s="215"/>
    </row>
    <row r="750" spans="5:12" ht="14.25" customHeight="1">
      <c r="E750" s="214"/>
      <c r="I750" s="215"/>
      <c r="L750" s="215"/>
    </row>
    <row r="751" spans="5:12" ht="14.25" customHeight="1">
      <c r="E751" s="214"/>
      <c r="I751" s="215"/>
      <c r="L751" s="215"/>
    </row>
    <row r="752" spans="5:12" ht="14.25" customHeight="1">
      <c r="E752" s="214"/>
      <c r="I752" s="215"/>
      <c r="L752" s="215"/>
    </row>
    <row r="753" spans="5:12" ht="14.25" customHeight="1">
      <c r="E753" s="214"/>
      <c r="I753" s="215"/>
      <c r="L753" s="215"/>
    </row>
    <row r="754" spans="5:12" ht="14.25" customHeight="1">
      <c r="E754" s="214"/>
      <c r="I754" s="215"/>
      <c r="L754" s="215"/>
    </row>
    <row r="755" spans="5:12" ht="14.25" customHeight="1">
      <c r="E755" s="214"/>
      <c r="I755" s="215"/>
      <c r="L755" s="215"/>
    </row>
    <row r="756" spans="5:12" ht="14.25" customHeight="1">
      <c r="E756" s="214"/>
      <c r="I756" s="215"/>
      <c r="L756" s="215"/>
    </row>
    <row r="757" spans="5:12" ht="14.25" customHeight="1">
      <c r="E757" s="214"/>
      <c r="I757" s="215"/>
      <c r="L757" s="215"/>
    </row>
    <row r="758" spans="5:12" ht="14.25" customHeight="1">
      <c r="E758" s="214"/>
      <c r="I758" s="215"/>
      <c r="L758" s="215"/>
    </row>
    <row r="759" spans="5:12" ht="14.25" customHeight="1">
      <c r="E759" s="214"/>
      <c r="I759" s="215"/>
      <c r="L759" s="215"/>
    </row>
    <row r="760" spans="5:12" ht="14.25" customHeight="1">
      <c r="E760" s="214"/>
      <c r="I760" s="215"/>
      <c r="L760" s="215"/>
    </row>
    <row r="761" spans="5:12" ht="14.25" customHeight="1">
      <c r="E761" s="214"/>
      <c r="I761" s="215"/>
      <c r="L761" s="215"/>
    </row>
    <row r="762" spans="5:12" ht="14.25" customHeight="1">
      <c r="E762" s="214"/>
      <c r="I762" s="215"/>
      <c r="L762" s="215"/>
    </row>
    <row r="763" spans="5:12" ht="14.25" customHeight="1">
      <c r="E763" s="214"/>
      <c r="I763" s="215"/>
      <c r="L763" s="215"/>
    </row>
    <row r="764" spans="5:12" ht="14.25" customHeight="1">
      <c r="E764" s="214"/>
      <c r="I764" s="215"/>
      <c r="L764" s="215"/>
    </row>
    <row r="765" spans="5:12" ht="14.25" customHeight="1">
      <c r="E765" s="214"/>
      <c r="I765" s="215"/>
      <c r="L765" s="215"/>
    </row>
    <row r="766" spans="5:12" ht="14.25" customHeight="1">
      <c r="E766" s="214"/>
      <c r="I766" s="215"/>
      <c r="L766" s="215"/>
    </row>
    <row r="767" spans="5:12" ht="14.25" customHeight="1">
      <c r="E767" s="214"/>
      <c r="I767" s="215"/>
      <c r="L767" s="215"/>
    </row>
    <row r="768" spans="5:12" ht="14.25" customHeight="1">
      <c r="E768" s="214"/>
      <c r="I768" s="215"/>
      <c r="L768" s="215"/>
    </row>
    <row r="769" spans="5:12" ht="14.25" customHeight="1">
      <c r="E769" s="214"/>
      <c r="I769" s="215"/>
      <c r="L769" s="215"/>
    </row>
    <row r="770" spans="5:12" ht="14.25" customHeight="1">
      <c r="E770" s="214"/>
      <c r="I770" s="215"/>
      <c r="L770" s="215"/>
    </row>
    <row r="771" spans="5:12" ht="14.25" customHeight="1">
      <c r="E771" s="214"/>
      <c r="I771" s="215"/>
      <c r="L771" s="215"/>
    </row>
    <row r="772" spans="5:12" ht="14.25" customHeight="1">
      <c r="E772" s="214"/>
      <c r="I772" s="215"/>
      <c r="L772" s="215"/>
    </row>
    <row r="773" spans="5:12" ht="14.25" customHeight="1">
      <c r="E773" s="214"/>
      <c r="I773" s="215"/>
      <c r="L773" s="215"/>
    </row>
    <row r="774" spans="5:12" ht="14.25" customHeight="1">
      <c r="E774" s="214"/>
      <c r="I774" s="215"/>
      <c r="L774" s="215"/>
    </row>
    <row r="775" spans="5:12" ht="14.25" customHeight="1">
      <c r="E775" s="214"/>
      <c r="I775" s="215"/>
      <c r="L775" s="215"/>
    </row>
    <row r="776" spans="5:12" ht="14.25" customHeight="1">
      <c r="E776" s="214"/>
      <c r="I776" s="215"/>
      <c r="L776" s="215"/>
    </row>
    <row r="777" spans="5:12" ht="14.25" customHeight="1">
      <c r="E777" s="214"/>
      <c r="I777" s="215"/>
      <c r="L777" s="215"/>
    </row>
    <row r="778" spans="5:12" ht="14.25" customHeight="1">
      <c r="E778" s="214"/>
      <c r="I778" s="215"/>
      <c r="L778" s="215"/>
    </row>
    <row r="779" spans="5:12" ht="14.25" customHeight="1">
      <c r="E779" s="214"/>
      <c r="I779" s="215"/>
      <c r="L779" s="215"/>
    </row>
    <row r="780" spans="5:12" ht="14.25" customHeight="1">
      <c r="E780" s="214"/>
      <c r="I780" s="215"/>
      <c r="L780" s="215"/>
    </row>
    <row r="781" spans="5:12" ht="14.25" customHeight="1">
      <c r="E781" s="214"/>
      <c r="I781" s="215"/>
      <c r="L781" s="215"/>
    </row>
    <row r="782" spans="5:12" ht="14.25" customHeight="1">
      <c r="E782" s="214"/>
      <c r="I782" s="215"/>
      <c r="L782" s="215"/>
    </row>
    <row r="783" spans="5:12" ht="14.25" customHeight="1">
      <c r="E783" s="214"/>
      <c r="I783" s="215"/>
      <c r="L783" s="215"/>
    </row>
    <row r="784" spans="5:12" ht="14.25" customHeight="1">
      <c r="E784" s="214"/>
      <c r="I784" s="215"/>
      <c r="L784" s="215"/>
    </row>
    <row r="785" spans="5:12" ht="14.25" customHeight="1">
      <c r="E785" s="214"/>
      <c r="I785" s="215"/>
      <c r="L785" s="215"/>
    </row>
    <row r="786" spans="5:12" ht="14.25" customHeight="1">
      <c r="E786" s="214"/>
      <c r="I786" s="215"/>
      <c r="L786" s="215"/>
    </row>
    <row r="787" spans="5:12" ht="14.25" customHeight="1">
      <c r="E787" s="214"/>
      <c r="I787" s="215"/>
      <c r="L787" s="215"/>
    </row>
    <row r="788" spans="5:12" ht="14.25" customHeight="1">
      <c r="E788" s="214"/>
      <c r="I788" s="215"/>
      <c r="L788" s="215"/>
    </row>
    <row r="789" spans="5:12" ht="14.25" customHeight="1">
      <c r="E789" s="214"/>
      <c r="I789" s="215"/>
      <c r="L789" s="215"/>
    </row>
    <row r="790" spans="5:12" ht="14.25" customHeight="1">
      <c r="E790" s="214"/>
      <c r="I790" s="215"/>
      <c r="L790" s="215"/>
    </row>
    <row r="791" spans="5:12" ht="14.25" customHeight="1">
      <c r="E791" s="214"/>
      <c r="I791" s="215"/>
      <c r="L791" s="215"/>
    </row>
    <row r="792" spans="5:12" ht="14.25" customHeight="1">
      <c r="E792" s="214"/>
      <c r="I792" s="215"/>
      <c r="L792" s="215"/>
    </row>
    <row r="793" spans="5:12" ht="14.25" customHeight="1">
      <c r="E793" s="214"/>
      <c r="I793" s="215"/>
      <c r="L793" s="215"/>
    </row>
    <row r="794" spans="5:12" ht="14.25" customHeight="1">
      <c r="E794" s="214"/>
      <c r="I794" s="215"/>
      <c r="L794" s="215"/>
    </row>
    <row r="795" spans="5:12" ht="14.25" customHeight="1">
      <c r="E795" s="214"/>
      <c r="I795" s="215"/>
      <c r="L795" s="215"/>
    </row>
    <row r="796" spans="5:12" ht="14.25" customHeight="1">
      <c r="E796" s="214"/>
      <c r="I796" s="215"/>
      <c r="L796" s="215"/>
    </row>
    <row r="797" spans="5:12" ht="14.25" customHeight="1">
      <c r="E797" s="214"/>
      <c r="I797" s="215"/>
      <c r="L797" s="215"/>
    </row>
    <row r="798" spans="5:12" ht="14.25" customHeight="1">
      <c r="E798" s="214"/>
      <c r="I798" s="215"/>
      <c r="L798" s="215"/>
    </row>
    <row r="799" spans="5:12" ht="14.25" customHeight="1">
      <c r="E799" s="214"/>
      <c r="I799" s="215"/>
      <c r="L799" s="215"/>
    </row>
    <row r="800" spans="5:12" ht="14.25" customHeight="1">
      <c r="E800" s="214"/>
      <c r="I800" s="215"/>
      <c r="L800" s="215"/>
    </row>
    <row r="801" spans="5:12" ht="14.25" customHeight="1">
      <c r="E801" s="214"/>
      <c r="I801" s="215"/>
      <c r="L801" s="215"/>
    </row>
    <row r="802" spans="5:12" ht="14.25" customHeight="1">
      <c r="E802" s="214"/>
      <c r="I802" s="215"/>
      <c r="L802" s="215"/>
    </row>
    <row r="803" spans="5:12" ht="14.25" customHeight="1">
      <c r="E803" s="214"/>
      <c r="I803" s="215"/>
      <c r="L803" s="215"/>
    </row>
    <row r="804" spans="5:12" ht="14.25" customHeight="1">
      <c r="E804" s="214"/>
      <c r="I804" s="215"/>
      <c r="L804" s="215"/>
    </row>
    <row r="805" spans="5:12" ht="14.25" customHeight="1">
      <c r="E805" s="214"/>
      <c r="I805" s="215"/>
      <c r="L805" s="215"/>
    </row>
    <row r="806" spans="5:12" ht="14.25" customHeight="1">
      <c r="E806" s="214"/>
      <c r="I806" s="215"/>
      <c r="L806" s="215"/>
    </row>
    <row r="807" spans="5:12" ht="14.25" customHeight="1">
      <c r="E807" s="214"/>
      <c r="I807" s="215"/>
      <c r="L807" s="215"/>
    </row>
    <row r="808" spans="5:12" ht="14.25" customHeight="1">
      <c r="E808" s="214"/>
      <c r="I808" s="215"/>
      <c r="L808" s="215"/>
    </row>
    <row r="809" spans="5:12" ht="14.25" customHeight="1">
      <c r="E809" s="214"/>
      <c r="I809" s="215"/>
      <c r="L809" s="215"/>
    </row>
    <row r="810" spans="5:12" ht="14.25" customHeight="1">
      <c r="E810" s="214"/>
      <c r="I810" s="215"/>
      <c r="L810" s="215"/>
    </row>
    <row r="811" spans="5:12" ht="14.25" customHeight="1">
      <c r="E811" s="214"/>
      <c r="I811" s="215"/>
      <c r="L811" s="215"/>
    </row>
    <row r="812" spans="5:12" ht="14.25" customHeight="1">
      <c r="E812" s="214"/>
      <c r="I812" s="215"/>
      <c r="L812" s="215"/>
    </row>
    <row r="813" spans="5:12" ht="14.25" customHeight="1">
      <c r="E813" s="214"/>
      <c r="I813" s="215"/>
      <c r="L813" s="215"/>
    </row>
    <row r="814" spans="5:12" ht="14.25" customHeight="1">
      <c r="E814" s="214"/>
      <c r="I814" s="215"/>
      <c r="L814" s="215"/>
    </row>
    <row r="815" spans="5:12" ht="14.25" customHeight="1">
      <c r="E815" s="214"/>
      <c r="I815" s="215"/>
      <c r="L815" s="215"/>
    </row>
    <row r="816" spans="5:12" ht="14.25" customHeight="1">
      <c r="E816" s="214"/>
      <c r="I816" s="215"/>
      <c r="L816" s="215"/>
    </row>
    <row r="817" spans="5:12" ht="14.25" customHeight="1">
      <c r="E817" s="214"/>
      <c r="I817" s="215"/>
      <c r="L817" s="215"/>
    </row>
    <row r="818" spans="5:12" ht="14.25" customHeight="1">
      <c r="E818" s="214"/>
      <c r="I818" s="215"/>
      <c r="L818" s="215"/>
    </row>
    <row r="819" spans="5:12" ht="14.25" customHeight="1">
      <c r="E819" s="214"/>
      <c r="I819" s="215"/>
      <c r="L819" s="215"/>
    </row>
    <row r="820" spans="5:12" ht="14.25" customHeight="1">
      <c r="E820" s="214"/>
      <c r="I820" s="215"/>
      <c r="L820" s="215"/>
    </row>
    <row r="821" spans="5:12" ht="14.25" customHeight="1">
      <c r="E821" s="214"/>
      <c r="I821" s="215"/>
      <c r="L821" s="215"/>
    </row>
    <row r="822" spans="5:12" ht="14.25" customHeight="1">
      <c r="E822" s="214"/>
      <c r="I822" s="215"/>
      <c r="L822" s="215"/>
    </row>
    <row r="823" spans="5:12" ht="14.25" customHeight="1">
      <c r="E823" s="214"/>
      <c r="I823" s="215"/>
      <c r="L823" s="215"/>
    </row>
    <row r="824" spans="5:12" ht="14.25" customHeight="1">
      <c r="E824" s="214"/>
      <c r="I824" s="215"/>
      <c r="L824" s="215"/>
    </row>
    <row r="825" spans="5:12" ht="14.25" customHeight="1">
      <c r="E825" s="214"/>
      <c r="I825" s="215"/>
      <c r="L825" s="215"/>
    </row>
    <row r="826" spans="5:12" ht="14.25" customHeight="1">
      <c r="E826" s="214"/>
      <c r="I826" s="215"/>
      <c r="L826" s="215"/>
    </row>
    <row r="827" spans="5:12" ht="14.25" customHeight="1">
      <c r="E827" s="214"/>
      <c r="I827" s="215"/>
      <c r="L827" s="215"/>
    </row>
    <row r="828" spans="5:12" ht="14.25" customHeight="1">
      <c r="E828" s="214"/>
      <c r="I828" s="215"/>
      <c r="L828" s="215"/>
    </row>
    <row r="829" spans="5:12" ht="14.25" customHeight="1">
      <c r="E829" s="214"/>
      <c r="I829" s="215"/>
      <c r="L829" s="215"/>
    </row>
    <row r="830" spans="5:12" ht="14.25" customHeight="1">
      <c r="E830" s="214"/>
      <c r="I830" s="215"/>
      <c r="L830" s="215"/>
    </row>
    <row r="831" spans="5:12" ht="14.25" customHeight="1">
      <c r="E831" s="214"/>
      <c r="I831" s="215"/>
      <c r="L831" s="215"/>
    </row>
    <row r="832" spans="5:12" ht="14.25" customHeight="1">
      <c r="E832" s="214"/>
      <c r="I832" s="215"/>
      <c r="L832" s="215"/>
    </row>
    <row r="833" spans="5:12" ht="14.25" customHeight="1">
      <c r="E833" s="214"/>
      <c r="I833" s="215"/>
      <c r="L833" s="215"/>
    </row>
    <row r="834" spans="5:12" ht="14.25" customHeight="1">
      <c r="E834" s="214"/>
      <c r="I834" s="215"/>
      <c r="L834" s="215"/>
    </row>
    <row r="835" spans="5:12" ht="14.25" customHeight="1">
      <c r="E835" s="214"/>
      <c r="I835" s="215"/>
      <c r="L835" s="215"/>
    </row>
    <row r="836" spans="5:12" ht="14.25" customHeight="1">
      <c r="E836" s="214"/>
      <c r="I836" s="215"/>
      <c r="L836" s="215"/>
    </row>
    <row r="837" spans="5:12" ht="14.25" customHeight="1">
      <c r="E837" s="214"/>
      <c r="I837" s="215"/>
      <c r="L837" s="215"/>
    </row>
    <row r="838" spans="5:12" ht="14.25" customHeight="1">
      <c r="E838" s="214"/>
      <c r="I838" s="215"/>
      <c r="L838" s="215"/>
    </row>
    <row r="839" spans="5:12" ht="14.25" customHeight="1">
      <c r="E839" s="214"/>
      <c r="I839" s="215"/>
      <c r="L839" s="215"/>
    </row>
    <row r="840" spans="5:12" ht="14.25" customHeight="1">
      <c r="E840" s="214"/>
      <c r="I840" s="215"/>
      <c r="L840" s="215"/>
    </row>
    <row r="841" spans="5:12" ht="14.25" customHeight="1">
      <c r="E841" s="214"/>
      <c r="I841" s="215"/>
      <c r="L841" s="215"/>
    </row>
    <row r="842" spans="5:12" ht="14.25" customHeight="1">
      <c r="E842" s="214"/>
      <c r="I842" s="215"/>
      <c r="L842" s="215"/>
    </row>
    <row r="843" spans="5:12" ht="14.25" customHeight="1">
      <c r="E843" s="214"/>
      <c r="I843" s="215"/>
      <c r="L843" s="215"/>
    </row>
    <row r="844" spans="5:12" ht="14.25" customHeight="1">
      <c r="E844" s="214"/>
      <c r="I844" s="215"/>
      <c r="L844" s="215"/>
    </row>
    <row r="845" spans="5:12" ht="14.25" customHeight="1">
      <c r="E845" s="214"/>
      <c r="I845" s="215"/>
      <c r="L845" s="215"/>
    </row>
    <row r="846" spans="5:12" ht="14.25" customHeight="1">
      <c r="E846" s="214"/>
      <c r="I846" s="215"/>
      <c r="L846" s="215"/>
    </row>
    <row r="847" spans="5:12" ht="14.25" customHeight="1">
      <c r="E847" s="214"/>
      <c r="I847" s="215"/>
      <c r="L847" s="215"/>
    </row>
    <row r="848" spans="5:12" ht="14.25" customHeight="1">
      <c r="E848" s="214"/>
      <c r="I848" s="215"/>
      <c r="L848" s="215"/>
    </row>
    <row r="849" spans="5:12" ht="14.25" customHeight="1">
      <c r="E849" s="214"/>
      <c r="I849" s="215"/>
      <c r="L849" s="215"/>
    </row>
    <row r="850" spans="5:12" ht="14.25" customHeight="1">
      <c r="E850" s="214"/>
      <c r="I850" s="215"/>
      <c r="L850" s="215"/>
    </row>
    <row r="851" spans="5:12" ht="14.25" customHeight="1">
      <c r="E851" s="214"/>
      <c r="I851" s="215"/>
      <c r="L851" s="215"/>
    </row>
    <row r="852" spans="5:12" ht="14.25" customHeight="1">
      <c r="E852" s="214"/>
      <c r="I852" s="215"/>
      <c r="L852" s="215"/>
    </row>
    <row r="853" spans="5:12" ht="14.25" customHeight="1">
      <c r="E853" s="214"/>
      <c r="I853" s="215"/>
      <c r="L853" s="215"/>
    </row>
    <row r="854" spans="5:12" ht="14.25" customHeight="1">
      <c r="E854" s="214"/>
      <c r="I854" s="215"/>
      <c r="L854" s="215"/>
    </row>
    <row r="855" spans="5:12" ht="14.25" customHeight="1">
      <c r="E855" s="214"/>
      <c r="I855" s="215"/>
      <c r="L855" s="215"/>
    </row>
    <row r="856" spans="5:12" ht="14.25" customHeight="1">
      <c r="E856" s="214"/>
      <c r="I856" s="215"/>
      <c r="L856" s="215"/>
    </row>
    <row r="857" spans="5:12" ht="14.25" customHeight="1">
      <c r="E857" s="214"/>
      <c r="I857" s="215"/>
      <c r="L857" s="215"/>
    </row>
    <row r="858" spans="5:12" ht="14.25" customHeight="1">
      <c r="E858" s="214"/>
      <c r="I858" s="215"/>
      <c r="L858" s="215"/>
    </row>
    <row r="859" spans="5:12" ht="14.25" customHeight="1">
      <c r="E859" s="214"/>
      <c r="I859" s="215"/>
      <c r="L859" s="215"/>
    </row>
    <row r="860" spans="5:12" ht="14.25" customHeight="1">
      <c r="E860" s="214"/>
      <c r="I860" s="215"/>
      <c r="L860" s="215"/>
    </row>
    <row r="861" spans="5:12" ht="14.25" customHeight="1">
      <c r="E861" s="214"/>
      <c r="I861" s="215"/>
      <c r="L861" s="215"/>
    </row>
    <row r="862" spans="5:12" ht="14.25" customHeight="1">
      <c r="E862" s="214"/>
      <c r="I862" s="215"/>
      <c r="L862" s="215"/>
    </row>
    <row r="863" spans="5:12" ht="14.25" customHeight="1">
      <c r="E863" s="214"/>
      <c r="I863" s="215"/>
      <c r="L863" s="215"/>
    </row>
    <row r="864" spans="5:12" ht="14.25" customHeight="1">
      <c r="E864" s="214"/>
      <c r="I864" s="215"/>
      <c r="L864" s="215"/>
    </row>
    <row r="865" spans="5:12" ht="14.25" customHeight="1">
      <c r="E865" s="214"/>
      <c r="I865" s="215"/>
      <c r="L865" s="215"/>
    </row>
    <row r="866" spans="5:12" ht="14.25" customHeight="1">
      <c r="E866" s="214"/>
      <c r="I866" s="215"/>
      <c r="L866" s="215"/>
    </row>
    <row r="867" spans="5:12" ht="14.25" customHeight="1">
      <c r="E867" s="214"/>
      <c r="I867" s="215"/>
      <c r="L867" s="215"/>
    </row>
    <row r="868" spans="5:12" ht="14.25" customHeight="1">
      <c r="E868" s="214"/>
      <c r="I868" s="215"/>
      <c r="L868" s="215"/>
    </row>
    <row r="869" spans="5:12" ht="14.25" customHeight="1">
      <c r="E869" s="214"/>
      <c r="I869" s="215"/>
      <c r="L869" s="215"/>
    </row>
    <row r="870" spans="5:12" ht="14.25" customHeight="1">
      <c r="E870" s="214"/>
      <c r="I870" s="215"/>
      <c r="L870" s="215"/>
    </row>
    <row r="871" spans="5:12" ht="14.25" customHeight="1">
      <c r="E871" s="214"/>
      <c r="I871" s="215"/>
      <c r="L871" s="215"/>
    </row>
    <row r="872" spans="5:12" ht="14.25" customHeight="1">
      <c r="E872" s="214"/>
      <c r="I872" s="215"/>
      <c r="L872" s="215"/>
    </row>
    <row r="873" spans="5:12" ht="14.25" customHeight="1">
      <c r="E873" s="214"/>
      <c r="I873" s="215"/>
      <c r="L873" s="215"/>
    </row>
    <row r="874" spans="5:12" ht="14.25" customHeight="1">
      <c r="E874" s="214"/>
      <c r="I874" s="215"/>
      <c r="L874" s="215"/>
    </row>
    <row r="875" spans="5:12" ht="14.25" customHeight="1">
      <c r="E875" s="214"/>
      <c r="I875" s="215"/>
      <c r="L875" s="215"/>
    </row>
    <row r="876" spans="5:12" ht="14.25" customHeight="1">
      <c r="E876" s="214"/>
      <c r="I876" s="215"/>
      <c r="L876" s="215"/>
    </row>
    <row r="877" spans="5:12" ht="14.25" customHeight="1">
      <c r="E877" s="214"/>
      <c r="I877" s="215"/>
      <c r="L877" s="215"/>
    </row>
    <row r="878" spans="5:12" ht="14.25" customHeight="1">
      <c r="E878" s="214"/>
      <c r="I878" s="215"/>
      <c r="L878" s="215"/>
    </row>
    <row r="879" spans="5:12" ht="14.25" customHeight="1">
      <c r="E879" s="214"/>
      <c r="I879" s="215"/>
      <c r="L879" s="215"/>
    </row>
    <row r="880" spans="5:12" ht="14.25" customHeight="1">
      <c r="E880" s="214"/>
      <c r="I880" s="215"/>
      <c r="L880" s="215"/>
    </row>
    <row r="881" spans="5:12" ht="14.25" customHeight="1">
      <c r="E881" s="214"/>
      <c r="I881" s="215"/>
      <c r="L881" s="215"/>
    </row>
    <row r="882" spans="5:12" ht="14.25" customHeight="1">
      <c r="E882" s="214"/>
      <c r="I882" s="215"/>
      <c r="L882" s="215"/>
    </row>
    <row r="883" spans="5:12" ht="14.25" customHeight="1">
      <c r="E883" s="214"/>
      <c r="I883" s="215"/>
      <c r="L883" s="215"/>
    </row>
    <row r="884" spans="5:12" ht="14.25" customHeight="1">
      <c r="E884" s="214"/>
      <c r="I884" s="215"/>
      <c r="L884" s="215"/>
    </row>
    <row r="885" spans="5:12" ht="14.25" customHeight="1">
      <c r="E885" s="214"/>
      <c r="I885" s="215"/>
      <c r="L885" s="215"/>
    </row>
    <row r="886" spans="5:12" ht="14.25" customHeight="1">
      <c r="E886" s="214"/>
      <c r="I886" s="215"/>
      <c r="L886" s="215"/>
    </row>
    <row r="887" spans="5:12" ht="14.25" customHeight="1">
      <c r="E887" s="214"/>
      <c r="I887" s="215"/>
      <c r="L887" s="215"/>
    </row>
    <row r="888" spans="5:12" ht="14.25" customHeight="1">
      <c r="E888" s="214"/>
      <c r="I888" s="215"/>
      <c r="L888" s="215"/>
    </row>
    <row r="889" spans="5:12" ht="14.25" customHeight="1">
      <c r="E889" s="214"/>
      <c r="I889" s="215"/>
      <c r="L889" s="215"/>
    </row>
    <row r="890" spans="5:12" ht="14.25" customHeight="1">
      <c r="E890" s="214"/>
      <c r="I890" s="215"/>
      <c r="L890" s="215"/>
    </row>
    <row r="891" spans="5:12" ht="14.25" customHeight="1">
      <c r="E891" s="214"/>
      <c r="I891" s="215"/>
      <c r="L891" s="215"/>
    </row>
    <row r="892" spans="5:12" ht="14.25" customHeight="1">
      <c r="E892" s="214"/>
      <c r="I892" s="215"/>
      <c r="L892" s="215"/>
    </row>
    <row r="893" spans="5:12" ht="14.25" customHeight="1">
      <c r="E893" s="214"/>
      <c r="I893" s="215"/>
      <c r="L893" s="215"/>
    </row>
    <row r="894" spans="5:12" ht="14.25" customHeight="1">
      <c r="E894" s="214"/>
      <c r="I894" s="215"/>
      <c r="L894" s="215"/>
    </row>
    <row r="895" spans="5:12" ht="14.25" customHeight="1">
      <c r="E895" s="214"/>
      <c r="I895" s="215"/>
      <c r="L895" s="215"/>
    </row>
    <row r="896" spans="5:12" ht="14.25" customHeight="1">
      <c r="E896" s="214"/>
      <c r="I896" s="215"/>
      <c r="L896" s="215"/>
    </row>
    <row r="897" spans="5:12" ht="14.25" customHeight="1">
      <c r="E897" s="214"/>
      <c r="I897" s="215"/>
      <c r="L897" s="215"/>
    </row>
    <row r="898" spans="5:12" ht="14.25" customHeight="1">
      <c r="E898" s="214"/>
      <c r="I898" s="215"/>
      <c r="L898" s="215"/>
    </row>
    <row r="899" spans="5:12" ht="14.25" customHeight="1">
      <c r="E899" s="214"/>
      <c r="I899" s="215"/>
      <c r="L899" s="215"/>
    </row>
    <row r="900" spans="5:12" ht="14.25" customHeight="1">
      <c r="E900" s="214"/>
      <c r="I900" s="215"/>
      <c r="L900" s="215"/>
    </row>
    <row r="901" spans="5:12" ht="14.25" customHeight="1">
      <c r="E901" s="214"/>
      <c r="I901" s="215"/>
      <c r="L901" s="215"/>
    </row>
    <row r="902" spans="5:12" ht="14.25" customHeight="1">
      <c r="E902" s="214"/>
      <c r="I902" s="215"/>
      <c r="L902" s="215"/>
    </row>
    <row r="903" spans="5:12" ht="14.25" customHeight="1">
      <c r="E903" s="214"/>
      <c r="I903" s="215"/>
      <c r="L903" s="215"/>
    </row>
    <row r="904" spans="5:12" ht="14.25" customHeight="1">
      <c r="E904" s="214"/>
      <c r="I904" s="215"/>
      <c r="L904" s="215"/>
    </row>
    <row r="905" spans="5:12" ht="14.25" customHeight="1">
      <c r="E905" s="214"/>
      <c r="I905" s="215"/>
      <c r="L905" s="215"/>
    </row>
    <row r="906" spans="5:12" ht="14.25" customHeight="1">
      <c r="E906" s="214"/>
      <c r="I906" s="215"/>
      <c r="L906" s="215"/>
    </row>
    <row r="907" spans="5:12" ht="14.25" customHeight="1">
      <c r="E907" s="214"/>
      <c r="I907" s="215"/>
      <c r="L907" s="215"/>
    </row>
    <row r="908" spans="5:12" ht="14.25" customHeight="1">
      <c r="E908" s="214"/>
      <c r="I908" s="215"/>
      <c r="L908" s="215"/>
    </row>
    <row r="909" spans="5:12" ht="14.25" customHeight="1">
      <c r="E909" s="214"/>
      <c r="I909" s="215"/>
      <c r="L909" s="215"/>
    </row>
    <row r="910" spans="5:12" ht="14.25" customHeight="1">
      <c r="E910" s="214"/>
      <c r="I910" s="215"/>
      <c r="L910" s="215"/>
    </row>
    <row r="911" spans="5:12" ht="14.25" customHeight="1">
      <c r="E911" s="214"/>
      <c r="I911" s="215"/>
      <c r="L911" s="215"/>
    </row>
    <row r="912" spans="5:12" ht="14.25" customHeight="1">
      <c r="E912" s="214"/>
      <c r="I912" s="215"/>
      <c r="L912" s="215"/>
    </row>
    <row r="913" spans="5:12" ht="14.25" customHeight="1">
      <c r="E913" s="214"/>
      <c r="I913" s="215"/>
      <c r="L913" s="215"/>
    </row>
    <row r="914" spans="5:12" ht="14.25" customHeight="1">
      <c r="E914" s="214"/>
      <c r="I914" s="215"/>
      <c r="L914" s="215"/>
    </row>
    <row r="915" spans="5:12" ht="14.25" customHeight="1">
      <c r="E915" s="214"/>
      <c r="I915" s="215"/>
      <c r="L915" s="215"/>
    </row>
    <row r="916" spans="5:12" ht="14.25" customHeight="1">
      <c r="E916" s="214"/>
      <c r="I916" s="215"/>
      <c r="L916" s="215"/>
    </row>
    <row r="917" spans="5:12" ht="14.25" customHeight="1">
      <c r="E917" s="214"/>
      <c r="I917" s="215"/>
      <c r="L917" s="215"/>
    </row>
    <row r="918" spans="5:12" ht="14.25" customHeight="1">
      <c r="E918" s="214"/>
      <c r="I918" s="215"/>
      <c r="L918" s="215"/>
    </row>
    <row r="919" spans="5:12" ht="14.25" customHeight="1">
      <c r="E919" s="214"/>
      <c r="I919" s="215"/>
      <c r="L919" s="215"/>
    </row>
    <row r="920" spans="5:12" ht="14.25" customHeight="1">
      <c r="E920" s="214"/>
      <c r="I920" s="215"/>
      <c r="L920" s="215"/>
    </row>
    <row r="921" spans="5:12" ht="14.25" customHeight="1">
      <c r="E921" s="214"/>
      <c r="I921" s="215"/>
      <c r="L921" s="215"/>
    </row>
    <row r="922" spans="5:12" ht="14.25" customHeight="1">
      <c r="E922" s="214"/>
      <c r="I922" s="215"/>
      <c r="L922" s="215"/>
    </row>
    <row r="923" spans="5:12" ht="14.25" customHeight="1">
      <c r="E923" s="214"/>
      <c r="I923" s="215"/>
      <c r="L923" s="215"/>
    </row>
    <row r="924" spans="5:12" ht="14.25" customHeight="1">
      <c r="E924" s="214"/>
      <c r="I924" s="215"/>
      <c r="L924" s="215"/>
    </row>
    <row r="925" spans="5:12" ht="14.25" customHeight="1">
      <c r="E925" s="214"/>
      <c r="I925" s="215"/>
      <c r="L925" s="215"/>
    </row>
    <row r="926" spans="5:12" ht="14.25" customHeight="1">
      <c r="E926" s="214"/>
      <c r="I926" s="215"/>
      <c r="L926" s="215"/>
    </row>
    <row r="927" spans="5:12" ht="14.25" customHeight="1">
      <c r="E927" s="214"/>
      <c r="I927" s="215"/>
      <c r="L927" s="215"/>
    </row>
    <row r="928" spans="5:12" ht="14.25" customHeight="1">
      <c r="E928" s="214"/>
      <c r="I928" s="215"/>
      <c r="L928" s="215"/>
    </row>
    <row r="929" spans="5:12" ht="14.25" customHeight="1">
      <c r="E929" s="214"/>
      <c r="I929" s="215"/>
      <c r="L929" s="215"/>
    </row>
    <row r="930" spans="5:12" ht="14.25" customHeight="1">
      <c r="E930" s="214"/>
      <c r="I930" s="215"/>
      <c r="L930" s="215"/>
    </row>
    <row r="931" spans="5:12" ht="14.25" customHeight="1">
      <c r="E931" s="214"/>
      <c r="I931" s="215"/>
      <c r="L931" s="215"/>
    </row>
    <row r="932" spans="5:12" ht="14.25" customHeight="1">
      <c r="E932" s="214"/>
      <c r="I932" s="215"/>
      <c r="L932" s="215"/>
    </row>
    <row r="933" spans="5:12" ht="14.25" customHeight="1">
      <c r="E933" s="214"/>
      <c r="I933" s="215"/>
      <c r="L933" s="215"/>
    </row>
    <row r="934" spans="5:12" ht="14.25" customHeight="1">
      <c r="E934" s="214"/>
      <c r="I934" s="215"/>
      <c r="L934" s="215"/>
    </row>
    <row r="935" spans="5:12" ht="14.25" customHeight="1">
      <c r="E935" s="214"/>
      <c r="I935" s="215"/>
      <c r="L935" s="215"/>
    </row>
    <row r="936" spans="5:12" ht="14.25" customHeight="1">
      <c r="E936" s="214"/>
      <c r="I936" s="215"/>
      <c r="L936" s="215"/>
    </row>
    <row r="937" spans="5:12" ht="14.25" customHeight="1">
      <c r="E937" s="214"/>
      <c r="I937" s="215"/>
      <c r="L937" s="215"/>
    </row>
    <row r="938" spans="5:12" ht="14.25" customHeight="1">
      <c r="E938" s="214"/>
      <c r="I938" s="215"/>
      <c r="L938" s="215"/>
    </row>
    <row r="939" spans="5:12" ht="14.25" customHeight="1">
      <c r="E939" s="214"/>
      <c r="I939" s="215"/>
      <c r="L939" s="215"/>
    </row>
    <row r="940" spans="5:12" ht="14.25" customHeight="1">
      <c r="E940" s="214"/>
      <c r="I940" s="215"/>
      <c r="L940" s="215"/>
    </row>
    <row r="941" spans="5:12" ht="14.25" customHeight="1">
      <c r="E941" s="214"/>
      <c r="I941" s="215"/>
      <c r="L941" s="215"/>
    </row>
    <row r="942" spans="5:12" ht="14.25" customHeight="1">
      <c r="E942" s="214"/>
      <c r="I942" s="215"/>
      <c r="L942" s="215"/>
    </row>
    <row r="943" spans="5:12" ht="14.25" customHeight="1">
      <c r="E943" s="214"/>
      <c r="I943" s="215"/>
      <c r="L943" s="215"/>
    </row>
    <row r="944" spans="5:12" ht="14.25" customHeight="1">
      <c r="E944" s="214"/>
      <c r="I944" s="215"/>
      <c r="L944" s="215"/>
    </row>
    <row r="945" spans="5:12" ht="14.25" customHeight="1">
      <c r="E945" s="214"/>
      <c r="I945" s="215"/>
      <c r="L945" s="215"/>
    </row>
    <row r="946" spans="5:12" ht="14.25" customHeight="1">
      <c r="E946" s="214"/>
      <c r="I946" s="215"/>
      <c r="L946" s="215"/>
    </row>
    <row r="947" spans="5:12" ht="14.25" customHeight="1">
      <c r="E947" s="214"/>
      <c r="I947" s="215"/>
      <c r="L947" s="215"/>
    </row>
    <row r="948" spans="5:12" ht="14.25" customHeight="1">
      <c r="E948" s="214"/>
      <c r="I948" s="215"/>
      <c r="L948" s="215"/>
    </row>
    <row r="949" spans="5:12" ht="14.25" customHeight="1">
      <c r="E949" s="214"/>
      <c r="I949" s="215"/>
      <c r="L949" s="215"/>
    </row>
    <row r="950" spans="5:12" ht="14.25" customHeight="1">
      <c r="E950" s="214"/>
      <c r="I950" s="215"/>
      <c r="L950" s="215"/>
    </row>
    <row r="951" spans="5:12" ht="14.25" customHeight="1">
      <c r="E951" s="214"/>
      <c r="I951" s="215"/>
      <c r="L951" s="215"/>
    </row>
    <row r="952" spans="5:12" ht="14.25" customHeight="1">
      <c r="E952" s="214"/>
      <c r="I952" s="215"/>
      <c r="L952" s="215"/>
    </row>
    <row r="953" spans="5:12" ht="14.25" customHeight="1">
      <c r="E953" s="214"/>
      <c r="I953" s="215"/>
      <c r="L953" s="215"/>
    </row>
    <row r="954" spans="5:12" ht="14.25" customHeight="1">
      <c r="E954" s="214"/>
      <c r="I954" s="215"/>
      <c r="L954" s="215"/>
    </row>
    <row r="955" spans="5:12" ht="14.25" customHeight="1">
      <c r="E955" s="214"/>
      <c r="I955" s="215"/>
      <c r="L955" s="215"/>
    </row>
    <row r="956" spans="5:12" ht="14.25" customHeight="1">
      <c r="E956" s="214"/>
      <c r="I956" s="215"/>
      <c r="L956" s="215"/>
    </row>
    <row r="957" spans="5:12" ht="14.25" customHeight="1">
      <c r="E957" s="214"/>
      <c r="I957" s="215"/>
      <c r="L957" s="215"/>
    </row>
    <row r="958" spans="5:12" ht="14.25" customHeight="1">
      <c r="E958" s="214"/>
      <c r="I958" s="215"/>
      <c r="L958" s="215"/>
    </row>
    <row r="959" spans="5:12" ht="14.25" customHeight="1">
      <c r="E959" s="214"/>
      <c r="I959" s="215"/>
      <c r="L959" s="215"/>
    </row>
    <row r="960" spans="5:12" ht="14.25" customHeight="1">
      <c r="E960" s="214"/>
      <c r="I960" s="215"/>
      <c r="L960" s="215"/>
    </row>
    <row r="961" spans="5:12" ht="14.25" customHeight="1">
      <c r="E961" s="214"/>
      <c r="I961" s="215"/>
      <c r="L961" s="215"/>
    </row>
    <row r="962" spans="5:12" ht="14.25" customHeight="1">
      <c r="E962" s="214"/>
      <c r="I962" s="215"/>
      <c r="L962" s="215"/>
    </row>
    <row r="963" spans="5:12" ht="14.25" customHeight="1">
      <c r="E963" s="214"/>
      <c r="I963" s="215"/>
      <c r="L963" s="215"/>
    </row>
    <row r="964" spans="5:12" ht="14.25" customHeight="1">
      <c r="E964" s="214"/>
      <c r="I964" s="215"/>
      <c r="L964" s="215"/>
    </row>
    <row r="965" spans="5:12" ht="14.25" customHeight="1">
      <c r="E965" s="214"/>
      <c r="I965" s="215"/>
      <c r="L965" s="215"/>
    </row>
    <row r="966" spans="5:12" ht="14.25" customHeight="1">
      <c r="E966" s="214"/>
      <c r="I966" s="215"/>
      <c r="L966" s="215"/>
    </row>
    <row r="967" spans="5:12" ht="14.25" customHeight="1">
      <c r="E967" s="214"/>
      <c r="I967" s="215"/>
      <c r="L967" s="215"/>
    </row>
    <row r="968" spans="5:12" ht="14.25" customHeight="1">
      <c r="E968" s="214"/>
      <c r="I968" s="215"/>
      <c r="L968" s="215"/>
    </row>
    <row r="969" spans="5:12" ht="14.25" customHeight="1">
      <c r="E969" s="214"/>
      <c r="I969" s="215"/>
      <c r="L969" s="215"/>
    </row>
    <row r="970" spans="5:12" ht="14.25" customHeight="1">
      <c r="E970" s="214"/>
      <c r="I970" s="215"/>
      <c r="L970" s="215"/>
    </row>
    <row r="971" spans="5:12" ht="14.25" customHeight="1">
      <c r="E971" s="214"/>
      <c r="I971" s="215"/>
      <c r="L971" s="215"/>
    </row>
    <row r="972" spans="5:12" ht="14.25" customHeight="1">
      <c r="E972" s="214"/>
      <c r="I972" s="215"/>
      <c r="L972" s="215"/>
    </row>
    <row r="973" spans="5:12" ht="14.25" customHeight="1">
      <c r="E973" s="214"/>
      <c r="I973" s="215"/>
      <c r="L973" s="215"/>
    </row>
    <row r="974" spans="5:12" ht="14.25" customHeight="1">
      <c r="E974" s="214"/>
      <c r="I974" s="215"/>
      <c r="L974" s="215"/>
    </row>
    <row r="975" spans="5:12" ht="14.25" customHeight="1">
      <c r="E975" s="214"/>
      <c r="I975" s="215"/>
      <c r="L975" s="215"/>
    </row>
    <row r="976" spans="5:12" ht="14.25" customHeight="1">
      <c r="E976" s="214"/>
      <c r="I976" s="215"/>
      <c r="L976" s="215"/>
    </row>
    <row r="977" spans="5:12" ht="14.25" customHeight="1">
      <c r="E977" s="214"/>
      <c r="I977" s="215"/>
      <c r="L977" s="215"/>
    </row>
    <row r="978" spans="5:12" ht="14.25" customHeight="1">
      <c r="E978" s="214"/>
      <c r="I978" s="215"/>
      <c r="L978" s="215"/>
    </row>
    <row r="979" spans="5:12" ht="14.25" customHeight="1">
      <c r="E979" s="214"/>
      <c r="I979" s="215"/>
      <c r="L979" s="215"/>
    </row>
    <row r="980" spans="5:12" ht="14.25" customHeight="1">
      <c r="E980" s="214"/>
      <c r="I980" s="215"/>
      <c r="L980" s="215"/>
    </row>
    <row r="981" spans="5:12" ht="14.25" customHeight="1">
      <c r="E981" s="214"/>
      <c r="I981" s="215"/>
      <c r="L981" s="215"/>
    </row>
    <row r="982" spans="5:12" ht="14.25" customHeight="1">
      <c r="E982" s="214"/>
      <c r="I982" s="215"/>
      <c r="L982" s="215"/>
    </row>
    <row r="983" spans="5:12" ht="14.25" customHeight="1">
      <c r="E983" s="214"/>
      <c r="I983" s="215"/>
      <c r="L983" s="215"/>
    </row>
    <row r="984" spans="5:12" ht="14.25" customHeight="1">
      <c r="E984" s="214"/>
      <c r="I984" s="215"/>
      <c r="L984" s="215"/>
    </row>
    <row r="985" spans="5:12" ht="14.25" customHeight="1">
      <c r="E985" s="214"/>
      <c r="I985" s="215"/>
      <c r="L985" s="215"/>
    </row>
    <row r="986" spans="5:12" ht="14.25" customHeight="1">
      <c r="E986" s="214"/>
      <c r="I986" s="215"/>
      <c r="L986" s="215"/>
    </row>
    <row r="987" spans="5:12" ht="14.25" customHeight="1">
      <c r="E987" s="214"/>
      <c r="I987" s="215"/>
      <c r="L987" s="215"/>
    </row>
    <row r="988" spans="5:12" ht="14.25" customHeight="1">
      <c r="E988" s="214"/>
      <c r="I988" s="215"/>
      <c r="L988" s="215"/>
    </row>
    <row r="989" spans="5:12" ht="14.25" customHeight="1">
      <c r="E989" s="214"/>
      <c r="I989" s="215"/>
      <c r="L989" s="215"/>
    </row>
    <row r="990" spans="5:12" ht="14.25" customHeight="1">
      <c r="E990" s="214"/>
      <c r="I990" s="215"/>
      <c r="L990" s="215"/>
    </row>
    <row r="991" spans="5:12" ht="14.25" customHeight="1">
      <c r="E991" s="214"/>
      <c r="I991" s="215"/>
      <c r="L991" s="215"/>
    </row>
    <row r="992" spans="5:12" ht="14.25" customHeight="1">
      <c r="E992" s="214"/>
      <c r="I992" s="215"/>
      <c r="L992" s="215"/>
    </row>
    <row r="993" spans="5:12" ht="14.25" customHeight="1">
      <c r="E993" s="214"/>
      <c r="I993" s="215"/>
      <c r="L993" s="215"/>
    </row>
    <row r="994" spans="5:12" ht="14.25" customHeight="1">
      <c r="E994" s="214"/>
      <c r="I994" s="215"/>
      <c r="L994" s="215"/>
    </row>
    <row r="995" spans="5:12" ht="14.25" customHeight="1">
      <c r="E995" s="214"/>
      <c r="I995" s="215"/>
      <c r="L995" s="215"/>
    </row>
    <row r="996" spans="5:12" ht="14.25" customHeight="1">
      <c r="E996" s="214"/>
      <c r="I996" s="215"/>
      <c r="L996" s="215"/>
    </row>
    <row r="997" spans="5:12" ht="14.25" customHeight="1">
      <c r="E997" s="214"/>
      <c r="I997" s="215"/>
      <c r="L997" s="215"/>
    </row>
    <row r="998" spans="5:12" ht="14.25" customHeight="1">
      <c r="E998" s="214"/>
      <c r="I998" s="215"/>
      <c r="L998" s="215"/>
    </row>
    <row r="999" spans="5:12" ht="14.25" customHeight="1">
      <c r="E999" s="214"/>
      <c r="I999" s="215"/>
      <c r="L999" s="215"/>
    </row>
    <row r="1000" spans="5:12" ht="14.25" customHeight="1">
      <c r="E1000" s="214"/>
      <c r="I1000" s="215"/>
      <c r="L1000" s="215"/>
    </row>
    <row r="1001" spans="5:12" ht="14.25" customHeight="1">
      <c r="E1001" s="214"/>
      <c r="I1001" s="215"/>
      <c r="L1001" s="215"/>
    </row>
    <row r="1002" spans="5:12" ht="14.25" customHeight="1">
      <c r="E1002" s="214"/>
      <c r="I1002" s="215"/>
      <c r="L1002" s="215"/>
    </row>
    <row r="1003" spans="5:12" ht="14.25" customHeight="1">
      <c r="E1003" s="214"/>
      <c r="I1003" s="215"/>
      <c r="L1003" s="215"/>
    </row>
    <row r="1004" spans="5:12" ht="14.25" customHeight="1">
      <c r="E1004" s="214"/>
      <c r="I1004" s="215"/>
      <c r="L1004" s="215"/>
    </row>
    <row r="1005" spans="5:12" ht="14.25" customHeight="1">
      <c r="E1005" s="214"/>
      <c r="I1005" s="215"/>
      <c r="L1005" s="215"/>
    </row>
    <row r="1006" spans="5:12" ht="14.25" customHeight="1">
      <c r="E1006" s="214"/>
      <c r="I1006" s="215"/>
      <c r="L1006" s="215"/>
    </row>
    <row r="1007" spans="5:12" ht="14.25" customHeight="1">
      <c r="E1007" s="214"/>
      <c r="I1007" s="215"/>
      <c r="L1007" s="215"/>
    </row>
    <row r="1008" spans="5:12" ht="14.25" customHeight="1">
      <c r="E1008" s="214"/>
      <c r="I1008" s="215"/>
      <c r="L1008" s="215"/>
    </row>
    <row r="1009" spans="5:12" ht="14.25" customHeight="1">
      <c r="E1009" s="214"/>
      <c r="I1009" s="215"/>
      <c r="L1009" s="215"/>
    </row>
    <row r="1010" spans="5:12" ht="14.25" customHeight="1">
      <c r="E1010" s="214"/>
      <c r="I1010" s="215"/>
      <c r="L1010" s="215"/>
    </row>
    <row r="1011" spans="5:12" ht="14.25" customHeight="1">
      <c r="E1011" s="214"/>
      <c r="I1011" s="215"/>
      <c r="L1011" s="215"/>
    </row>
    <row r="1012" spans="5:12" ht="14.25" customHeight="1">
      <c r="E1012" s="214"/>
      <c r="I1012" s="215"/>
      <c r="L1012" s="215"/>
    </row>
    <row r="1013" spans="5:12" ht="14.25" customHeight="1">
      <c r="E1013" s="214"/>
      <c r="I1013" s="215"/>
      <c r="L1013" s="215"/>
    </row>
    <row r="1014" spans="5:12" ht="14.25" customHeight="1">
      <c r="E1014" s="214"/>
      <c r="I1014" s="215"/>
      <c r="L1014" s="215"/>
    </row>
    <row r="1015" spans="5:12" ht="14.25" customHeight="1">
      <c r="E1015" s="214"/>
      <c r="I1015" s="215"/>
      <c r="L1015" s="215"/>
    </row>
    <row r="1016" spans="5:12" ht="14.25" customHeight="1">
      <c r="E1016" s="214"/>
      <c r="I1016" s="215"/>
      <c r="L1016" s="215"/>
    </row>
    <row r="1017" spans="5:12" ht="14.25" customHeight="1">
      <c r="E1017" s="214"/>
      <c r="I1017" s="215"/>
      <c r="L1017" s="215"/>
    </row>
  </sheetData>
  <autoFilter ref="A5:AL71"/>
  <mergeCells count="10">
    <mergeCell ref="A13:S13"/>
    <mergeCell ref="A29:S29"/>
    <mergeCell ref="A36:S36"/>
    <mergeCell ref="A1:S1"/>
    <mergeCell ref="A2:S2"/>
    <mergeCell ref="A3:S3"/>
    <mergeCell ref="A4:K4"/>
    <mergeCell ref="L4:Q4"/>
    <mergeCell ref="R4:S4"/>
    <mergeCell ref="A6:S6"/>
  </mergeCells>
  <phoneticPr fontId="55" type="noConversion"/>
  <conditionalFormatting sqref="S5 S7:S12 S14:S28 S30:S35 S37:S59 S61:S62 S64:S1017">
    <cfRule type="cellIs" dxfId="8" priority="1" operator="lessThanOrEqual">
      <formula>0</formula>
    </cfRule>
  </conditionalFormatting>
  <conditionalFormatting sqref="S7:S12 S14:S28 S30:S35 S37:S59 S61:S62 S64:S71">
    <cfRule type="cellIs" dxfId="7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L1029"/>
  <sheetViews>
    <sheetView workbookViewId="0">
      <pane ySplit="5" topLeftCell="A6" activePane="bottomLeft" state="frozen"/>
      <selection pane="bottomLeft" activeCell="B7" sqref="B7"/>
    </sheetView>
  </sheetViews>
  <sheetFormatPr defaultColWidth="10.109375" defaultRowHeight="15" customHeight="1"/>
  <cols>
    <col min="1" max="1" width="15.88671875" customWidth="1"/>
    <col min="2" max="2" width="13.21875" customWidth="1"/>
    <col min="3" max="3" width="7.77734375" customWidth="1"/>
    <col min="4" max="4" width="8.109375" customWidth="1"/>
    <col min="5" max="5" width="22.44140625" customWidth="1"/>
    <col min="6" max="6" width="9.88671875" customWidth="1"/>
    <col min="7" max="7" width="8.88671875" customWidth="1"/>
    <col min="8" max="8" width="11.21875" customWidth="1"/>
    <col min="9" max="9" width="10.5546875" customWidth="1"/>
    <col min="10" max="10" width="11.77734375" customWidth="1"/>
    <col min="12" max="13" width="10.5546875" customWidth="1"/>
    <col min="14" max="14" width="8.33203125" customWidth="1"/>
    <col min="15" max="15" width="10.88671875" customWidth="1"/>
    <col min="16" max="16" width="11.5546875" customWidth="1"/>
    <col min="17" max="17" width="11.6640625" customWidth="1"/>
    <col min="18" max="18" width="5.5546875" customWidth="1"/>
    <col min="19" max="19" width="7.77734375" customWidth="1"/>
    <col min="20" max="38" width="6" customWidth="1"/>
  </cols>
  <sheetData>
    <row r="1" spans="1:38" ht="24.75" customHeight="1">
      <c r="A1" s="277" t="s">
        <v>259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1.75" customHeight="1">
      <c r="A2" s="288" t="s">
        <v>67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29.25" customHeight="1">
      <c r="A3" s="304" t="s">
        <v>144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4.25" customHeight="1">
      <c r="A4" s="302" t="s">
        <v>68</v>
      </c>
      <c r="B4" s="290"/>
      <c r="C4" s="290"/>
      <c r="D4" s="290"/>
      <c r="E4" s="290"/>
      <c r="F4" s="290"/>
      <c r="G4" s="290"/>
      <c r="H4" s="290"/>
      <c r="I4" s="290"/>
      <c r="J4" s="290"/>
      <c r="K4" s="291"/>
      <c r="L4" s="303" t="s">
        <v>69</v>
      </c>
      <c r="M4" s="290"/>
      <c r="N4" s="290"/>
      <c r="O4" s="290"/>
      <c r="P4" s="290"/>
      <c r="Q4" s="291"/>
      <c r="R4" s="293"/>
      <c r="S4" s="291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9.5">
      <c r="A5" s="170" t="s">
        <v>145</v>
      </c>
      <c r="B5" s="170" t="s">
        <v>72</v>
      </c>
      <c r="C5" s="170" t="s">
        <v>146</v>
      </c>
      <c r="D5" s="170" t="s">
        <v>73</v>
      </c>
      <c r="E5" s="171" t="s">
        <v>147</v>
      </c>
      <c r="F5" s="170" t="s">
        <v>148</v>
      </c>
      <c r="G5" s="170" t="s">
        <v>149</v>
      </c>
      <c r="H5" s="170" t="s">
        <v>75</v>
      </c>
      <c r="I5" s="173" t="s">
        <v>76</v>
      </c>
      <c r="J5" s="170" t="s">
        <v>77</v>
      </c>
      <c r="K5" s="170" t="s">
        <v>78</v>
      </c>
      <c r="L5" s="174" t="s">
        <v>79</v>
      </c>
      <c r="M5" s="175" t="s">
        <v>10</v>
      </c>
      <c r="N5" s="175" t="s">
        <v>12</v>
      </c>
      <c r="O5" s="175" t="s">
        <v>80</v>
      </c>
      <c r="P5" s="175" t="s">
        <v>81</v>
      </c>
      <c r="Q5" s="175" t="s">
        <v>82</v>
      </c>
      <c r="R5" s="176" t="s">
        <v>83</v>
      </c>
      <c r="S5" s="176" t="s">
        <v>84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spans="1:38" ht="14.25" customHeight="1">
      <c r="A6" s="201" t="s">
        <v>260</v>
      </c>
      <c r="B6" s="216"/>
      <c r="C6" s="201"/>
      <c r="D6" s="201"/>
      <c r="E6" s="202" t="s">
        <v>261</v>
      </c>
      <c r="F6" s="201">
        <v>2140</v>
      </c>
      <c r="G6" s="201">
        <v>2140</v>
      </c>
      <c r="H6" s="204">
        <f t="shared" ref="H6:H7" si="0">G6/F6</f>
        <v>1</v>
      </c>
      <c r="I6" s="205">
        <v>756.37400000000002</v>
      </c>
      <c r="J6" s="206">
        <f t="shared" ref="J6:J15" si="1">G6-I6</f>
        <v>1383.626</v>
      </c>
      <c r="K6" s="207">
        <f t="shared" ref="K6:K15" si="2">J6/G6</f>
        <v>0.64655420560747667</v>
      </c>
      <c r="L6" s="208">
        <f>G6*營業基本資訊!$D$8</f>
        <v>0</v>
      </c>
      <c r="M6" s="209">
        <f>G6*營業基本資訊!$D$5</f>
        <v>1108.4829066666668</v>
      </c>
      <c r="N6" s="209">
        <f>G6*營業基本資訊!$D$6</f>
        <v>0</v>
      </c>
      <c r="O6" s="209">
        <f>G6*營業基本資訊!$D$7</f>
        <v>0</v>
      </c>
      <c r="P6" s="209">
        <f t="shared" ref="P6:P15" si="3">G6*0.05</f>
        <v>107</v>
      </c>
      <c r="Q6" s="208">
        <f t="shared" ref="Q6:Q15" si="4">SUM(L6:P6)</f>
        <v>1215.4829066666668</v>
      </c>
      <c r="R6" s="206">
        <f t="shared" ref="R6:R15" si="5">J6-Q6</f>
        <v>168.14309333333313</v>
      </c>
      <c r="S6" s="211">
        <f t="shared" ref="S6:S15" si="6">R6/G6</f>
        <v>7.8571538940809871E-2</v>
      </c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</row>
    <row r="7" spans="1:38" ht="14.25" customHeight="1">
      <c r="A7" s="201" t="s">
        <v>262</v>
      </c>
      <c r="B7" s="216"/>
      <c r="C7" s="201"/>
      <c r="D7" s="201"/>
      <c r="E7" s="202" t="s">
        <v>263</v>
      </c>
      <c r="F7" s="201">
        <v>2080</v>
      </c>
      <c r="G7" s="201">
        <v>2080</v>
      </c>
      <c r="H7" s="204">
        <f t="shared" si="0"/>
        <v>1</v>
      </c>
      <c r="I7" s="205">
        <v>683.22850000000005</v>
      </c>
      <c r="J7" s="206">
        <f t="shared" si="1"/>
        <v>1396.7714999999998</v>
      </c>
      <c r="K7" s="207">
        <f t="shared" si="2"/>
        <v>0.67152475961538449</v>
      </c>
      <c r="L7" s="208">
        <f>G7*營業基本資訊!$D$8</f>
        <v>0</v>
      </c>
      <c r="M7" s="209">
        <f>G7*營業基本資訊!$D$5</f>
        <v>1077.4039466666668</v>
      </c>
      <c r="N7" s="209">
        <f>G7*營業基本資訊!$D$6</f>
        <v>0</v>
      </c>
      <c r="O7" s="209">
        <f>G7*營業基本資訊!$D$7</f>
        <v>0</v>
      </c>
      <c r="P7" s="209">
        <f t="shared" si="3"/>
        <v>104</v>
      </c>
      <c r="Q7" s="208">
        <f t="shared" si="4"/>
        <v>1181.4039466666668</v>
      </c>
      <c r="R7" s="210">
        <f t="shared" si="5"/>
        <v>215.36755333333303</v>
      </c>
      <c r="S7" s="211">
        <f t="shared" si="6"/>
        <v>0.1035420929487178</v>
      </c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</row>
    <row r="8" spans="1:38" ht="16.5" customHeight="1">
      <c r="A8" s="177" t="s">
        <v>151</v>
      </c>
      <c r="B8" s="178" t="s">
        <v>152</v>
      </c>
      <c r="C8" s="177">
        <v>980</v>
      </c>
      <c r="D8" s="177">
        <v>980</v>
      </c>
      <c r="E8" s="183" t="s">
        <v>152</v>
      </c>
      <c r="F8" s="177">
        <v>1099</v>
      </c>
      <c r="G8" s="177">
        <v>1044</v>
      </c>
      <c r="H8" s="74">
        <v>1</v>
      </c>
      <c r="I8" s="181">
        <v>354.8</v>
      </c>
      <c r="J8" s="75">
        <f t="shared" si="1"/>
        <v>689.2</v>
      </c>
      <c r="K8" s="76">
        <f t="shared" si="2"/>
        <v>0.66015325670498093</v>
      </c>
      <c r="L8" s="128">
        <v>175</v>
      </c>
      <c r="M8" s="78">
        <f>G8*營業基本資訊!$D$5</f>
        <v>540.77390400000002</v>
      </c>
      <c r="N8" s="78">
        <f>G8*營業基本資訊!$D$6</f>
        <v>0</v>
      </c>
      <c r="O8" s="78">
        <f>G8*營業基本資訊!$D$7</f>
        <v>0</v>
      </c>
      <c r="P8" s="78">
        <f t="shared" si="3"/>
        <v>52.2</v>
      </c>
      <c r="Q8" s="128">
        <f t="shared" si="4"/>
        <v>767.97390400000006</v>
      </c>
      <c r="R8" s="88">
        <f t="shared" si="5"/>
        <v>-78.773904000000016</v>
      </c>
      <c r="S8" s="182">
        <f t="shared" si="6"/>
        <v>-7.545393103448278E-2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ht="16.5" customHeight="1">
      <c r="A9" s="177" t="s">
        <v>153</v>
      </c>
      <c r="B9" s="178" t="s">
        <v>154</v>
      </c>
      <c r="C9" s="177">
        <v>980</v>
      </c>
      <c r="D9" s="177">
        <v>980</v>
      </c>
      <c r="E9" s="183" t="s">
        <v>154</v>
      </c>
      <c r="F9" s="177">
        <v>1299</v>
      </c>
      <c r="G9" s="177">
        <v>1234</v>
      </c>
      <c r="H9" s="74">
        <f t="shared" ref="H9:H15" si="7">G9/F9</f>
        <v>0.94996150885296382</v>
      </c>
      <c r="I9" s="181">
        <v>407</v>
      </c>
      <c r="J9" s="75">
        <f t="shared" si="1"/>
        <v>827</v>
      </c>
      <c r="K9" s="76">
        <f t="shared" si="2"/>
        <v>0.67017828200972451</v>
      </c>
      <c r="L9" s="128">
        <v>175</v>
      </c>
      <c r="M9" s="78">
        <f>G9*營業基本資訊!$D$5</f>
        <v>639.19061066666666</v>
      </c>
      <c r="N9" s="78">
        <f>G9*營業基本資訊!$D$6</f>
        <v>0</v>
      </c>
      <c r="O9" s="78">
        <f>G9*營業基本資訊!$D$7</f>
        <v>0</v>
      </c>
      <c r="P9" s="78">
        <f t="shared" si="3"/>
        <v>61.7</v>
      </c>
      <c r="Q9" s="128">
        <f t="shared" si="4"/>
        <v>875.8906106666667</v>
      </c>
      <c r="R9" s="88">
        <f t="shared" si="5"/>
        <v>-48.890610666666703</v>
      </c>
      <c r="S9" s="182">
        <f t="shared" si="6"/>
        <v>-3.9619619665045951E-2</v>
      </c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spans="1:38" ht="15.75" customHeight="1">
      <c r="A10" s="177" t="s">
        <v>155</v>
      </c>
      <c r="B10" s="183" t="s">
        <v>156</v>
      </c>
      <c r="C10" s="177">
        <v>150</v>
      </c>
      <c r="D10" s="177">
        <v>150</v>
      </c>
      <c r="E10" s="183" t="s">
        <v>156</v>
      </c>
      <c r="F10" s="177">
        <v>180</v>
      </c>
      <c r="G10" s="177">
        <v>180</v>
      </c>
      <c r="H10" s="74">
        <f t="shared" si="7"/>
        <v>1</v>
      </c>
      <c r="I10" s="181">
        <v>46</v>
      </c>
      <c r="J10" s="75">
        <f t="shared" si="1"/>
        <v>134</v>
      </c>
      <c r="K10" s="76">
        <f t="shared" si="2"/>
        <v>0.74444444444444446</v>
      </c>
      <c r="L10" s="128">
        <f>G10*營業基本資訊!$D$8</f>
        <v>0</v>
      </c>
      <c r="M10" s="78">
        <f>G10*營業基本資訊!$D$5</f>
        <v>93.236880000000014</v>
      </c>
      <c r="N10" s="78">
        <f>G10*營業基本資訊!$D$6</f>
        <v>0</v>
      </c>
      <c r="O10" s="78">
        <f>G10*營業基本資訊!$D$7</f>
        <v>0</v>
      </c>
      <c r="P10" s="78">
        <f t="shared" si="3"/>
        <v>9</v>
      </c>
      <c r="Q10" s="128">
        <f t="shared" si="4"/>
        <v>102.23688000000001</v>
      </c>
      <c r="R10" s="88">
        <f t="shared" si="5"/>
        <v>31.763119999999986</v>
      </c>
      <c r="S10" s="182">
        <f t="shared" si="6"/>
        <v>0.17646177777777769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spans="1:38" ht="15.75" customHeight="1">
      <c r="A11" s="177" t="s">
        <v>158</v>
      </c>
      <c r="B11" s="183" t="s">
        <v>159</v>
      </c>
      <c r="C11" s="177">
        <v>150</v>
      </c>
      <c r="D11" s="177">
        <v>150</v>
      </c>
      <c r="E11" s="183" t="s">
        <v>159</v>
      </c>
      <c r="F11" s="177">
        <v>180</v>
      </c>
      <c r="G11" s="177">
        <v>160</v>
      </c>
      <c r="H11" s="74">
        <f t="shared" si="7"/>
        <v>0.88888888888888884</v>
      </c>
      <c r="I11" s="181">
        <v>38</v>
      </c>
      <c r="J11" s="75">
        <f t="shared" si="1"/>
        <v>122</v>
      </c>
      <c r="K11" s="76">
        <f t="shared" si="2"/>
        <v>0.76249999999999996</v>
      </c>
      <c r="L11" s="128">
        <f>G11*營業基本資訊!$D$8</f>
        <v>0</v>
      </c>
      <c r="M11" s="78">
        <f>G11*營業基本資訊!$D$5</f>
        <v>82.877226666666672</v>
      </c>
      <c r="N11" s="78">
        <f>G11*營業基本資訊!$D$6</f>
        <v>0</v>
      </c>
      <c r="O11" s="78">
        <f>G11*營業基本資訊!$D$7</f>
        <v>0</v>
      </c>
      <c r="P11" s="78">
        <f t="shared" si="3"/>
        <v>8</v>
      </c>
      <c r="Q11" s="128">
        <f t="shared" si="4"/>
        <v>90.877226666666672</v>
      </c>
      <c r="R11" s="88">
        <f t="shared" si="5"/>
        <v>31.122773333333328</v>
      </c>
      <c r="S11" s="182">
        <f t="shared" si="6"/>
        <v>0.19451733333333329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spans="1:38" ht="26.25" customHeight="1">
      <c r="A12" s="177" t="s">
        <v>161</v>
      </c>
      <c r="B12" s="178"/>
      <c r="C12" s="177"/>
      <c r="D12" s="177"/>
      <c r="E12" s="183" t="s">
        <v>264</v>
      </c>
      <c r="F12" s="177">
        <v>220</v>
      </c>
      <c r="G12" s="177">
        <v>220</v>
      </c>
      <c r="H12" s="74">
        <f t="shared" si="7"/>
        <v>1</v>
      </c>
      <c r="I12" s="181">
        <v>39</v>
      </c>
      <c r="J12" s="75">
        <f t="shared" si="1"/>
        <v>181</v>
      </c>
      <c r="K12" s="76">
        <f t="shared" si="2"/>
        <v>0.82272727272727275</v>
      </c>
      <c r="L12" s="128">
        <f>G12*營業基本資訊!$D$8</f>
        <v>0</v>
      </c>
      <c r="M12" s="78">
        <f>G12*營業基本資訊!$D$5</f>
        <v>113.95618666666667</v>
      </c>
      <c r="N12" s="78">
        <f>G12*營業基本資訊!$D$6</f>
        <v>0</v>
      </c>
      <c r="O12" s="78">
        <f>G12*營業基本資訊!$D$7</f>
        <v>0</v>
      </c>
      <c r="P12" s="78">
        <f t="shared" si="3"/>
        <v>11</v>
      </c>
      <c r="Q12" s="128">
        <f t="shared" si="4"/>
        <v>124.95618666666667</v>
      </c>
      <c r="R12" s="88">
        <f t="shared" si="5"/>
        <v>56.043813333333333</v>
      </c>
      <c r="S12" s="182">
        <f t="shared" si="6"/>
        <v>0.25474460606060606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spans="1:38" ht="60.75" customHeight="1">
      <c r="A13" s="177" t="s">
        <v>265</v>
      </c>
      <c r="B13" s="178"/>
      <c r="C13" s="177"/>
      <c r="D13" s="177"/>
      <c r="E13" s="183" t="s">
        <v>266</v>
      </c>
      <c r="F13" s="184">
        <v>2399</v>
      </c>
      <c r="G13" s="184">
        <v>2200</v>
      </c>
      <c r="H13" s="74">
        <f t="shared" si="7"/>
        <v>0.9170487703209671</v>
      </c>
      <c r="I13" s="181">
        <f>I8+I9</f>
        <v>761.8</v>
      </c>
      <c r="J13" s="75">
        <f t="shared" si="1"/>
        <v>1438.2</v>
      </c>
      <c r="K13" s="76">
        <f t="shared" si="2"/>
        <v>0.65372727272727271</v>
      </c>
      <c r="L13" s="128">
        <f>G13*營業基本資訊!$D$8</f>
        <v>0</v>
      </c>
      <c r="M13" s="78">
        <f>G13*營業基本資訊!$D$5</f>
        <v>1139.5618666666667</v>
      </c>
      <c r="N13" s="78">
        <f>G13*營業基本資訊!$D$6</f>
        <v>0</v>
      </c>
      <c r="O13" s="78">
        <f>G13*營業基本資訊!$D$7</f>
        <v>0</v>
      </c>
      <c r="P13" s="78">
        <f t="shared" si="3"/>
        <v>110</v>
      </c>
      <c r="Q13" s="128">
        <f t="shared" si="4"/>
        <v>1249.5618666666667</v>
      </c>
      <c r="R13" s="88">
        <f t="shared" si="5"/>
        <v>188.63813333333337</v>
      </c>
      <c r="S13" s="182">
        <f t="shared" si="6"/>
        <v>8.5744606060606077E-2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pans="1:38" ht="61.5" customHeight="1">
      <c r="A14" s="177" t="s">
        <v>163</v>
      </c>
      <c r="B14" s="183" t="s">
        <v>164</v>
      </c>
      <c r="C14" s="177">
        <v>699</v>
      </c>
      <c r="D14" s="177">
        <v>699</v>
      </c>
      <c r="E14" s="217" t="s">
        <v>267</v>
      </c>
      <c r="F14" s="184">
        <f>F12*2+F10+F11</f>
        <v>800</v>
      </c>
      <c r="G14" s="184">
        <v>729</v>
      </c>
      <c r="H14" s="74">
        <f t="shared" si="7"/>
        <v>0.91125</v>
      </c>
      <c r="I14" s="181">
        <f>I12*2+I11+I10</f>
        <v>162</v>
      </c>
      <c r="J14" s="75">
        <f t="shared" si="1"/>
        <v>567</v>
      </c>
      <c r="K14" s="76">
        <f t="shared" si="2"/>
        <v>0.77777777777777779</v>
      </c>
      <c r="L14" s="128">
        <v>175</v>
      </c>
      <c r="M14" s="78">
        <f>G14*營業基本資訊!$D$5</f>
        <v>377.60936400000003</v>
      </c>
      <c r="N14" s="78">
        <v>190</v>
      </c>
      <c r="O14" s="78">
        <f>G14*營業基本資訊!$D$7</f>
        <v>0</v>
      </c>
      <c r="P14" s="78">
        <f t="shared" si="3"/>
        <v>36.450000000000003</v>
      </c>
      <c r="Q14" s="128">
        <f t="shared" si="4"/>
        <v>779.05936400000007</v>
      </c>
      <c r="R14" s="88">
        <f t="shared" si="5"/>
        <v>-212.05936400000007</v>
      </c>
      <c r="S14" s="182">
        <f t="shared" si="6"/>
        <v>-0.29089075994513042</v>
      </c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</row>
    <row r="15" spans="1:38" ht="61.5" customHeight="1">
      <c r="A15" s="177" t="s">
        <v>163</v>
      </c>
      <c r="B15" s="183" t="s">
        <v>164</v>
      </c>
      <c r="C15" s="177">
        <v>699</v>
      </c>
      <c r="D15" s="177">
        <v>699</v>
      </c>
      <c r="E15" s="183" t="s">
        <v>267</v>
      </c>
      <c r="F15" s="184">
        <v>800</v>
      </c>
      <c r="G15" s="184">
        <v>729</v>
      </c>
      <c r="H15" s="74">
        <f t="shared" si="7"/>
        <v>0.91125</v>
      </c>
      <c r="I15" s="181">
        <v>165</v>
      </c>
      <c r="J15" s="75">
        <f t="shared" si="1"/>
        <v>564</v>
      </c>
      <c r="K15" s="76">
        <f t="shared" si="2"/>
        <v>0.77366255144032925</v>
      </c>
      <c r="L15" s="128">
        <v>175</v>
      </c>
      <c r="M15" s="78">
        <f>G15*營業基本資訊!$D$5</f>
        <v>377.60936400000003</v>
      </c>
      <c r="N15" s="78">
        <v>190</v>
      </c>
      <c r="O15" s="78">
        <f>G15*營業基本資訊!$D$7</f>
        <v>0</v>
      </c>
      <c r="P15" s="78">
        <f t="shared" si="3"/>
        <v>36.450000000000003</v>
      </c>
      <c r="Q15" s="128">
        <f t="shared" si="4"/>
        <v>779.05936400000007</v>
      </c>
      <c r="R15" s="88">
        <f t="shared" si="5"/>
        <v>-215.05936400000007</v>
      </c>
      <c r="S15" s="182">
        <f t="shared" si="6"/>
        <v>-0.29500598628257896</v>
      </c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pans="1:38" ht="36.75" customHeight="1">
      <c r="A16" s="195"/>
      <c r="B16" s="218"/>
      <c r="C16" s="195"/>
      <c r="D16" s="195"/>
      <c r="E16" s="196"/>
      <c r="F16" s="195"/>
      <c r="G16" s="195"/>
      <c r="H16" s="74"/>
      <c r="I16" s="197"/>
      <c r="J16" s="75"/>
      <c r="K16" s="76"/>
      <c r="L16" s="128"/>
      <c r="M16" s="78"/>
      <c r="N16" s="78"/>
      <c r="O16" s="78"/>
      <c r="P16" s="78"/>
      <c r="Q16" s="78"/>
      <c r="R16" s="88"/>
      <c r="S16" s="76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pans="1:38" ht="22.5" customHeight="1">
      <c r="A17" s="177" t="s">
        <v>167</v>
      </c>
      <c r="B17" s="187" t="s">
        <v>168</v>
      </c>
      <c r="C17" s="177">
        <v>230</v>
      </c>
      <c r="D17" s="177">
        <v>230</v>
      </c>
      <c r="E17" s="109" t="s">
        <v>169</v>
      </c>
      <c r="F17" s="177">
        <v>259</v>
      </c>
      <c r="G17" s="177">
        <v>259</v>
      </c>
      <c r="H17" s="74">
        <f t="shared" ref="H17:H39" si="8">G17/F17</f>
        <v>1</v>
      </c>
      <c r="I17" s="181">
        <f>65+12</f>
        <v>77</v>
      </c>
      <c r="J17" s="75">
        <f t="shared" ref="J17:J39" si="9">G17-I17</f>
        <v>182</v>
      </c>
      <c r="K17" s="76">
        <f t="shared" ref="K17:K39" si="10">J17/G17</f>
        <v>0.70270270270270274</v>
      </c>
      <c r="L17" s="128">
        <f>G17*營業基本資訊!$D$8</f>
        <v>0</v>
      </c>
      <c r="M17" s="78">
        <f>G17*營業基本資訊!$D$5</f>
        <v>134.15751066666667</v>
      </c>
      <c r="N17" s="78">
        <f>G17*營業基本資訊!$D$6</f>
        <v>0</v>
      </c>
      <c r="O17" s="78">
        <f>G17*營業基本資訊!$D$7</f>
        <v>0</v>
      </c>
      <c r="P17" s="78">
        <f t="shared" ref="P17:P39" si="11">G17*0.05</f>
        <v>12.950000000000001</v>
      </c>
      <c r="Q17" s="128">
        <f t="shared" ref="Q17:Q39" si="12">SUM(L17:P17)</f>
        <v>147.10751066666666</v>
      </c>
      <c r="R17" s="88">
        <f t="shared" ref="R17:R39" si="13">J17-Q17</f>
        <v>34.892489333333344</v>
      </c>
      <c r="S17" s="182">
        <f t="shared" ref="S17:S39" si="14">R17/G17</f>
        <v>0.13472003603603608</v>
      </c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pans="1:38" ht="19.5">
      <c r="A18" s="189"/>
      <c r="B18" s="187"/>
      <c r="C18" s="189"/>
      <c r="D18" s="189"/>
      <c r="E18" s="219" t="s">
        <v>170</v>
      </c>
      <c r="F18" s="184">
        <v>780</v>
      </c>
      <c r="G18" s="184">
        <v>739</v>
      </c>
      <c r="H18" s="74">
        <f t="shared" si="8"/>
        <v>0.9474358974358974</v>
      </c>
      <c r="I18" s="191">
        <f>I17*3</f>
        <v>231</v>
      </c>
      <c r="J18" s="75">
        <f t="shared" si="9"/>
        <v>508</v>
      </c>
      <c r="K18" s="76">
        <f t="shared" si="10"/>
        <v>0.6874154262516915</v>
      </c>
      <c r="L18" s="128">
        <f>G18*營業基本資訊!$D$8</f>
        <v>0</v>
      </c>
      <c r="M18" s="78">
        <f>G18*營業基本資訊!$D$5</f>
        <v>382.78919066666668</v>
      </c>
      <c r="N18" s="78">
        <f>G18*營業基本資訊!$D$6</f>
        <v>0</v>
      </c>
      <c r="O18" s="78">
        <f>G18*營業基本資訊!$D$7</f>
        <v>0</v>
      </c>
      <c r="P18" s="78">
        <f t="shared" si="11"/>
        <v>36.950000000000003</v>
      </c>
      <c r="Q18" s="128">
        <f t="shared" si="12"/>
        <v>419.73919066666667</v>
      </c>
      <c r="R18" s="88">
        <f t="shared" si="13"/>
        <v>88.260809333333327</v>
      </c>
      <c r="S18" s="182">
        <f t="shared" si="14"/>
        <v>0.11943275958502481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pans="1:38" ht="15.75" customHeight="1">
      <c r="A19" s="189"/>
      <c r="B19" s="187"/>
      <c r="C19" s="189"/>
      <c r="D19" s="189"/>
      <c r="E19" s="109" t="s">
        <v>171</v>
      </c>
      <c r="F19" s="184">
        <v>2590</v>
      </c>
      <c r="G19" s="184">
        <v>2299</v>
      </c>
      <c r="H19" s="74">
        <f t="shared" si="8"/>
        <v>0.8876447876447876</v>
      </c>
      <c r="I19" s="191">
        <v>770</v>
      </c>
      <c r="J19" s="75">
        <f t="shared" si="9"/>
        <v>1529</v>
      </c>
      <c r="K19" s="76">
        <f t="shared" si="10"/>
        <v>0.66507177033492826</v>
      </c>
      <c r="L19" s="128">
        <f>G19*營業基本資訊!$D$8</f>
        <v>0</v>
      </c>
      <c r="M19" s="78">
        <f>G19*營業基本資訊!$D$5</f>
        <v>1190.8421506666668</v>
      </c>
      <c r="N19" s="78">
        <f>G19*營業基本資訊!$D$6</f>
        <v>0</v>
      </c>
      <c r="O19" s="78">
        <f>G19*營業基本資訊!$D$7</f>
        <v>0</v>
      </c>
      <c r="P19" s="78">
        <f t="shared" si="11"/>
        <v>114.95</v>
      </c>
      <c r="Q19" s="128">
        <f t="shared" si="12"/>
        <v>1305.7921506666669</v>
      </c>
      <c r="R19" s="88">
        <f t="shared" si="13"/>
        <v>223.20784933333312</v>
      </c>
      <c r="S19" s="182">
        <f t="shared" si="14"/>
        <v>9.708910366826147E-2</v>
      </c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pans="1:38" ht="15.75" customHeight="1">
      <c r="A20" s="177" t="s">
        <v>172</v>
      </c>
      <c r="B20" s="178" t="s">
        <v>173</v>
      </c>
      <c r="C20" s="177">
        <v>130</v>
      </c>
      <c r="D20" s="177">
        <v>130</v>
      </c>
      <c r="E20" s="183" t="s">
        <v>174</v>
      </c>
      <c r="F20" s="177">
        <v>259</v>
      </c>
      <c r="G20" s="177">
        <v>259</v>
      </c>
      <c r="H20" s="74">
        <f t="shared" si="8"/>
        <v>1</v>
      </c>
      <c r="I20" s="181">
        <f>42+12</f>
        <v>54</v>
      </c>
      <c r="J20" s="75">
        <f t="shared" si="9"/>
        <v>205</v>
      </c>
      <c r="K20" s="76">
        <f t="shared" si="10"/>
        <v>0.79150579150579148</v>
      </c>
      <c r="L20" s="128">
        <f>G20*營業基本資訊!$D$8</f>
        <v>0</v>
      </c>
      <c r="M20" s="78">
        <f>G20*營業基本資訊!$D$5</f>
        <v>134.15751066666667</v>
      </c>
      <c r="N20" s="78">
        <f>G20*營業基本資訊!$D$6</f>
        <v>0</v>
      </c>
      <c r="O20" s="78">
        <f>G20*營業基本資訊!$D$7</f>
        <v>0</v>
      </c>
      <c r="P20" s="78">
        <f t="shared" si="11"/>
        <v>12.950000000000001</v>
      </c>
      <c r="Q20" s="128">
        <f t="shared" si="12"/>
        <v>147.10751066666666</v>
      </c>
      <c r="R20" s="88">
        <f t="shared" si="13"/>
        <v>57.892489333333344</v>
      </c>
      <c r="S20" s="182">
        <f t="shared" si="14"/>
        <v>0.22352312483912487</v>
      </c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pans="1:38" ht="15.75" customHeight="1">
      <c r="A21" s="189"/>
      <c r="B21" s="187"/>
      <c r="C21" s="189"/>
      <c r="D21" s="189"/>
      <c r="E21" s="219" t="s">
        <v>175</v>
      </c>
      <c r="F21" s="184">
        <v>780</v>
      </c>
      <c r="G21" s="184">
        <v>739</v>
      </c>
      <c r="H21" s="74">
        <f t="shared" si="8"/>
        <v>0.9474358974358974</v>
      </c>
      <c r="I21" s="191">
        <f>I20*3</f>
        <v>162</v>
      </c>
      <c r="J21" s="75">
        <f t="shared" si="9"/>
        <v>577</v>
      </c>
      <c r="K21" s="76">
        <f t="shared" si="10"/>
        <v>0.78078484438430307</v>
      </c>
      <c r="L21" s="128">
        <f>G21*營業基本資訊!$D$8</f>
        <v>0</v>
      </c>
      <c r="M21" s="78">
        <f>G21*營業基本資訊!$D$5</f>
        <v>382.78919066666668</v>
      </c>
      <c r="N21" s="78">
        <f>G21*營業基本資訊!$D$6</f>
        <v>0</v>
      </c>
      <c r="O21" s="78">
        <f>G21*營業基本資訊!$D$7</f>
        <v>0</v>
      </c>
      <c r="P21" s="78">
        <f t="shared" si="11"/>
        <v>36.950000000000003</v>
      </c>
      <c r="Q21" s="128">
        <f t="shared" si="12"/>
        <v>419.73919066666667</v>
      </c>
      <c r="R21" s="88">
        <f t="shared" si="13"/>
        <v>157.26080933333333</v>
      </c>
      <c r="S21" s="182">
        <f t="shared" si="14"/>
        <v>0.21280217771763643</v>
      </c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pans="1:38" ht="15.75" customHeight="1">
      <c r="A22" s="189"/>
      <c r="B22" s="187"/>
      <c r="C22" s="189"/>
      <c r="D22" s="189"/>
      <c r="E22" s="109" t="s">
        <v>176</v>
      </c>
      <c r="F22" s="184">
        <v>2590</v>
      </c>
      <c r="G22" s="184">
        <v>2299</v>
      </c>
      <c r="H22" s="74">
        <f t="shared" si="8"/>
        <v>0.8876447876447876</v>
      </c>
      <c r="I22" s="191">
        <v>770</v>
      </c>
      <c r="J22" s="75">
        <f t="shared" si="9"/>
        <v>1529</v>
      </c>
      <c r="K22" s="76">
        <f t="shared" si="10"/>
        <v>0.66507177033492826</v>
      </c>
      <c r="L22" s="128">
        <v>350</v>
      </c>
      <c r="M22" s="78">
        <f>G22*營業基本資訊!$D$5</f>
        <v>1190.8421506666668</v>
      </c>
      <c r="N22" s="78">
        <f>G22*營業基本資訊!$D$6</f>
        <v>0</v>
      </c>
      <c r="O22" s="78">
        <f>G22*營業基本資訊!$D$7</f>
        <v>0</v>
      </c>
      <c r="P22" s="78">
        <f t="shared" si="11"/>
        <v>114.95</v>
      </c>
      <c r="Q22" s="128">
        <f t="shared" si="12"/>
        <v>1655.7921506666669</v>
      </c>
      <c r="R22" s="88">
        <f t="shared" si="13"/>
        <v>-126.79215066666688</v>
      </c>
      <c r="S22" s="182">
        <f t="shared" si="14"/>
        <v>-5.5151000724952971E-2</v>
      </c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pans="1:38" ht="15.75" customHeight="1">
      <c r="A23" s="189" t="s">
        <v>177</v>
      </c>
      <c r="B23" s="187" t="s">
        <v>178</v>
      </c>
      <c r="C23" s="189">
        <v>200</v>
      </c>
      <c r="D23" s="189">
        <v>200</v>
      </c>
      <c r="E23" s="109" t="s">
        <v>179</v>
      </c>
      <c r="F23" s="189">
        <v>279</v>
      </c>
      <c r="G23" s="189">
        <v>279</v>
      </c>
      <c r="H23" s="74">
        <f t="shared" si="8"/>
        <v>1</v>
      </c>
      <c r="I23" s="191">
        <f>47+12</f>
        <v>59</v>
      </c>
      <c r="J23" s="75">
        <f t="shared" si="9"/>
        <v>220</v>
      </c>
      <c r="K23" s="76">
        <f t="shared" si="10"/>
        <v>0.78853046594982079</v>
      </c>
      <c r="L23" s="128">
        <f>G23*營業基本資訊!$D$8</f>
        <v>0</v>
      </c>
      <c r="M23" s="78">
        <f>G23*營業基本資訊!$D$5</f>
        <v>144.51716400000001</v>
      </c>
      <c r="N23" s="78">
        <f>G23*營業基本資訊!$D$6</f>
        <v>0</v>
      </c>
      <c r="O23" s="78">
        <f>G23*營業基本資訊!$D$7</f>
        <v>0</v>
      </c>
      <c r="P23" s="78">
        <f t="shared" si="11"/>
        <v>13.950000000000001</v>
      </c>
      <c r="Q23" s="128">
        <f t="shared" si="12"/>
        <v>158.467164</v>
      </c>
      <c r="R23" s="88">
        <f t="shared" si="13"/>
        <v>61.532836000000003</v>
      </c>
      <c r="S23" s="182">
        <f t="shared" si="14"/>
        <v>0.22054779928315413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pans="1:38" ht="15.75" customHeight="1">
      <c r="A24" s="189"/>
      <c r="B24" s="187"/>
      <c r="C24" s="189"/>
      <c r="D24" s="189"/>
      <c r="E24" s="219" t="s">
        <v>180</v>
      </c>
      <c r="F24" s="184">
        <v>850</v>
      </c>
      <c r="G24" s="184">
        <v>799</v>
      </c>
      <c r="H24" s="74">
        <f t="shared" si="8"/>
        <v>0.94</v>
      </c>
      <c r="I24" s="191">
        <f>77*3</f>
        <v>231</v>
      </c>
      <c r="J24" s="75">
        <f t="shared" si="9"/>
        <v>568</v>
      </c>
      <c r="K24" s="76">
        <f t="shared" si="10"/>
        <v>0.71088861076345433</v>
      </c>
      <c r="L24" s="128">
        <f>G24*營業基本資訊!$D$8</f>
        <v>0</v>
      </c>
      <c r="M24" s="78">
        <f>G24*營業基本資訊!$D$5</f>
        <v>413.86815066666668</v>
      </c>
      <c r="N24" s="78">
        <f>G24*營業基本資訊!$D$6</f>
        <v>0</v>
      </c>
      <c r="O24" s="78">
        <f>G24*營業基本資訊!$D$7</f>
        <v>0</v>
      </c>
      <c r="P24" s="78">
        <f t="shared" si="11"/>
        <v>39.950000000000003</v>
      </c>
      <c r="Q24" s="128">
        <f t="shared" si="12"/>
        <v>453.81815066666667</v>
      </c>
      <c r="R24" s="88">
        <f t="shared" si="13"/>
        <v>114.18184933333333</v>
      </c>
      <c r="S24" s="182">
        <f t="shared" si="14"/>
        <v>0.14290594409678764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1:38" ht="15.75" customHeight="1">
      <c r="A25" s="189"/>
      <c r="B25" s="187"/>
      <c r="C25" s="189"/>
      <c r="D25" s="189"/>
      <c r="E25" s="109" t="s">
        <v>176</v>
      </c>
      <c r="F25" s="184">
        <v>2790</v>
      </c>
      <c r="G25" s="184">
        <v>2499</v>
      </c>
      <c r="H25" s="74">
        <f t="shared" si="8"/>
        <v>0.89569892473118284</v>
      </c>
      <c r="I25" s="191">
        <v>770</v>
      </c>
      <c r="J25" s="75">
        <f t="shared" si="9"/>
        <v>1729</v>
      </c>
      <c r="K25" s="76">
        <f t="shared" si="10"/>
        <v>0.6918767507002801</v>
      </c>
      <c r="L25" s="128">
        <v>350</v>
      </c>
      <c r="M25" s="78">
        <f>G25*營業基本資訊!$D$5</f>
        <v>1294.4386840000002</v>
      </c>
      <c r="N25" s="78">
        <f>G25*營業基本資訊!$D$6</f>
        <v>0</v>
      </c>
      <c r="O25" s="78">
        <f>G25*營業基本資訊!$D$7</f>
        <v>0</v>
      </c>
      <c r="P25" s="78">
        <f t="shared" si="11"/>
        <v>124.95</v>
      </c>
      <c r="Q25" s="128">
        <f t="shared" si="12"/>
        <v>1769.3886840000002</v>
      </c>
      <c r="R25" s="88">
        <f t="shared" si="13"/>
        <v>-40.388684000000239</v>
      </c>
      <c r="S25" s="182">
        <f t="shared" si="14"/>
        <v>-1.6161938375350234E-2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1:38" ht="15.75" customHeight="1">
      <c r="A26" s="189" t="s">
        <v>182</v>
      </c>
      <c r="B26" s="187" t="s">
        <v>183</v>
      </c>
      <c r="C26" s="189">
        <v>150</v>
      </c>
      <c r="D26" s="189">
        <v>150</v>
      </c>
      <c r="E26" s="109" t="s">
        <v>184</v>
      </c>
      <c r="F26" s="189">
        <v>279</v>
      </c>
      <c r="G26" s="189">
        <v>279</v>
      </c>
      <c r="H26" s="74">
        <f t="shared" si="8"/>
        <v>1</v>
      </c>
      <c r="I26" s="191">
        <f>65+12</f>
        <v>77</v>
      </c>
      <c r="J26" s="75">
        <f t="shared" si="9"/>
        <v>202</v>
      </c>
      <c r="K26" s="76">
        <f t="shared" si="10"/>
        <v>0.72401433691756267</v>
      </c>
      <c r="L26" s="128">
        <f>G26*營業基本資訊!$D$8</f>
        <v>0</v>
      </c>
      <c r="M26" s="78">
        <f>G26*營業基本資訊!$D$5</f>
        <v>144.51716400000001</v>
      </c>
      <c r="N26" s="78">
        <f>G26*營業基本資訊!$D$6</f>
        <v>0</v>
      </c>
      <c r="O26" s="78">
        <f>G26*營業基本資訊!$D$7</f>
        <v>0</v>
      </c>
      <c r="P26" s="78">
        <f t="shared" si="11"/>
        <v>13.950000000000001</v>
      </c>
      <c r="Q26" s="128">
        <f t="shared" si="12"/>
        <v>158.467164</v>
      </c>
      <c r="R26" s="88">
        <f t="shared" si="13"/>
        <v>43.532836000000003</v>
      </c>
      <c r="S26" s="182">
        <f t="shared" si="14"/>
        <v>0.15603167025089607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pans="1:38" ht="15.75" customHeight="1">
      <c r="A27" s="189"/>
      <c r="B27" s="187"/>
      <c r="C27" s="189"/>
      <c r="D27" s="189"/>
      <c r="E27" s="219" t="s">
        <v>185</v>
      </c>
      <c r="F27" s="184">
        <v>850</v>
      </c>
      <c r="G27" s="184">
        <v>799</v>
      </c>
      <c r="H27" s="74">
        <f t="shared" si="8"/>
        <v>0.94</v>
      </c>
      <c r="I27" s="191">
        <f>77*3</f>
        <v>231</v>
      </c>
      <c r="J27" s="75">
        <f t="shared" si="9"/>
        <v>568</v>
      </c>
      <c r="K27" s="76">
        <f t="shared" si="10"/>
        <v>0.71088861076345433</v>
      </c>
      <c r="L27" s="128">
        <f>G27*營業基本資訊!$D$8</f>
        <v>0</v>
      </c>
      <c r="M27" s="78">
        <f>G27*營業基本資訊!$D$5</f>
        <v>413.86815066666668</v>
      </c>
      <c r="N27" s="78">
        <f>G27*營業基本資訊!$D$6</f>
        <v>0</v>
      </c>
      <c r="O27" s="78">
        <f>G27*營業基本資訊!$D$7</f>
        <v>0</v>
      </c>
      <c r="P27" s="78">
        <f t="shared" si="11"/>
        <v>39.950000000000003</v>
      </c>
      <c r="Q27" s="128">
        <f t="shared" si="12"/>
        <v>453.81815066666667</v>
      </c>
      <c r="R27" s="88">
        <f t="shared" si="13"/>
        <v>114.18184933333333</v>
      </c>
      <c r="S27" s="182">
        <f t="shared" si="14"/>
        <v>0.14290594409678764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pans="1:38" ht="15.75" customHeight="1">
      <c r="A28" s="189"/>
      <c r="B28" s="187"/>
      <c r="C28" s="189"/>
      <c r="D28" s="189"/>
      <c r="E28" s="109" t="s">
        <v>186</v>
      </c>
      <c r="F28" s="184">
        <v>2790</v>
      </c>
      <c r="G28" s="184">
        <v>2499</v>
      </c>
      <c r="H28" s="74">
        <f t="shared" si="8"/>
        <v>0.89569892473118284</v>
      </c>
      <c r="I28" s="191">
        <v>770</v>
      </c>
      <c r="J28" s="75">
        <f t="shared" si="9"/>
        <v>1729</v>
      </c>
      <c r="K28" s="76">
        <f t="shared" si="10"/>
        <v>0.6918767507002801</v>
      </c>
      <c r="L28" s="128">
        <v>350</v>
      </c>
      <c r="M28" s="78">
        <f>G28*營業基本資訊!$D$5</f>
        <v>1294.4386840000002</v>
      </c>
      <c r="N28" s="78">
        <f>G28*營業基本資訊!$D$6</f>
        <v>0</v>
      </c>
      <c r="O28" s="78">
        <f>G28*營業基本資訊!$D$7</f>
        <v>0</v>
      </c>
      <c r="P28" s="78">
        <f t="shared" si="11"/>
        <v>124.95</v>
      </c>
      <c r="Q28" s="128">
        <f t="shared" si="12"/>
        <v>1769.3886840000002</v>
      </c>
      <c r="R28" s="88">
        <f t="shared" si="13"/>
        <v>-40.388684000000239</v>
      </c>
      <c r="S28" s="182">
        <f t="shared" si="14"/>
        <v>-1.6161938375350234E-2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pans="1:38" ht="42" customHeight="1">
      <c r="A29" s="189" t="s">
        <v>268</v>
      </c>
      <c r="B29" s="187"/>
      <c r="C29" s="189"/>
      <c r="D29" s="189"/>
      <c r="E29" s="109" t="s">
        <v>269</v>
      </c>
      <c r="F29" s="184">
        <v>2150</v>
      </c>
      <c r="G29" s="184">
        <v>1720</v>
      </c>
      <c r="H29" s="74">
        <f t="shared" si="8"/>
        <v>0.8</v>
      </c>
      <c r="I29" s="191">
        <v>596</v>
      </c>
      <c r="J29" s="75">
        <f t="shared" si="9"/>
        <v>1124</v>
      </c>
      <c r="K29" s="76">
        <f t="shared" si="10"/>
        <v>0.65348837209302324</v>
      </c>
      <c r="L29" s="128">
        <f>G29*營業基本資訊!$D$8</f>
        <v>0</v>
      </c>
      <c r="M29" s="78">
        <f>G29*營業基本資訊!$D$5</f>
        <v>890.93018666666671</v>
      </c>
      <c r="N29" s="78">
        <f>G29*營業基本資訊!$D$6</f>
        <v>0</v>
      </c>
      <c r="O29" s="78">
        <f>G29*營業基本資訊!$D$7</f>
        <v>0</v>
      </c>
      <c r="P29" s="78">
        <f t="shared" si="11"/>
        <v>86</v>
      </c>
      <c r="Q29" s="128">
        <f t="shared" si="12"/>
        <v>976.93018666666671</v>
      </c>
      <c r="R29" s="88">
        <f t="shared" si="13"/>
        <v>147.06981333333329</v>
      </c>
      <c r="S29" s="182">
        <f t="shared" si="14"/>
        <v>8.5505705426356562E-2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spans="1:38" ht="54.75" customHeight="1">
      <c r="A30" s="189"/>
      <c r="B30" s="187"/>
      <c r="C30" s="189"/>
      <c r="D30" s="189"/>
      <c r="E30" s="109" t="s">
        <v>270</v>
      </c>
      <c r="F30" s="184">
        <v>1075</v>
      </c>
      <c r="G30" s="184">
        <v>999</v>
      </c>
      <c r="H30" s="74">
        <f t="shared" si="8"/>
        <v>0.92930232558139536</v>
      </c>
      <c r="I30" s="191">
        <f>(60+65)*2+12*4</f>
        <v>298</v>
      </c>
      <c r="J30" s="75">
        <f t="shared" si="9"/>
        <v>701</v>
      </c>
      <c r="K30" s="76">
        <f t="shared" si="10"/>
        <v>0.70170170170170165</v>
      </c>
      <c r="L30" s="128">
        <f>G30*營業基本資訊!$D$8</f>
        <v>0</v>
      </c>
      <c r="M30" s="78">
        <f>G30*營業基本資訊!$D$5</f>
        <v>517.46468400000003</v>
      </c>
      <c r="N30" s="78">
        <f>G30*營業基本資訊!$D$6</f>
        <v>0</v>
      </c>
      <c r="O30" s="78">
        <f>G30*營業基本資訊!$D$7</f>
        <v>0</v>
      </c>
      <c r="P30" s="78">
        <f t="shared" si="11"/>
        <v>49.95</v>
      </c>
      <c r="Q30" s="128">
        <f t="shared" si="12"/>
        <v>567.41468400000008</v>
      </c>
      <c r="R30" s="88">
        <f t="shared" si="13"/>
        <v>133.58531599999992</v>
      </c>
      <c r="S30" s="182">
        <f t="shared" si="14"/>
        <v>0.13371903503503496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  <row r="31" spans="1:38" ht="54.75" hidden="1" customHeight="1">
      <c r="A31" s="189"/>
      <c r="B31" s="187"/>
      <c r="C31" s="189"/>
      <c r="D31" s="189"/>
      <c r="E31" s="220" t="s">
        <v>271</v>
      </c>
      <c r="F31" s="184">
        <v>279</v>
      </c>
      <c r="G31" s="184">
        <v>279</v>
      </c>
      <c r="H31" s="74">
        <f t="shared" si="8"/>
        <v>1</v>
      </c>
      <c r="I31" s="191">
        <v>67</v>
      </c>
      <c r="J31" s="75">
        <f t="shared" si="9"/>
        <v>212</v>
      </c>
      <c r="K31" s="97">
        <f t="shared" si="10"/>
        <v>0.75985663082437271</v>
      </c>
      <c r="L31" s="221">
        <v>99</v>
      </c>
      <c r="M31" s="78">
        <f>G31*營業基本資訊!$D$5</f>
        <v>144.51716400000001</v>
      </c>
      <c r="N31" s="78">
        <f>G31*營業基本資訊!$D$6</f>
        <v>0</v>
      </c>
      <c r="O31" s="78">
        <f>G31*營業基本資訊!$D$7</f>
        <v>0</v>
      </c>
      <c r="P31" s="78">
        <f t="shared" si="11"/>
        <v>13.950000000000001</v>
      </c>
      <c r="Q31" s="128">
        <f t="shared" si="12"/>
        <v>257.46716400000003</v>
      </c>
      <c r="R31" s="222">
        <f t="shared" si="13"/>
        <v>-45.467164000000025</v>
      </c>
      <c r="S31" s="182">
        <f t="shared" si="14"/>
        <v>-0.16296474551971335</v>
      </c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pans="1:38" ht="54.75" hidden="1" customHeight="1">
      <c r="A32" s="189"/>
      <c r="B32" s="187"/>
      <c r="C32" s="189"/>
      <c r="D32" s="189"/>
      <c r="E32" s="220" t="s">
        <v>271</v>
      </c>
      <c r="F32" s="184">
        <v>279</v>
      </c>
      <c r="G32" s="184">
        <v>249</v>
      </c>
      <c r="H32" s="74">
        <f t="shared" si="8"/>
        <v>0.89247311827956988</v>
      </c>
      <c r="I32" s="191">
        <v>67</v>
      </c>
      <c r="J32" s="75">
        <f t="shared" si="9"/>
        <v>182</v>
      </c>
      <c r="K32" s="97">
        <f t="shared" si="10"/>
        <v>0.73092369477911645</v>
      </c>
      <c r="L32" s="221">
        <v>99</v>
      </c>
      <c r="M32" s="78">
        <f>G32*營業基本資訊!$D$5</f>
        <v>128.97768400000001</v>
      </c>
      <c r="N32" s="78">
        <f>G32*營業基本資訊!$D$6</f>
        <v>0</v>
      </c>
      <c r="O32" s="78">
        <f>G32*營業基本資訊!$D$7</f>
        <v>0</v>
      </c>
      <c r="P32" s="78">
        <f t="shared" si="11"/>
        <v>12.450000000000001</v>
      </c>
      <c r="Q32" s="128">
        <f t="shared" si="12"/>
        <v>240.427684</v>
      </c>
      <c r="R32" s="222">
        <f t="shared" si="13"/>
        <v>-58.427683999999999</v>
      </c>
      <c r="S32" s="182">
        <f t="shared" si="14"/>
        <v>-0.23464933333333332</v>
      </c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pans="1:38" ht="54.75" hidden="1" customHeight="1">
      <c r="A33" s="189"/>
      <c r="B33" s="187"/>
      <c r="C33" s="189"/>
      <c r="D33" s="189"/>
      <c r="E33" s="220" t="s">
        <v>272</v>
      </c>
      <c r="F33" s="184">
        <f>279+85</f>
        <v>364</v>
      </c>
      <c r="G33" s="184">
        <v>249</v>
      </c>
      <c r="H33" s="74">
        <f t="shared" si="8"/>
        <v>0.68406593406593408</v>
      </c>
      <c r="I33" s="191">
        <f>67+28</f>
        <v>95</v>
      </c>
      <c r="J33" s="75">
        <f t="shared" si="9"/>
        <v>154</v>
      </c>
      <c r="K33" s="97">
        <f t="shared" si="10"/>
        <v>0.61847389558232935</v>
      </c>
      <c r="L33" s="221">
        <v>99</v>
      </c>
      <c r="M33" s="78">
        <f>G33*營業基本資訊!$D$5</f>
        <v>128.97768400000001</v>
      </c>
      <c r="N33" s="78">
        <f>G33*營業基本資訊!$D$6</f>
        <v>0</v>
      </c>
      <c r="O33" s="78">
        <f>G33*營業基本資訊!$D$7</f>
        <v>0</v>
      </c>
      <c r="P33" s="78">
        <f t="shared" si="11"/>
        <v>12.450000000000001</v>
      </c>
      <c r="Q33" s="128">
        <f t="shared" si="12"/>
        <v>240.427684</v>
      </c>
      <c r="R33" s="222">
        <f t="shared" si="13"/>
        <v>-86.427683999999999</v>
      </c>
      <c r="S33" s="182">
        <f t="shared" si="14"/>
        <v>-0.34709913253012048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spans="1:38" ht="42" hidden="1" customHeight="1">
      <c r="A34" s="189"/>
      <c r="B34" s="187"/>
      <c r="C34" s="189"/>
      <c r="D34" s="189"/>
      <c r="E34" s="223" t="s">
        <v>273</v>
      </c>
      <c r="F34" s="184">
        <f>279+150</f>
        <v>429</v>
      </c>
      <c r="G34" s="184">
        <v>349</v>
      </c>
      <c r="H34" s="74">
        <f t="shared" si="8"/>
        <v>0.81351981351981351</v>
      </c>
      <c r="I34" s="191">
        <f>67+32</f>
        <v>99</v>
      </c>
      <c r="J34" s="75">
        <f t="shared" si="9"/>
        <v>250</v>
      </c>
      <c r="K34" s="97">
        <f t="shared" si="10"/>
        <v>0.71633237822349571</v>
      </c>
      <c r="L34" s="221">
        <v>99</v>
      </c>
      <c r="M34" s="78">
        <f>G34*營業基本資訊!$D$5</f>
        <v>180.77595066666669</v>
      </c>
      <c r="N34" s="78">
        <f>G34*營業基本資訊!$D$6</f>
        <v>0</v>
      </c>
      <c r="O34" s="78">
        <f>G34*營業基本資訊!$D$7</f>
        <v>0</v>
      </c>
      <c r="P34" s="78">
        <f t="shared" si="11"/>
        <v>17.45</v>
      </c>
      <c r="Q34" s="128">
        <f t="shared" si="12"/>
        <v>297.22595066666668</v>
      </c>
      <c r="R34" s="222">
        <f t="shared" si="13"/>
        <v>-47.225950666666677</v>
      </c>
      <c r="S34" s="182">
        <f t="shared" si="14"/>
        <v>-0.13531791021967529</v>
      </c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spans="1:38" ht="42" customHeight="1">
      <c r="A35" s="189"/>
      <c r="B35" s="187"/>
      <c r="C35" s="189"/>
      <c r="D35" s="189"/>
      <c r="E35" s="109" t="s">
        <v>274</v>
      </c>
      <c r="F35" s="184">
        <v>1998</v>
      </c>
      <c r="G35" s="184">
        <v>1799</v>
      </c>
      <c r="H35" s="74">
        <f t="shared" si="8"/>
        <v>0.90040040040040037</v>
      </c>
      <c r="I35" s="191">
        <f>(60+65)*2+12*4</f>
        <v>298</v>
      </c>
      <c r="J35" s="75">
        <f t="shared" si="9"/>
        <v>1501</v>
      </c>
      <c r="K35" s="76">
        <f t="shared" si="10"/>
        <v>0.83435241801000559</v>
      </c>
      <c r="L35" s="128">
        <v>145</v>
      </c>
      <c r="M35" s="78">
        <f>G35*營業基本資訊!$D$5</f>
        <v>931.85081733333345</v>
      </c>
      <c r="N35" s="78">
        <f>G35*營業基本資訊!$D$6</f>
        <v>0</v>
      </c>
      <c r="O35" s="78">
        <f>G35*營業基本資訊!$D$7</f>
        <v>0</v>
      </c>
      <c r="P35" s="78">
        <f t="shared" si="11"/>
        <v>89.95</v>
      </c>
      <c r="Q35" s="128">
        <f t="shared" si="12"/>
        <v>1166.8008173333335</v>
      </c>
      <c r="R35" s="88">
        <f t="shared" si="13"/>
        <v>334.1991826666665</v>
      </c>
      <c r="S35" s="182">
        <f t="shared" si="14"/>
        <v>0.18576941782471734</v>
      </c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pans="1:38" ht="33.75" customHeight="1">
      <c r="A36" s="189"/>
      <c r="B36" s="187"/>
      <c r="C36" s="189"/>
      <c r="D36" s="189"/>
      <c r="E36" s="109" t="s">
        <v>275</v>
      </c>
      <c r="F36" s="184">
        <v>1675</v>
      </c>
      <c r="G36" s="184">
        <v>1650</v>
      </c>
      <c r="H36" s="74">
        <f t="shared" si="8"/>
        <v>0.9850746268656716</v>
      </c>
      <c r="I36" s="191">
        <f>75*6</f>
        <v>450</v>
      </c>
      <c r="J36" s="75">
        <f t="shared" si="9"/>
        <v>1200</v>
      </c>
      <c r="K36" s="76">
        <f t="shared" si="10"/>
        <v>0.72727272727272729</v>
      </c>
      <c r="L36" s="128">
        <f>G36*營業基本資訊!$D$8</f>
        <v>0</v>
      </c>
      <c r="M36" s="78">
        <f>G36*營業基本資訊!$D$5</f>
        <v>854.67140000000006</v>
      </c>
      <c r="N36" s="78">
        <f>G36*營業基本資訊!$D$6</f>
        <v>0</v>
      </c>
      <c r="O36" s="78">
        <f>G36*營業基本資訊!$D$7</f>
        <v>0</v>
      </c>
      <c r="P36" s="78">
        <f t="shared" si="11"/>
        <v>82.5</v>
      </c>
      <c r="Q36" s="128">
        <f t="shared" si="12"/>
        <v>937.17140000000006</v>
      </c>
      <c r="R36" s="88">
        <f t="shared" si="13"/>
        <v>262.82859999999994</v>
      </c>
      <c r="S36" s="182">
        <f t="shared" si="14"/>
        <v>0.15929006060606057</v>
      </c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1:38" ht="66.75" customHeight="1">
      <c r="A37" s="189"/>
      <c r="B37" s="187"/>
      <c r="C37" s="189"/>
      <c r="D37" s="189"/>
      <c r="E37" s="109" t="s">
        <v>276</v>
      </c>
      <c r="F37" s="184">
        <v>1594</v>
      </c>
      <c r="G37" s="184">
        <v>1495</v>
      </c>
      <c r="H37" s="74">
        <f t="shared" si="8"/>
        <v>0.93789209535759099</v>
      </c>
      <c r="I37" s="191">
        <v>372</v>
      </c>
      <c r="J37" s="75">
        <f t="shared" si="9"/>
        <v>1123</v>
      </c>
      <c r="K37" s="76">
        <f t="shared" si="10"/>
        <v>0.75117056856187292</v>
      </c>
      <c r="L37" s="128">
        <f>G37*營業基本資訊!$D$8</f>
        <v>0</v>
      </c>
      <c r="M37" s="78">
        <f>G37*營業基本資訊!$D$5</f>
        <v>774.38408666666669</v>
      </c>
      <c r="N37" s="78">
        <f>G37*營業基本資訊!$D$6</f>
        <v>0</v>
      </c>
      <c r="O37" s="78">
        <f>G37*營業基本資訊!$D$7</f>
        <v>0</v>
      </c>
      <c r="P37" s="78">
        <f t="shared" si="11"/>
        <v>74.75</v>
      </c>
      <c r="Q37" s="128">
        <f t="shared" si="12"/>
        <v>849.13408666666669</v>
      </c>
      <c r="R37" s="88">
        <f t="shared" si="13"/>
        <v>273.86591333333331</v>
      </c>
      <c r="S37" s="182">
        <f t="shared" si="14"/>
        <v>0.18318790189520623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1:38" ht="52.5" customHeight="1">
      <c r="A38" s="189"/>
      <c r="B38" s="187"/>
      <c r="C38" s="189"/>
      <c r="D38" s="189"/>
      <c r="E38" s="109" t="s">
        <v>277</v>
      </c>
      <c r="F38" s="184">
        <f>1075+F49</f>
        <v>1255</v>
      </c>
      <c r="G38" s="184">
        <v>1111</v>
      </c>
      <c r="H38" s="74">
        <f t="shared" si="8"/>
        <v>0.88525896414342631</v>
      </c>
      <c r="I38" s="191">
        <f>(60+65)*2+12*4+23</f>
        <v>321</v>
      </c>
      <c r="J38" s="75">
        <f t="shared" si="9"/>
        <v>790</v>
      </c>
      <c r="K38" s="76">
        <f t="shared" si="10"/>
        <v>0.71107110711071109</v>
      </c>
      <c r="L38" s="128">
        <v>330</v>
      </c>
      <c r="M38" s="78">
        <f>G38*營業基本資訊!$D$5</f>
        <v>575.47874266666668</v>
      </c>
      <c r="N38" s="78">
        <f>G38*營業基本資訊!$D$6</f>
        <v>0</v>
      </c>
      <c r="O38" s="78">
        <f>G38*營業基本資訊!$D$7</f>
        <v>0</v>
      </c>
      <c r="P38" s="78">
        <f t="shared" si="11"/>
        <v>55.550000000000004</v>
      </c>
      <c r="Q38" s="128">
        <f t="shared" si="12"/>
        <v>961.02874266666663</v>
      </c>
      <c r="R38" s="88">
        <f t="shared" si="13"/>
        <v>-171.02874266666663</v>
      </c>
      <c r="S38" s="182">
        <f t="shared" si="14"/>
        <v>-0.15394126252625259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1:38" ht="54" customHeight="1">
      <c r="A39" s="189"/>
      <c r="B39" s="187"/>
      <c r="C39" s="189"/>
      <c r="D39" s="189"/>
      <c r="E39" s="109" t="s">
        <v>278</v>
      </c>
      <c r="F39" s="184">
        <v>2105</v>
      </c>
      <c r="G39" s="184">
        <v>2000</v>
      </c>
      <c r="H39" s="74">
        <f t="shared" si="8"/>
        <v>0.95011876484560565</v>
      </c>
      <c r="I39" s="191">
        <f>I29+I41</f>
        <v>980</v>
      </c>
      <c r="J39" s="75">
        <f t="shared" si="9"/>
        <v>1020</v>
      </c>
      <c r="K39" s="76">
        <f t="shared" si="10"/>
        <v>0.51</v>
      </c>
      <c r="L39" s="128">
        <f>G39*營業基本資訊!$D$8</f>
        <v>0</v>
      </c>
      <c r="M39" s="78">
        <f>G39*營業基本資訊!$D$5</f>
        <v>1035.9653333333333</v>
      </c>
      <c r="N39" s="78">
        <f>G39*營業基本資訊!$D$6</f>
        <v>0</v>
      </c>
      <c r="O39" s="78">
        <f>G39*營業基本資訊!$D$7</f>
        <v>0</v>
      </c>
      <c r="P39" s="78">
        <f t="shared" si="11"/>
        <v>100</v>
      </c>
      <c r="Q39" s="128">
        <f t="shared" si="12"/>
        <v>1135.9653333333333</v>
      </c>
      <c r="R39" s="88">
        <f t="shared" si="13"/>
        <v>-115.96533333333332</v>
      </c>
      <c r="S39" s="182">
        <f t="shared" si="14"/>
        <v>-5.7982666666666662E-2</v>
      </c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1:38" ht="35.25" customHeight="1">
      <c r="A40" s="195"/>
      <c r="B40" s="224"/>
      <c r="C40" s="195"/>
      <c r="D40" s="195"/>
      <c r="E40" s="225"/>
      <c r="F40" s="195"/>
      <c r="G40" s="195"/>
      <c r="H40" s="74"/>
      <c r="I40" s="197"/>
      <c r="J40" s="75"/>
      <c r="K40" s="76"/>
      <c r="L40" s="128"/>
      <c r="M40" s="78"/>
      <c r="N40" s="78"/>
      <c r="O40" s="78"/>
      <c r="P40" s="78"/>
      <c r="Q40" s="78"/>
      <c r="R40" s="88"/>
      <c r="S40" s="7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1:38" ht="63" customHeight="1">
      <c r="A41" s="177"/>
      <c r="B41" s="194"/>
      <c r="C41" s="177"/>
      <c r="D41" s="177"/>
      <c r="E41" s="109" t="s">
        <v>279</v>
      </c>
      <c r="F41" s="177">
        <f>350+480+200</f>
        <v>1030</v>
      </c>
      <c r="G41" s="177">
        <v>999</v>
      </c>
      <c r="H41" s="74">
        <f t="shared" ref="H41:H47" si="15">G41/F41</f>
        <v>0.96990291262135919</v>
      </c>
      <c r="I41" s="181">
        <f t="shared" ref="I41:I42" si="16">136+122+126</f>
        <v>384</v>
      </c>
      <c r="J41" s="75">
        <f t="shared" ref="J41:J47" si="17">G41-I41</f>
        <v>615</v>
      </c>
      <c r="K41" s="76">
        <f t="shared" ref="K41:K47" si="18">J41/G41</f>
        <v>0.61561561561561562</v>
      </c>
      <c r="L41" s="128">
        <v>145</v>
      </c>
      <c r="M41" s="78">
        <f>G41*營業基本資訊!$D$5</f>
        <v>517.46468400000003</v>
      </c>
      <c r="N41" s="78">
        <f>G41*營業基本資訊!$D$6</f>
        <v>0</v>
      </c>
      <c r="O41" s="78">
        <f>G41*營業基本資訊!$D$7</f>
        <v>0</v>
      </c>
      <c r="P41" s="78">
        <f t="shared" ref="P41:P47" si="19">G41*0.05</f>
        <v>49.95</v>
      </c>
      <c r="Q41" s="128">
        <f t="shared" ref="Q41:Q47" si="20">SUM(L41:P41)</f>
        <v>712.41468400000008</v>
      </c>
      <c r="R41" s="88">
        <f t="shared" ref="R41:R47" si="21">J41-Q41</f>
        <v>-97.414684000000079</v>
      </c>
      <c r="S41" s="182">
        <f t="shared" ref="S41:S47" si="22">R41/G41</f>
        <v>-9.7512196196196277E-2</v>
      </c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1:38" ht="63" hidden="1" customHeight="1">
      <c r="A42" s="177"/>
      <c r="B42" s="194"/>
      <c r="C42" s="177"/>
      <c r="D42" s="177"/>
      <c r="E42" s="109" t="s">
        <v>279</v>
      </c>
      <c r="F42" s="177">
        <v>2060</v>
      </c>
      <c r="G42" s="177">
        <v>1854</v>
      </c>
      <c r="H42" s="74">
        <f t="shared" si="15"/>
        <v>0.9</v>
      </c>
      <c r="I42" s="181">
        <f t="shared" si="16"/>
        <v>384</v>
      </c>
      <c r="J42" s="75">
        <f t="shared" si="17"/>
        <v>1470</v>
      </c>
      <c r="K42" s="76">
        <f t="shared" si="18"/>
        <v>0.79288025889967639</v>
      </c>
      <c r="L42" s="128">
        <v>660</v>
      </c>
      <c r="M42" s="78">
        <f>G42*營業基本資訊!$D$5</f>
        <v>960.33986400000003</v>
      </c>
      <c r="N42" s="78">
        <f>G42*營業基本資訊!$D$6</f>
        <v>0</v>
      </c>
      <c r="O42" s="78">
        <f>G42*營業基本資訊!$D$7</f>
        <v>0</v>
      </c>
      <c r="P42" s="78">
        <f t="shared" si="19"/>
        <v>92.7</v>
      </c>
      <c r="Q42" s="128">
        <f t="shared" si="20"/>
        <v>1713.0398640000001</v>
      </c>
      <c r="R42" s="88">
        <f t="shared" si="21"/>
        <v>-243.03986400000008</v>
      </c>
      <c r="S42" s="182">
        <f t="shared" si="22"/>
        <v>-0.13108946278317157</v>
      </c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1:38" ht="15.75" customHeight="1">
      <c r="A43" s="177" t="s">
        <v>192</v>
      </c>
      <c r="B43" s="178" t="s">
        <v>193</v>
      </c>
      <c r="C43" s="177"/>
      <c r="D43" s="177"/>
      <c r="E43" s="183" t="s">
        <v>194</v>
      </c>
      <c r="F43" s="177">
        <v>85</v>
      </c>
      <c r="G43" s="177">
        <v>80</v>
      </c>
      <c r="H43" s="74">
        <f t="shared" si="15"/>
        <v>0.94117647058823528</v>
      </c>
      <c r="I43" s="181">
        <v>33.799999999999997</v>
      </c>
      <c r="J43" s="75">
        <f t="shared" si="17"/>
        <v>46.2</v>
      </c>
      <c r="K43" s="76">
        <f t="shared" si="18"/>
        <v>0.57750000000000001</v>
      </c>
      <c r="L43" s="128">
        <f>G43*營業基本資訊!$D$8</f>
        <v>0</v>
      </c>
      <c r="M43" s="78">
        <f>G43*營業基本資訊!$D$5</f>
        <v>41.438613333333336</v>
      </c>
      <c r="N43" s="78">
        <f>G43*營業基本資訊!$D$6</f>
        <v>0</v>
      </c>
      <c r="O43" s="78">
        <f>G43*營業基本資訊!$D$7</f>
        <v>0</v>
      </c>
      <c r="P43" s="78">
        <f t="shared" si="19"/>
        <v>4</v>
      </c>
      <c r="Q43" s="128">
        <f t="shared" si="20"/>
        <v>45.438613333333336</v>
      </c>
      <c r="R43" s="88">
        <f t="shared" si="21"/>
        <v>0.76138666666666666</v>
      </c>
      <c r="S43" s="182">
        <f t="shared" si="22"/>
        <v>9.5173333333333325E-3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1:38" ht="15.75" customHeight="1">
      <c r="A44" s="177" t="s">
        <v>195</v>
      </c>
      <c r="B44" s="178" t="s">
        <v>196</v>
      </c>
      <c r="C44" s="177">
        <v>200</v>
      </c>
      <c r="D44" s="177">
        <v>200</v>
      </c>
      <c r="E44" s="183" t="s">
        <v>196</v>
      </c>
      <c r="F44" s="184">
        <v>350</v>
      </c>
      <c r="G44" s="184">
        <v>330</v>
      </c>
      <c r="H44" s="74">
        <f t="shared" si="15"/>
        <v>0.94285714285714284</v>
      </c>
      <c r="I44" s="181">
        <v>125.6733</v>
      </c>
      <c r="J44" s="75">
        <f t="shared" si="17"/>
        <v>204.32670000000002</v>
      </c>
      <c r="K44" s="76">
        <f t="shared" si="18"/>
        <v>0.61917181818181821</v>
      </c>
      <c r="L44" s="128">
        <f>G44*營業基本資訊!$D$8</f>
        <v>0</v>
      </c>
      <c r="M44" s="78">
        <f>G44*營業基本資訊!$D$5</f>
        <v>170.93428</v>
      </c>
      <c r="N44" s="78">
        <f>G44*營業基本資訊!$D$6</f>
        <v>0</v>
      </c>
      <c r="O44" s="78">
        <f>G44*營業基本資訊!$D$7</f>
        <v>0</v>
      </c>
      <c r="P44" s="78">
        <f t="shared" si="19"/>
        <v>16.5</v>
      </c>
      <c r="Q44" s="128">
        <f t="shared" si="20"/>
        <v>187.43428</v>
      </c>
      <c r="R44" s="88">
        <f t="shared" si="21"/>
        <v>16.892420000000016</v>
      </c>
      <c r="S44" s="182">
        <f t="shared" si="22"/>
        <v>5.1189151515151562E-2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ht="14.25" customHeight="1">
      <c r="A45" s="177" t="s">
        <v>197</v>
      </c>
      <c r="B45" s="178" t="s">
        <v>193</v>
      </c>
      <c r="C45" s="177"/>
      <c r="D45" s="177"/>
      <c r="E45" s="183" t="s">
        <v>198</v>
      </c>
      <c r="F45" s="184">
        <v>480</v>
      </c>
      <c r="G45" s="184">
        <v>450</v>
      </c>
      <c r="H45" s="74">
        <f t="shared" si="15"/>
        <v>0.9375</v>
      </c>
      <c r="I45" s="181">
        <v>115</v>
      </c>
      <c r="J45" s="75">
        <f t="shared" si="17"/>
        <v>335</v>
      </c>
      <c r="K45" s="76">
        <f t="shared" si="18"/>
        <v>0.74444444444444446</v>
      </c>
      <c r="L45" s="128">
        <f>G45*營業基本資訊!$D$8</f>
        <v>0</v>
      </c>
      <c r="M45" s="78">
        <f>G45*營業基本資訊!$D$5</f>
        <v>233.09220000000002</v>
      </c>
      <c r="N45" s="78">
        <f>G45*營業基本資訊!$D$6</f>
        <v>0</v>
      </c>
      <c r="O45" s="78">
        <f>G45*營業基本資訊!$D$7</f>
        <v>0</v>
      </c>
      <c r="P45" s="78">
        <f t="shared" si="19"/>
        <v>22.5</v>
      </c>
      <c r="Q45" s="128">
        <f t="shared" si="20"/>
        <v>255.59220000000002</v>
      </c>
      <c r="R45" s="88">
        <f t="shared" si="21"/>
        <v>79.40779999999998</v>
      </c>
      <c r="S45" s="182">
        <f t="shared" si="22"/>
        <v>0.17646177777777775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1:38" ht="14.25" customHeight="1">
      <c r="A46" s="177" t="s">
        <v>199</v>
      </c>
      <c r="B46" s="178" t="s">
        <v>193</v>
      </c>
      <c r="C46" s="177"/>
      <c r="D46" s="177"/>
      <c r="E46" s="183" t="s">
        <v>200</v>
      </c>
      <c r="F46" s="184">
        <v>380</v>
      </c>
      <c r="G46" s="184">
        <v>360</v>
      </c>
      <c r="H46" s="74">
        <f t="shared" si="15"/>
        <v>0.94736842105263153</v>
      </c>
      <c r="I46" s="181">
        <v>136</v>
      </c>
      <c r="J46" s="75">
        <f t="shared" si="17"/>
        <v>224</v>
      </c>
      <c r="K46" s="76">
        <f t="shared" si="18"/>
        <v>0.62222222222222223</v>
      </c>
      <c r="L46" s="128">
        <f>G46*營業基本資訊!$D$8</f>
        <v>0</v>
      </c>
      <c r="M46" s="78">
        <f>G46*營業基本資訊!$D$5</f>
        <v>186.47376000000003</v>
      </c>
      <c r="N46" s="78">
        <f>G46*營業基本資訊!$D$6</f>
        <v>0</v>
      </c>
      <c r="O46" s="78">
        <f>G46*營業基本資訊!$D$7</f>
        <v>0</v>
      </c>
      <c r="P46" s="78">
        <f t="shared" si="19"/>
        <v>18</v>
      </c>
      <c r="Q46" s="128">
        <f t="shared" si="20"/>
        <v>204.47376000000003</v>
      </c>
      <c r="R46" s="88">
        <f t="shared" si="21"/>
        <v>19.526239999999973</v>
      </c>
      <c r="S46" s="182">
        <f t="shared" si="22"/>
        <v>5.4239555555555478E-2</v>
      </c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1:38" ht="15.75" customHeight="1">
      <c r="A47" s="177" t="s">
        <v>201</v>
      </c>
      <c r="B47" s="178" t="s">
        <v>193</v>
      </c>
      <c r="C47" s="177"/>
      <c r="D47" s="177"/>
      <c r="E47" s="183" t="s">
        <v>202</v>
      </c>
      <c r="F47" s="184">
        <v>100</v>
      </c>
      <c r="G47" s="184">
        <v>95</v>
      </c>
      <c r="H47" s="74">
        <f t="shared" si="15"/>
        <v>0.95</v>
      </c>
      <c r="I47" s="181">
        <v>43.8</v>
      </c>
      <c r="J47" s="75">
        <f t="shared" si="17"/>
        <v>51.2</v>
      </c>
      <c r="K47" s="76">
        <f t="shared" si="18"/>
        <v>0.53894736842105262</v>
      </c>
      <c r="L47" s="128">
        <f>G47*營業基本資訊!$D$8</f>
        <v>0</v>
      </c>
      <c r="M47" s="78">
        <f>G47*營業基本資訊!$D$5</f>
        <v>49.208353333333335</v>
      </c>
      <c r="N47" s="78">
        <f>G47*營業基本資訊!$D$6</f>
        <v>0</v>
      </c>
      <c r="O47" s="78">
        <f>G47*營業基本資訊!$D$7</f>
        <v>0</v>
      </c>
      <c r="P47" s="78">
        <f t="shared" si="19"/>
        <v>4.75</v>
      </c>
      <c r="Q47" s="128">
        <f t="shared" si="20"/>
        <v>53.958353333333335</v>
      </c>
      <c r="R47" s="88">
        <f t="shared" si="21"/>
        <v>-2.7583533333333321</v>
      </c>
      <c r="S47" s="182">
        <f t="shared" si="22"/>
        <v>-2.9035298245614023E-2</v>
      </c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1:38" ht="30" customHeight="1">
      <c r="A48" s="195"/>
      <c r="B48" s="195"/>
      <c r="C48" s="195"/>
      <c r="D48" s="195"/>
      <c r="E48" s="196"/>
      <c r="F48" s="195"/>
      <c r="G48" s="195"/>
      <c r="H48" s="74"/>
      <c r="I48" s="197"/>
      <c r="J48" s="75"/>
      <c r="K48" s="76"/>
      <c r="L48" s="128"/>
      <c r="M48" s="78"/>
      <c r="N48" s="78"/>
      <c r="O48" s="78"/>
      <c r="P48" s="78"/>
      <c r="Q48" s="78"/>
      <c r="R48" s="88"/>
      <c r="S48" s="7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ht="15.75" customHeight="1">
      <c r="A49" s="177" t="s">
        <v>204</v>
      </c>
      <c r="B49" s="177"/>
      <c r="C49" s="177"/>
      <c r="D49" s="177"/>
      <c r="E49" s="183" t="s">
        <v>203</v>
      </c>
      <c r="F49" s="177">
        <v>180</v>
      </c>
      <c r="G49" s="177">
        <v>139</v>
      </c>
      <c r="H49" s="74">
        <f t="shared" ref="H49:H51" si="23">G49/F49</f>
        <v>0.77222222222222225</v>
      </c>
      <c r="I49" s="181">
        <v>23</v>
      </c>
      <c r="J49" s="75">
        <f t="shared" ref="J49:J51" si="24">G49-I49</f>
        <v>116</v>
      </c>
      <c r="K49" s="76">
        <f t="shared" ref="K49:K51" si="25">J49/G49</f>
        <v>0.83453237410071945</v>
      </c>
      <c r="L49" s="128">
        <f>G49*營業基本資訊!$D$8</f>
        <v>0</v>
      </c>
      <c r="M49" s="78">
        <f>G49*營業基本資訊!$D$5</f>
        <v>71.999590666666677</v>
      </c>
      <c r="N49" s="78">
        <f>G49*營業基本資訊!$D$6</f>
        <v>0</v>
      </c>
      <c r="O49" s="78">
        <f>G49*營業基本資訊!$D$7</f>
        <v>0</v>
      </c>
      <c r="P49" s="78">
        <f t="shared" ref="P49:P51" si="26">G49*0.05</f>
        <v>6.95</v>
      </c>
      <c r="Q49" s="128">
        <f t="shared" ref="Q49:Q51" si="27">SUM(L49:P49)</f>
        <v>78.94959066666668</v>
      </c>
      <c r="R49" s="88">
        <f t="shared" ref="R49:R51" si="28">J49-Q49</f>
        <v>37.05040933333332</v>
      </c>
      <c r="S49" s="182">
        <f t="shared" ref="S49:S51" si="29">R49/G49</f>
        <v>0.26654970743405265</v>
      </c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ht="15.75" customHeight="1">
      <c r="A50" s="177" t="s">
        <v>204</v>
      </c>
      <c r="B50" s="177"/>
      <c r="C50" s="177"/>
      <c r="D50" s="177"/>
      <c r="E50" s="183" t="s">
        <v>205</v>
      </c>
      <c r="F50" s="184">
        <f>F49*2</f>
        <v>360</v>
      </c>
      <c r="G50" s="184">
        <v>360</v>
      </c>
      <c r="H50" s="74">
        <f t="shared" si="23"/>
        <v>1</v>
      </c>
      <c r="I50" s="181">
        <f>I49*2</f>
        <v>46</v>
      </c>
      <c r="J50" s="75">
        <f t="shared" si="24"/>
        <v>314</v>
      </c>
      <c r="K50" s="76">
        <f t="shared" si="25"/>
        <v>0.87222222222222223</v>
      </c>
      <c r="L50" s="128">
        <f>G50*營業基本資訊!$D$8</f>
        <v>0</v>
      </c>
      <c r="M50" s="78">
        <f>G50*營業基本資訊!$D$5</f>
        <v>186.47376000000003</v>
      </c>
      <c r="N50" s="78">
        <f>G50*營業基本資訊!$D$6</f>
        <v>0</v>
      </c>
      <c r="O50" s="78">
        <f>G50*營業基本資訊!$D$7</f>
        <v>0</v>
      </c>
      <c r="P50" s="78">
        <f t="shared" si="26"/>
        <v>18</v>
      </c>
      <c r="Q50" s="128">
        <f t="shared" si="27"/>
        <v>204.47376000000003</v>
      </c>
      <c r="R50" s="88">
        <f t="shared" si="28"/>
        <v>109.52623999999997</v>
      </c>
      <c r="S50" s="182">
        <f t="shared" si="29"/>
        <v>0.30423955555555549</v>
      </c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1:38" ht="15.75" customHeight="1">
      <c r="A51" s="177" t="s">
        <v>193</v>
      </c>
      <c r="B51" s="177"/>
      <c r="C51" s="177"/>
      <c r="D51" s="177"/>
      <c r="E51" s="183" t="s">
        <v>203</v>
      </c>
      <c r="F51" s="184">
        <v>180</v>
      </c>
      <c r="G51" s="184">
        <v>159</v>
      </c>
      <c r="H51" s="74">
        <f t="shared" si="23"/>
        <v>0.8833333333333333</v>
      </c>
      <c r="I51" s="181">
        <v>23</v>
      </c>
      <c r="J51" s="75">
        <f t="shared" si="24"/>
        <v>136</v>
      </c>
      <c r="K51" s="76">
        <f t="shared" si="25"/>
        <v>0.85534591194968557</v>
      </c>
      <c r="L51" s="128">
        <f>G51*營業基本資訊!$D$8</f>
        <v>0</v>
      </c>
      <c r="M51" s="78">
        <f>G51*營業基本資訊!$D$5</f>
        <v>82.359244000000004</v>
      </c>
      <c r="N51" s="78">
        <f>G51*營業基本資訊!$D$6</f>
        <v>0</v>
      </c>
      <c r="O51" s="78">
        <f>G51*營業基本資訊!$D$7</f>
        <v>0</v>
      </c>
      <c r="P51" s="78">
        <f t="shared" si="26"/>
        <v>7.95</v>
      </c>
      <c r="Q51" s="128">
        <f t="shared" si="27"/>
        <v>90.309244000000007</v>
      </c>
      <c r="R51" s="88">
        <f t="shared" si="28"/>
        <v>45.690755999999993</v>
      </c>
      <c r="S51" s="182">
        <f t="shared" si="29"/>
        <v>0.28736324528301882</v>
      </c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1:38" ht="33.75" customHeight="1">
      <c r="A52" s="195"/>
      <c r="B52" s="195"/>
      <c r="C52" s="195"/>
      <c r="D52" s="195"/>
      <c r="E52" s="196"/>
      <c r="F52" s="195"/>
      <c r="G52" s="195"/>
      <c r="H52" s="74"/>
      <c r="I52" s="197"/>
      <c r="J52" s="75"/>
      <c r="K52" s="76"/>
      <c r="L52" s="128"/>
      <c r="M52" s="78"/>
      <c r="N52" s="78"/>
      <c r="O52" s="78"/>
      <c r="P52" s="78"/>
      <c r="Q52" s="78"/>
      <c r="R52" s="88"/>
      <c r="S52" s="7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1:38" ht="14.25" customHeight="1">
      <c r="A53" s="177" t="s">
        <v>206</v>
      </c>
      <c r="B53" s="178"/>
      <c r="C53" s="177"/>
      <c r="D53" s="177"/>
      <c r="E53" s="183" t="s">
        <v>207</v>
      </c>
      <c r="F53" s="177">
        <v>420</v>
      </c>
      <c r="G53" s="177">
        <v>420</v>
      </c>
      <c r="H53" s="74">
        <f t="shared" ref="H53:H71" si="30">G53/F53</f>
        <v>1</v>
      </c>
      <c r="I53" s="181">
        <v>235.88</v>
      </c>
      <c r="J53" s="75">
        <f t="shared" ref="J53:J71" si="31">G53-I53</f>
        <v>184.12</v>
      </c>
      <c r="K53" s="76">
        <f t="shared" ref="K53:K71" si="32">J53/G53</f>
        <v>0.43838095238095237</v>
      </c>
      <c r="L53" s="128">
        <f>G53*營業基本資訊!$D$8</f>
        <v>0</v>
      </c>
      <c r="M53" s="78">
        <f>G53*營業基本資訊!$D$5</f>
        <v>217.55272000000002</v>
      </c>
      <c r="N53" s="78">
        <f>G53*營業基本資訊!$D$6</f>
        <v>0</v>
      </c>
      <c r="O53" s="78">
        <f>G53*營業基本資訊!$D$7</f>
        <v>0</v>
      </c>
      <c r="P53" s="78">
        <f t="shared" ref="P53:P71" si="33">G53*0.05</f>
        <v>21</v>
      </c>
      <c r="Q53" s="128">
        <f t="shared" ref="Q53:Q71" si="34">SUM(L53:P53)</f>
        <v>238.55272000000002</v>
      </c>
      <c r="R53" s="88">
        <f t="shared" ref="R53:R71" si="35">J53-Q53</f>
        <v>-54.432720000000018</v>
      </c>
      <c r="S53" s="182">
        <f t="shared" ref="S53:S71" si="36">R53/G53</f>
        <v>-0.12960171428571432</v>
      </c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1:38" ht="14.25" customHeight="1">
      <c r="A54" s="177" t="s">
        <v>208</v>
      </c>
      <c r="B54" s="178"/>
      <c r="C54" s="177"/>
      <c r="D54" s="177"/>
      <c r="E54" s="183" t="s">
        <v>209</v>
      </c>
      <c r="F54" s="177">
        <v>420</v>
      </c>
      <c r="G54" s="177">
        <v>420</v>
      </c>
      <c r="H54" s="74">
        <f t="shared" si="30"/>
        <v>1</v>
      </c>
      <c r="I54" s="181">
        <v>235.88</v>
      </c>
      <c r="J54" s="75">
        <f t="shared" si="31"/>
        <v>184.12</v>
      </c>
      <c r="K54" s="76">
        <f t="shared" si="32"/>
        <v>0.43838095238095237</v>
      </c>
      <c r="L54" s="128">
        <v>350</v>
      </c>
      <c r="M54" s="78">
        <f>G54*營業基本資訊!$D$5</f>
        <v>217.55272000000002</v>
      </c>
      <c r="N54" s="78">
        <f>G54*營業基本資訊!$D$6</f>
        <v>0</v>
      </c>
      <c r="O54" s="78">
        <f>G54*營業基本資訊!$D$7</f>
        <v>0</v>
      </c>
      <c r="P54" s="78">
        <f t="shared" si="33"/>
        <v>21</v>
      </c>
      <c r="Q54" s="128">
        <f t="shared" si="34"/>
        <v>588.55272000000002</v>
      </c>
      <c r="R54" s="88">
        <f t="shared" si="35"/>
        <v>-404.43272000000002</v>
      </c>
      <c r="S54" s="182">
        <f t="shared" si="36"/>
        <v>-0.96293504761904769</v>
      </c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1:38" ht="14.25" customHeight="1">
      <c r="A55" s="177" t="s">
        <v>210</v>
      </c>
      <c r="B55" s="178"/>
      <c r="C55" s="177"/>
      <c r="D55" s="177"/>
      <c r="E55" s="183" t="s">
        <v>211</v>
      </c>
      <c r="F55" s="177">
        <v>420</v>
      </c>
      <c r="G55" s="177">
        <v>420</v>
      </c>
      <c r="H55" s="74">
        <f t="shared" si="30"/>
        <v>1</v>
      </c>
      <c r="I55" s="181">
        <v>235.18</v>
      </c>
      <c r="J55" s="75">
        <f t="shared" si="31"/>
        <v>184.82</v>
      </c>
      <c r="K55" s="76">
        <f t="shared" si="32"/>
        <v>0.44004761904761902</v>
      </c>
      <c r="L55" s="128">
        <v>350</v>
      </c>
      <c r="M55" s="78">
        <f>G55*營業基本資訊!$D$5</f>
        <v>217.55272000000002</v>
      </c>
      <c r="N55" s="78">
        <f>G55*營業基本資訊!$D$6</f>
        <v>0</v>
      </c>
      <c r="O55" s="78">
        <f>G55*營業基本資訊!$D$7</f>
        <v>0</v>
      </c>
      <c r="P55" s="78">
        <f t="shared" si="33"/>
        <v>21</v>
      </c>
      <c r="Q55" s="128">
        <f t="shared" si="34"/>
        <v>588.55272000000002</v>
      </c>
      <c r="R55" s="88">
        <f t="shared" si="35"/>
        <v>-403.73272000000003</v>
      </c>
      <c r="S55" s="182">
        <f t="shared" si="36"/>
        <v>-0.96126838095238099</v>
      </c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1:38" ht="14.25" customHeight="1">
      <c r="A56" s="177" t="s">
        <v>212</v>
      </c>
      <c r="B56" s="178"/>
      <c r="C56" s="177"/>
      <c r="D56" s="177"/>
      <c r="E56" s="183" t="s">
        <v>213</v>
      </c>
      <c r="F56" s="177">
        <v>420</v>
      </c>
      <c r="G56" s="177">
        <v>420</v>
      </c>
      <c r="H56" s="74">
        <f t="shared" si="30"/>
        <v>1</v>
      </c>
      <c r="I56" s="181">
        <v>248.43</v>
      </c>
      <c r="J56" s="75">
        <f t="shared" si="31"/>
        <v>171.57</v>
      </c>
      <c r="K56" s="76">
        <f t="shared" si="32"/>
        <v>0.40849999999999997</v>
      </c>
      <c r="L56" s="128">
        <f>G56*營業基本資訊!$D$8</f>
        <v>0</v>
      </c>
      <c r="M56" s="78">
        <f>G56*營業基本資訊!$D$5</f>
        <v>217.55272000000002</v>
      </c>
      <c r="N56" s="78">
        <f>G56*營業基本資訊!$D$6</f>
        <v>0</v>
      </c>
      <c r="O56" s="78">
        <f>G56*營業基本資訊!$D$7</f>
        <v>0</v>
      </c>
      <c r="P56" s="78">
        <f t="shared" si="33"/>
        <v>21</v>
      </c>
      <c r="Q56" s="128">
        <f t="shared" si="34"/>
        <v>238.55272000000002</v>
      </c>
      <c r="R56" s="88">
        <f t="shared" si="35"/>
        <v>-66.982720000000029</v>
      </c>
      <c r="S56" s="182">
        <f t="shared" si="36"/>
        <v>-0.15948266666666674</v>
      </c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1:38" ht="14.25" customHeight="1">
      <c r="A57" s="177" t="s">
        <v>214</v>
      </c>
      <c r="B57" s="178"/>
      <c r="C57" s="177"/>
      <c r="D57" s="177"/>
      <c r="E57" s="183" t="s">
        <v>215</v>
      </c>
      <c r="F57" s="177">
        <v>360</v>
      </c>
      <c r="G57" s="177">
        <v>360</v>
      </c>
      <c r="H57" s="74">
        <f t="shared" si="30"/>
        <v>1</v>
      </c>
      <c r="I57" s="181">
        <v>291.79000000000002</v>
      </c>
      <c r="J57" s="75">
        <f t="shared" si="31"/>
        <v>68.20999999999998</v>
      </c>
      <c r="K57" s="76">
        <f t="shared" si="32"/>
        <v>0.18947222222222215</v>
      </c>
      <c r="L57" s="128">
        <f>G57*營業基本資訊!$D$8</f>
        <v>0</v>
      </c>
      <c r="M57" s="78">
        <f>G57*營業基本資訊!$D$5</f>
        <v>186.47376000000003</v>
      </c>
      <c r="N57" s="78">
        <f>G57*營業基本資訊!$D$6</f>
        <v>0</v>
      </c>
      <c r="O57" s="78">
        <f>G57*營業基本資訊!$D$7</f>
        <v>0</v>
      </c>
      <c r="P57" s="78">
        <f t="shared" si="33"/>
        <v>18</v>
      </c>
      <c r="Q57" s="128">
        <f t="shared" si="34"/>
        <v>204.47376000000003</v>
      </c>
      <c r="R57" s="88">
        <f t="shared" si="35"/>
        <v>-136.26376000000005</v>
      </c>
      <c r="S57" s="182">
        <f t="shared" si="36"/>
        <v>-0.37851044444444459</v>
      </c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1:38" ht="14.25" customHeight="1">
      <c r="A58" s="177" t="s">
        <v>216</v>
      </c>
      <c r="B58" s="178"/>
      <c r="C58" s="177"/>
      <c r="D58" s="177"/>
      <c r="E58" s="183" t="s">
        <v>217</v>
      </c>
      <c r="F58" s="177">
        <v>360</v>
      </c>
      <c r="G58" s="177">
        <v>360</v>
      </c>
      <c r="H58" s="74">
        <f t="shared" si="30"/>
        <v>1</v>
      </c>
      <c r="I58" s="181">
        <v>291.79000000000002</v>
      </c>
      <c r="J58" s="75">
        <f t="shared" si="31"/>
        <v>68.20999999999998</v>
      </c>
      <c r="K58" s="76">
        <f t="shared" si="32"/>
        <v>0.18947222222222215</v>
      </c>
      <c r="L58" s="128">
        <f>G58*營業基本資訊!$D$8</f>
        <v>0</v>
      </c>
      <c r="M58" s="78">
        <f>G58*營業基本資訊!$D$5</f>
        <v>186.47376000000003</v>
      </c>
      <c r="N58" s="78">
        <f>G58*營業基本資訊!$D$6</f>
        <v>0</v>
      </c>
      <c r="O58" s="78">
        <f>G58*營業基本資訊!$D$7</f>
        <v>0</v>
      </c>
      <c r="P58" s="78">
        <f t="shared" si="33"/>
        <v>18</v>
      </c>
      <c r="Q58" s="128">
        <f t="shared" si="34"/>
        <v>204.47376000000003</v>
      </c>
      <c r="R58" s="88">
        <f t="shared" si="35"/>
        <v>-136.26376000000005</v>
      </c>
      <c r="S58" s="182">
        <f t="shared" si="36"/>
        <v>-0.37851044444444459</v>
      </c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1:38" ht="14.25" customHeight="1">
      <c r="A59" s="177" t="s">
        <v>218</v>
      </c>
      <c r="B59" s="178"/>
      <c r="C59" s="177"/>
      <c r="D59" s="177"/>
      <c r="E59" s="183" t="s">
        <v>219</v>
      </c>
      <c r="F59" s="177">
        <v>360</v>
      </c>
      <c r="G59" s="177">
        <v>360</v>
      </c>
      <c r="H59" s="74">
        <f t="shared" si="30"/>
        <v>1</v>
      </c>
      <c r="I59" s="181">
        <v>291.79000000000002</v>
      </c>
      <c r="J59" s="75">
        <f t="shared" si="31"/>
        <v>68.20999999999998</v>
      </c>
      <c r="K59" s="76">
        <f t="shared" si="32"/>
        <v>0.18947222222222215</v>
      </c>
      <c r="L59" s="128">
        <v>350</v>
      </c>
      <c r="M59" s="78">
        <f>G59*營業基本資訊!$D$5</f>
        <v>186.47376000000003</v>
      </c>
      <c r="N59" s="78">
        <f>G59*營業基本資訊!$D$6</f>
        <v>0</v>
      </c>
      <c r="O59" s="78">
        <f>G59*營業基本資訊!$D$7</f>
        <v>0</v>
      </c>
      <c r="P59" s="78">
        <f t="shared" si="33"/>
        <v>18</v>
      </c>
      <c r="Q59" s="128">
        <f t="shared" si="34"/>
        <v>554.47376000000008</v>
      </c>
      <c r="R59" s="88">
        <f t="shared" si="35"/>
        <v>-486.2637600000001</v>
      </c>
      <c r="S59" s="182">
        <f t="shared" si="36"/>
        <v>-1.350732666666667</v>
      </c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1:38" ht="14.25" customHeight="1">
      <c r="A60" s="177" t="s">
        <v>220</v>
      </c>
      <c r="B60" s="178"/>
      <c r="C60" s="177"/>
      <c r="D60" s="177"/>
      <c r="E60" s="183" t="s">
        <v>221</v>
      </c>
      <c r="F60" s="177">
        <v>360</v>
      </c>
      <c r="G60" s="177">
        <v>360</v>
      </c>
      <c r="H60" s="74">
        <f t="shared" si="30"/>
        <v>1</v>
      </c>
      <c r="I60" s="181">
        <v>291.79000000000002</v>
      </c>
      <c r="J60" s="75">
        <f t="shared" si="31"/>
        <v>68.20999999999998</v>
      </c>
      <c r="K60" s="76">
        <f t="shared" si="32"/>
        <v>0.18947222222222215</v>
      </c>
      <c r="L60" s="128">
        <f>G60*營業基本資訊!$D$8</f>
        <v>0</v>
      </c>
      <c r="M60" s="78">
        <f>G60*營業基本資訊!$D$5</f>
        <v>186.47376000000003</v>
      </c>
      <c r="N60" s="78">
        <f>G60*營業基本資訊!$D$6</f>
        <v>0</v>
      </c>
      <c r="O60" s="78">
        <f>G60*營業基本資訊!$D$7</f>
        <v>0</v>
      </c>
      <c r="P60" s="78">
        <f t="shared" si="33"/>
        <v>18</v>
      </c>
      <c r="Q60" s="128">
        <f t="shared" si="34"/>
        <v>204.47376000000003</v>
      </c>
      <c r="R60" s="88">
        <f t="shared" si="35"/>
        <v>-136.26376000000005</v>
      </c>
      <c r="S60" s="182">
        <f t="shared" si="36"/>
        <v>-0.37851044444444459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1:38" ht="14.25" customHeight="1">
      <c r="A61" s="177" t="s">
        <v>222</v>
      </c>
      <c r="B61" s="178"/>
      <c r="C61" s="177"/>
      <c r="D61" s="177"/>
      <c r="E61" s="183" t="s">
        <v>223</v>
      </c>
      <c r="F61" s="177">
        <v>360</v>
      </c>
      <c r="G61" s="177">
        <v>360</v>
      </c>
      <c r="H61" s="74">
        <f t="shared" si="30"/>
        <v>1</v>
      </c>
      <c r="I61" s="181">
        <v>297.79000000000002</v>
      </c>
      <c r="J61" s="75">
        <f t="shared" si="31"/>
        <v>62.20999999999998</v>
      </c>
      <c r="K61" s="76">
        <f t="shared" si="32"/>
        <v>0.17280555555555549</v>
      </c>
      <c r="L61" s="128">
        <f>G61*營業基本資訊!$D$8</f>
        <v>0</v>
      </c>
      <c r="M61" s="78">
        <f>G61*營業基本資訊!$D$5</f>
        <v>186.47376000000003</v>
      </c>
      <c r="N61" s="78">
        <f>G61*營業基本資訊!$D$6</f>
        <v>0</v>
      </c>
      <c r="O61" s="78">
        <f>G61*營業基本資訊!$D$7</f>
        <v>0</v>
      </c>
      <c r="P61" s="78">
        <f t="shared" si="33"/>
        <v>18</v>
      </c>
      <c r="Q61" s="128">
        <f t="shared" si="34"/>
        <v>204.47376000000003</v>
      </c>
      <c r="R61" s="88">
        <f t="shared" si="35"/>
        <v>-142.26376000000005</v>
      </c>
      <c r="S61" s="182">
        <f t="shared" si="36"/>
        <v>-0.39517711111111126</v>
      </c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1:38" ht="15.75" customHeight="1">
      <c r="A62" s="177" t="s">
        <v>224</v>
      </c>
      <c r="B62" s="178"/>
      <c r="C62" s="177"/>
      <c r="D62" s="177"/>
      <c r="E62" s="183" t="s">
        <v>225</v>
      </c>
      <c r="F62" s="177">
        <v>340</v>
      </c>
      <c r="G62" s="177">
        <v>340</v>
      </c>
      <c r="H62" s="74">
        <f t="shared" si="30"/>
        <v>1</v>
      </c>
      <c r="I62" s="181">
        <v>216.38</v>
      </c>
      <c r="J62" s="75">
        <f t="shared" si="31"/>
        <v>123.62</v>
      </c>
      <c r="K62" s="76">
        <f t="shared" si="32"/>
        <v>0.36358823529411766</v>
      </c>
      <c r="L62" s="128">
        <f>G62*營業基本資訊!$D$8</f>
        <v>0</v>
      </c>
      <c r="M62" s="78">
        <f>G62*營業基本資訊!$D$5</f>
        <v>176.11410666666669</v>
      </c>
      <c r="N62" s="78">
        <f>G62*營業基本資訊!$D$6</f>
        <v>0</v>
      </c>
      <c r="O62" s="78">
        <f>G62*營業基本資訊!$D$7</f>
        <v>0</v>
      </c>
      <c r="P62" s="78">
        <f t="shared" si="33"/>
        <v>17</v>
      </c>
      <c r="Q62" s="128">
        <f t="shared" si="34"/>
        <v>193.11410666666669</v>
      </c>
      <c r="R62" s="88">
        <f t="shared" si="35"/>
        <v>-69.494106666666681</v>
      </c>
      <c r="S62" s="182">
        <f t="shared" si="36"/>
        <v>-0.20439443137254906</v>
      </c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</row>
    <row r="63" spans="1:38" ht="15.75" customHeight="1">
      <c r="A63" s="177" t="s">
        <v>226</v>
      </c>
      <c r="B63" s="178"/>
      <c r="C63" s="177"/>
      <c r="D63" s="177"/>
      <c r="E63" s="183" t="s">
        <v>227</v>
      </c>
      <c r="F63" s="177">
        <v>340</v>
      </c>
      <c r="G63" s="177">
        <v>340</v>
      </c>
      <c r="H63" s="74">
        <f t="shared" si="30"/>
        <v>1</v>
      </c>
      <c r="I63" s="181">
        <v>233.5</v>
      </c>
      <c r="J63" s="75">
        <f t="shared" si="31"/>
        <v>106.5</v>
      </c>
      <c r="K63" s="76">
        <f t="shared" si="32"/>
        <v>0.31323529411764706</v>
      </c>
      <c r="L63" s="128">
        <f>G63*營業基本資訊!$D$8</f>
        <v>0</v>
      </c>
      <c r="M63" s="78">
        <f>G63*營業基本資訊!$D$5</f>
        <v>176.11410666666669</v>
      </c>
      <c r="N63" s="78">
        <f>G63*營業基本資訊!$D$6</f>
        <v>0</v>
      </c>
      <c r="O63" s="78">
        <f>G63*營業基本資訊!$D$7</f>
        <v>0</v>
      </c>
      <c r="P63" s="78">
        <f t="shared" si="33"/>
        <v>17</v>
      </c>
      <c r="Q63" s="128">
        <f t="shared" si="34"/>
        <v>193.11410666666669</v>
      </c>
      <c r="R63" s="88">
        <f t="shared" si="35"/>
        <v>-86.614106666666686</v>
      </c>
      <c r="S63" s="182">
        <f t="shared" si="36"/>
        <v>-0.25474737254901969</v>
      </c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</row>
    <row r="64" spans="1:38" ht="15.75" customHeight="1">
      <c r="A64" s="177" t="s">
        <v>228</v>
      </c>
      <c r="B64" s="177"/>
      <c r="C64" s="177"/>
      <c r="D64" s="177"/>
      <c r="E64" s="183" t="s">
        <v>229</v>
      </c>
      <c r="F64" s="177">
        <v>340</v>
      </c>
      <c r="G64" s="177">
        <v>340</v>
      </c>
      <c r="H64" s="74">
        <f t="shared" si="30"/>
        <v>1</v>
      </c>
      <c r="I64" s="181">
        <v>216</v>
      </c>
      <c r="J64" s="75">
        <f t="shared" si="31"/>
        <v>124</v>
      </c>
      <c r="K64" s="76">
        <f t="shared" si="32"/>
        <v>0.36470588235294116</v>
      </c>
      <c r="L64" s="128">
        <f>G64*營業基本資訊!$D$8</f>
        <v>0</v>
      </c>
      <c r="M64" s="78">
        <f>G64*營業基本資訊!$D$5</f>
        <v>176.11410666666669</v>
      </c>
      <c r="N64" s="78">
        <f>G64*營業基本資訊!$D$6</f>
        <v>0</v>
      </c>
      <c r="O64" s="78">
        <f>G64*營業基本資訊!$D$7</f>
        <v>0</v>
      </c>
      <c r="P64" s="78">
        <f t="shared" si="33"/>
        <v>17</v>
      </c>
      <c r="Q64" s="128">
        <f t="shared" si="34"/>
        <v>193.11410666666669</v>
      </c>
      <c r="R64" s="88">
        <f t="shared" si="35"/>
        <v>-69.114106666666686</v>
      </c>
      <c r="S64" s="182">
        <f t="shared" si="36"/>
        <v>-0.20327678431372553</v>
      </c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spans="1:38" ht="15.75" customHeight="1">
      <c r="A65" s="177" t="s">
        <v>230</v>
      </c>
      <c r="B65" s="177"/>
      <c r="C65" s="177"/>
      <c r="D65" s="177"/>
      <c r="E65" s="183" t="s">
        <v>231</v>
      </c>
      <c r="F65" s="177">
        <v>210</v>
      </c>
      <c r="G65" s="177">
        <v>210</v>
      </c>
      <c r="H65" s="74">
        <f t="shared" si="30"/>
        <v>1</v>
      </c>
      <c r="I65" s="181">
        <v>101.63</v>
      </c>
      <c r="J65" s="75">
        <f t="shared" si="31"/>
        <v>108.37</v>
      </c>
      <c r="K65" s="76">
        <f t="shared" si="32"/>
        <v>0.51604761904761909</v>
      </c>
      <c r="L65" s="128">
        <f>G65*營業基本資訊!$D$8</f>
        <v>0</v>
      </c>
      <c r="M65" s="78">
        <f>G65*營業基本資訊!$D$5</f>
        <v>108.77636000000001</v>
      </c>
      <c r="N65" s="78">
        <f>G65*營業基本資訊!$D$6</f>
        <v>0</v>
      </c>
      <c r="O65" s="78">
        <f>G65*營業基本資訊!$D$7</f>
        <v>0</v>
      </c>
      <c r="P65" s="78">
        <f t="shared" si="33"/>
        <v>10.5</v>
      </c>
      <c r="Q65" s="128">
        <f t="shared" si="34"/>
        <v>119.27636000000001</v>
      </c>
      <c r="R65" s="88">
        <f t="shared" si="35"/>
        <v>-10.906360000000006</v>
      </c>
      <c r="S65" s="182">
        <f t="shared" si="36"/>
        <v>-5.1935047619047651E-2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</row>
    <row r="66" spans="1:38" ht="15.75" customHeight="1">
      <c r="A66" s="177" t="s">
        <v>232</v>
      </c>
      <c r="B66" s="177"/>
      <c r="C66" s="177"/>
      <c r="D66" s="177"/>
      <c r="E66" s="183" t="s">
        <v>233</v>
      </c>
      <c r="F66" s="177">
        <v>210</v>
      </c>
      <c r="G66" s="177">
        <v>210</v>
      </c>
      <c r="H66" s="74">
        <f t="shared" si="30"/>
        <v>1</v>
      </c>
      <c r="I66" s="181">
        <v>101.44</v>
      </c>
      <c r="J66" s="75">
        <f t="shared" si="31"/>
        <v>108.56</v>
      </c>
      <c r="K66" s="76">
        <f t="shared" si="32"/>
        <v>0.51695238095238094</v>
      </c>
      <c r="L66" s="128">
        <f>G66*營業基本資訊!$D$8</f>
        <v>0</v>
      </c>
      <c r="M66" s="78">
        <f>G66*營業基本資訊!$D$5</f>
        <v>108.77636000000001</v>
      </c>
      <c r="N66" s="78">
        <f>G66*營業基本資訊!$D$6</f>
        <v>0</v>
      </c>
      <c r="O66" s="78">
        <f>G66*營業基本資訊!$D$7</f>
        <v>0</v>
      </c>
      <c r="P66" s="78">
        <f t="shared" si="33"/>
        <v>10.5</v>
      </c>
      <c r="Q66" s="128">
        <f t="shared" si="34"/>
        <v>119.27636000000001</v>
      </c>
      <c r="R66" s="88">
        <f t="shared" si="35"/>
        <v>-10.716360000000009</v>
      </c>
      <c r="S66" s="182">
        <f t="shared" si="36"/>
        <v>-5.1030285714285757E-2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</row>
    <row r="67" spans="1:38" ht="15.75" customHeight="1">
      <c r="A67" s="177" t="s">
        <v>234</v>
      </c>
      <c r="B67" s="177"/>
      <c r="C67" s="177"/>
      <c r="D67" s="177"/>
      <c r="E67" s="183" t="s">
        <v>235</v>
      </c>
      <c r="F67" s="177">
        <v>90</v>
      </c>
      <c r="G67" s="177">
        <v>90</v>
      </c>
      <c r="H67" s="74">
        <f t="shared" si="30"/>
        <v>1</v>
      </c>
      <c r="I67" s="181">
        <v>43.33</v>
      </c>
      <c r="J67" s="75">
        <f t="shared" si="31"/>
        <v>46.67</v>
      </c>
      <c r="K67" s="76">
        <f t="shared" si="32"/>
        <v>0.51855555555555555</v>
      </c>
      <c r="L67" s="128">
        <f>G67*營業基本資訊!$D$8</f>
        <v>0</v>
      </c>
      <c r="M67" s="78">
        <f>G67*營業基本資訊!$D$5</f>
        <v>46.618440000000007</v>
      </c>
      <c r="N67" s="78">
        <f>G67*營業基本資訊!$D$6</f>
        <v>0</v>
      </c>
      <c r="O67" s="78">
        <f>G67*營業基本資訊!$D$7</f>
        <v>0</v>
      </c>
      <c r="P67" s="78">
        <f t="shared" si="33"/>
        <v>4.5</v>
      </c>
      <c r="Q67" s="128">
        <f t="shared" si="34"/>
        <v>51.118440000000007</v>
      </c>
      <c r="R67" s="88">
        <f t="shared" si="35"/>
        <v>-4.4484400000000051</v>
      </c>
      <c r="S67" s="182">
        <f t="shared" si="36"/>
        <v>-4.9427111111111165E-2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pans="1:38" ht="15.75" customHeight="1">
      <c r="A68" s="177" t="s">
        <v>236</v>
      </c>
      <c r="B68" s="177"/>
      <c r="C68" s="177"/>
      <c r="D68" s="177"/>
      <c r="E68" s="183" t="s">
        <v>237</v>
      </c>
      <c r="F68" s="177">
        <v>90</v>
      </c>
      <c r="G68" s="177">
        <v>90</v>
      </c>
      <c r="H68" s="74">
        <f t="shared" si="30"/>
        <v>1</v>
      </c>
      <c r="I68" s="181">
        <v>46.74</v>
      </c>
      <c r="J68" s="75">
        <f t="shared" si="31"/>
        <v>43.26</v>
      </c>
      <c r="K68" s="76">
        <f t="shared" si="32"/>
        <v>0.48066666666666663</v>
      </c>
      <c r="L68" s="128">
        <f>G68*營業基本資訊!$D$8</f>
        <v>0</v>
      </c>
      <c r="M68" s="78">
        <f>G68*營業基本資訊!$D$5</f>
        <v>46.618440000000007</v>
      </c>
      <c r="N68" s="78">
        <f>G68*營業基本資訊!$D$6</f>
        <v>0</v>
      </c>
      <c r="O68" s="78">
        <f>G68*營業基本資訊!$D$7</f>
        <v>0</v>
      </c>
      <c r="P68" s="78">
        <f t="shared" si="33"/>
        <v>4.5</v>
      </c>
      <c r="Q68" s="128">
        <f t="shared" si="34"/>
        <v>51.118440000000007</v>
      </c>
      <c r="R68" s="88">
        <f t="shared" si="35"/>
        <v>-7.8584400000000088</v>
      </c>
      <c r="S68" s="182">
        <f t="shared" si="36"/>
        <v>-8.7316000000000102E-2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ht="15.75" customHeight="1">
      <c r="A69" s="177" t="s">
        <v>238</v>
      </c>
      <c r="B69" s="177"/>
      <c r="C69" s="177"/>
      <c r="D69" s="177"/>
      <c r="E69" s="183" t="s">
        <v>239</v>
      </c>
      <c r="F69" s="177">
        <v>90</v>
      </c>
      <c r="G69" s="177">
        <v>90</v>
      </c>
      <c r="H69" s="74">
        <f t="shared" si="30"/>
        <v>1</v>
      </c>
      <c r="I69" s="181">
        <v>44.503999999999998</v>
      </c>
      <c r="J69" s="75">
        <f t="shared" si="31"/>
        <v>45.496000000000002</v>
      </c>
      <c r="K69" s="76">
        <f t="shared" si="32"/>
        <v>0.50551111111111113</v>
      </c>
      <c r="L69" s="128">
        <f>G69*營業基本資訊!$D$8</f>
        <v>0</v>
      </c>
      <c r="M69" s="78">
        <f>G69*營業基本資訊!$D$5</f>
        <v>46.618440000000007</v>
      </c>
      <c r="N69" s="78">
        <f>G69*營業基本資訊!$D$6</f>
        <v>0</v>
      </c>
      <c r="O69" s="78">
        <f>G69*營業基本資訊!$D$7</f>
        <v>0</v>
      </c>
      <c r="P69" s="78">
        <f t="shared" si="33"/>
        <v>4.5</v>
      </c>
      <c r="Q69" s="128">
        <f t="shared" si="34"/>
        <v>51.118440000000007</v>
      </c>
      <c r="R69" s="88">
        <f t="shared" si="35"/>
        <v>-5.6224400000000045</v>
      </c>
      <c r="S69" s="182">
        <f t="shared" si="36"/>
        <v>-6.2471555555555607E-2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 ht="15.75" customHeight="1">
      <c r="A70" s="177" t="s">
        <v>240</v>
      </c>
      <c r="B70" s="177"/>
      <c r="C70" s="177"/>
      <c r="D70" s="177"/>
      <c r="E70" s="183" t="s">
        <v>241</v>
      </c>
      <c r="F70" s="177">
        <v>90</v>
      </c>
      <c r="G70" s="177">
        <v>90</v>
      </c>
      <c r="H70" s="74">
        <f t="shared" si="30"/>
        <v>1</v>
      </c>
      <c r="I70" s="181">
        <v>42.904000000000003</v>
      </c>
      <c r="J70" s="75">
        <f t="shared" si="31"/>
        <v>47.095999999999997</v>
      </c>
      <c r="K70" s="76">
        <f t="shared" si="32"/>
        <v>0.5232888888888888</v>
      </c>
      <c r="L70" s="128">
        <f>G70*營業基本資訊!$D$8</f>
        <v>0</v>
      </c>
      <c r="M70" s="78">
        <f>G70*營業基本資訊!$D$5</f>
        <v>46.618440000000007</v>
      </c>
      <c r="N70" s="78">
        <f>G70*營業基本資訊!$D$6</f>
        <v>0</v>
      </c>
      <c r="O70" s="78">
        <f>G70*營業基本資訊!$D$7</f>
        <v>0</v>
      </c>
      <c r="P70" s="78">
        <f t="shared" si="33"/>
        <v>4.5</v>
      </c>
      <c r="Q70" s="128">
        <f t="shared" si="34"/>
        <v>51.118440000000007</v>
      </c>
      <c r="R70" s="88">
        <f t="shared" si="35"/>
        <v>-4.0224400000000102</v>
      </c>
      <c r="S70" s="182">
        <f t="shared" si="36"/>
        <v>-4.4693777777777895E-2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</row>
    <row r="71" spans="1:38" ht="15.75" customHeight="1">
      <c r="A71" s="177" t="s">
        <v>242</v>
      </c>
      <c r="B71" s="177"/>
      <c r="C71" s="177"/>
      <c r="D71" s="177"/>
      <c r="E71" s="183" t="s">
        <v>243</v>
      </c>
      <c r="F71" s="177">
        <v>90</v>
      </c>
      <c r="G71" s="177">
        <v>90</v>
      </c>
      <c r="H71" s="74">
        <f t="shared" si="30"/>
        <v>1</v>
      </c>
      <c r="I71" s="181">
        <v>191.06</v>
      </c>
      <c r="J71" s="75">
        <f t="shared" si="31"/>
        <v>-101.06</v>
      </c>
      <c r="K71" s="76">
        <f t="shared" si="32"/>
        <v>-1.1228888888888888</v>
      </c>
      <c r="L71" s="128">
        <f>G71*營業基本資訊!$D$8</f>
        <v>0</v>
      </c>
      <c r="M71" s="78">
        <f>G71*營業基本資訊!$D$5</f>
        <v>46.618440000000007</v>
      </c>
      <c r="N71" s="78">
        <f>G71*營業基本資訊!$D$6</f>
        <v>0</v>
      </c>
      <c r="O71" s="78">
        <f>G71*營業基本資訊!$D$7</f>
        <v>0</v>
      </c>
      <c r="P71" s="78">
        <f t="shared" si="33"/>
        <v>4.5</v>
      </c>
      <c r="Q71" s="128">
        <f t="shared" si="34"/>
        <v>51.118440000000007</v>
      </c>
      <c r="R71" s="88">
        <f t="shared" si="35"/>
        <v>-152.17844000000002</v>
      </c>
      <c r="S71" s="182">
        <f t="shared" si="36"/>
        <v>-1.6908715555555558</v>
      </c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</row>
    <row r="72" spans="1:38" ht="18.75" customHeight="1">
      <c r="A72" s="198"/>
      <c r="B72" s="198"/>
      <c r="C72" s="198"/>
      <c r="D72" s="198"/>
      <c r="E72" s="199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</row>
    <row r="73" spans="1:38" ht="15.75" customHeight="1">
      <c r="A73" s="177" t="s">
        <v>244</v>
      </c>
      <c r="B73" s="177"/>
      <c r="C73" s="177"/>
      <c r="D73" s="177"/>
      <c r="E73" s="183" t="s">
        <v>245</v>
      </c>
      <c r="F73" s="177">
        <v>180</v>
      </c>
      <c r="G73" s="177">
        <v>180</v>
      </c>
      <c r="H73" s="74">
        <f t="shared" ref="H73:H74" si="37">G73/F73</f>
        <v>1</v>
      </c>
      <c r="I73" s="181">
        <v>30.745560000000001</v>
      </c>
      <c r="J73" s="75">
        <f t="shared" ref="J73:J74" si="38">G73-I73</f>
        <v>149.25443999999999</v>
      </c>
      <c r="K73" s="76">
        <f t="shared" ref="K73:K74" si="39">J73/G73</f>
        <v>0.82919133333333328</v>
      </c>
      <c r="L73" s="128">
        <f>G73*營業基本資訊!$D$8</f>
        <v>0</v>
      </c>
      <c r="M73" s="78">
        <f>G73*營業基本資訊!$D$5</f>
        <v>93.236880000000014</v>
      </c>
      <c r="N73" s="78">
        <f>G73*營業基本資訊!$D$6</f>
        <v>0</v>
      </c>
      <c r="O73" s="78">
        <f>G73*營業基本資訊!$D$7</f>
        <v>0</v>
      </c>
      <c r="P73" s="78">
        <f t="shared" ref="P73:P74" si="40">G73*0.05</f>
        <v>9</v>
      </c>
      <c r="Q73" s="128">
        <f t="shared" ref="Q73:Q74" si="41">SUM(L73:P73)</f>
        <v>102.23688000000001</v>
      </c>
      <c r="R73" s="88">
        <f t="shared" ref="R73:R74" si="42">J73-Q73</f>
        <v>47.017559999999975</v>
      </c>
      <c r="S73" s="182">
        <f t="shared" ref="S73:S74" si="43">R73/G73</f>
        <v>0.26120866666666653</v>
      </c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pans="1:38" ht="15.75" customHeight="1">
      <c r="A74" s="177" t="s">
        <v>246</v>
      </c>
      <c r="B74" s="177"/>
      <c r="C74" s="177"/>
      <c r="D74" s="177"/>
      <c r="E74" s="183" t="s">
        <v>247</v>
      </c>
      <c r="F74" s="177">
        <v>150</v>
      </c>
      <c r="G74" s="177">
        <v>150</v>
      </c>
      <c r="H74" s="74">
        <f t="shared" si="37"/>
        <v>1</v>
      </c>
      <c r="I74" s="181">
        <v>34.802500000000002</v>
      </c>
      <c r="J74" s="75">
        <f t="shared" si="38"/>
        <v>115.19749999999999</v>
      </c>
      <c r="K74" s="76">
        <f t="shared" si="39"/>
        <v>0.76798333333333324</v>
      </c>
      <c r="L74" s="128">
        <f>G74*營業基本資訊!$D$8</f>
        <v>0</v>
      </c>
      <c r="M74" s="78">
        <f>G74*營業基本資訊!$D$5</f>
        <v>77.697400000000002</v>
      </c>
      <c r="N74" s="78">
        <f>G74*營業基本資訊!$D$6</f>
        <v>0</v>
      </c>
      <c r="O74" s="78">
        <f>G74*營業基本資訊!$D$7</f>
        <v>0</v>
      </c>
      <c r="P74" s="78">
        <f t="shared" si="40"/>
        <v>7.5</v>
      </c>
      <c r="Q74" s="128">
        <f t="shared" si="41"/>
        <v>85.197400000000002</v>
      </c>
      <c r="R74" s="88">
        <f t="shared" si="42"/>
        <v>30.000099999999989</v>
      </c>
      <c r="S74" s="182">
        <f t="shared" si="43"/>
        <v>0.2000006666666666</v>
      </c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pans="1:38" ht="27" customHeight="1">
      <c r="A75" s="198"/>
      <c r="B75" s="198"/>
      <c r="C75" s="198"/>
      <c r="D75" s="198"/>
      <c r="E75" s="199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</row>
    <row r="76" spans="1:38" ht="15.75" customHeight="1">
      <c r="A76" s="177" t="s">
        <v>248</v>
      </c>
      <c r="B76" s="177"/>
      <c r="C76" s="177"/>
      <c r="D76" s="177"/>
      <c r="E76" s="183" t="s">
        <v>249</v>
      </c>
      <c r="F76" s="177">
        <v>70</v>
      </c>
      <c r="G76" s="177">
        <v>70</v>
      </c>
      <c r="H76" s="74">
        <f t="shared" ref="H76:H78" si="44">G76/F76</f>
        <v>1</v>
      </c>
      <c r="I76" s="181">
        <v>30.977499999999999</v>
      </c>
      <c r="J76" s="75">
        <f t="shared" ref="J76:J78" si="45">G76-I76</f>
        <v>39.022500000000001</v>
      </c>
      <c r="K76" s="76">
        <f t="shared" ref="K76:K78" si="46">J76/G76</f>
        <v>0.55746428571428575</v>
      </c>
      <c r="L76" s="128">
        <f>G76*營業基本資訊!$D$8</f>
        <v>0</v>
      </c>
      <c r="M76" s="78">
        <f>G76*營業基本資訊!$D$5</f>
        <v>36.258786666666666</v>
      </c>
      <c r="N76" s="78">
        <f>G76*營業基本資訊!$D$6</f>
        <v>0</v>
      </c>
      <c r="O76" s="78">
        <f>G76*營業基本資訊!$D$7</f>
        <v>0</v>
      </c>
      <c r="P76" s="78">
        <f t="shared" ref="P76:P78" si="47">G76*0.05</f>
        <v>3.5</v>
      </c>
      <c r="Q76" s="128">
        <f t="shared" ref="Q76:Q78" si="48">SUM(L76:P76)</f>
        <v>39.758786666666666</v>
      </c>
      <c r="R76" s="88">
        <f t="shared" ref="R76:R78" si="49">J76-Q76</f>
        <v>-0.73628666666666476</v>
      </c>
      <c r="S76" s="182">
        <f t="shared" ref="S76:S78" si="50">R76/G76</f>
        <v>-1.0518380952380925E-2</v>
      </c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 ht="15.75" customHeight="1">
      <c r="A77" s="177" t="s">
        <v>250</v>
      </c>
      <c r="B77" s="177"/>
      <c r="C77" s="177"/>
      <c r="D77" s="177"/>
      <c r="E77" s="183" t="s">
        <v>251</v>
      </c>
      <c r="F77" s="177">
        <v>320</v>
      </c>
      <c r="G77" s="177">
        <v>320</v>
      </c>
      <c r="H77" s="74">
        <f t="shared" si="44"/>
        <v>1</v>
      </c>
      <c r="I77" s="181">
        <v>88.234440000000006</v>
      </c>
      <c r="J77" s="75">
        <f t="shared" si="45"/>
        <v>231.76555999999999</v>
      </c>
      <c r="K77" s="76">
        <f t="shared" si="46"/>
        <v>0.72426737499999994</v>
      </c>
      <c r="L77" s="128">
        <f>G77*營業基本資訊!$D$8</f>
        <v>0</v>
      </c>
      <c r="M77" s="78">
        <f>G77*營業基本資訊!$D$5</f>
        <v>165.75445333333334</v>
      </c>
      <c r="N77" s="78">
        <f>G77*營業基本資訊!$D$6</f>
        <v>0</v>
      </c>
      <c r="O77" s="78">
        <f>G77*營業基本資訊!$D$7</f>
        <v>0</v>
      </c>
      <c r="P77" s="78">
        <f t="shared" si="47"/>
        <v>16</v>
      </c>
      <c r="Q77" s="128">
        <f t="shared" si="48"/>
        <v>181.75445333333334</v>
      </c>
      <c r="R77" s="88">
        <f t="shared" si="49"/>
        <v>50.011106666666649</v>
      </c>
      <c r="S77" s="182">
        <f t="shared" si="50"/>
        <v>0.15628470833333327</v>
      </c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pans="1:38" ht="15.75" customHeight="1">
      <c r="A78" s="177" t="s">
        <v>252</v>
      </c>
      <c r="B78" s="177"/>
      <c r="C78" s="177"/>
      <c r="D78" s="177"/>
      <c r="E78" s="183" t="s">
        <v>253</v>
      </c>
      <c r="F78" s="177">
        <v>280</v>
      </c>
      <c r="G78" s="177">
        <v>280</v>
      </c>
      <c r="H78" s="74">
        <f t="shared" si="44"/>
        <v>1</v>
      </c>
      <c r="I78" s="181">
        <v>69.489999999999995</v>
      </c>
      <c r="J78" s="75">
        <f t="shared" si="45"/>
        <v>210.51</v>
      </c>
      <c r="K78" s="76">
        <f t="shared" si="46"/>
        <v>0.75182142857142853</v>
      </c>
      <c r="L78" s="128">
        <f>G78*營業基本資訊!$D$8</f>
        <v>0</v>
      </c>
      <c r="M78" s="78">
        <f>G78*營業基本資訊!$D$5</f>
        <v>145.03514666666666</v>
      </c>
      <c r="N78" s="78">
        <f>G78*營業基本資訊!$D$6</f>
        <v>0</v>
      </c>
      <c r="O78" s="78">
        <f>G78*營業基本資訊!$D$7</f>
        <v>0</v>
      </c>
      <c r="P78" s="78">
        <f t="shared" si="47"/>
        <v>14</v>
      </c>
      <c r="Q78" s="128">
        <f t="shared" si="48"/>
        <v>159.03514666666666</v>
      </c>
      <c r="R78" s="88">
        <f t="shared" si="49"/>
        <v>51.474853333333328</v>
      </c>
      <c r="S78" s="182">
        <f t="shared" si="50"/>
        <v>0.18383876190476189</v>
      </c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pans="1:38" ht="25.5" customHeight="1">
      <c r="A79" s="195"/>
      <c r="B79" s="195"/>
      <c r="C79" s="195"/>
      <c r="D79" s="195"/>
      <c r="E79" s="196"/>
      <c r="F79" s="195"/>
      <c r="G79" s="195"/>
      <c r="H79" s="74"/>
      <c r="I79" s="197"/>
      <c r="J79" s="75"/>
      <c r="K79" s="76"/>
      <c r="L79" s="128"/>
      <c r="M79" s="78"/>
      <c r="N79" s="78"/>
      <c r="O79" s="78"/>
      <c r="P79" s="78"/>
      <c r="Q79" s="78"/>
      <c r="R79" s="88"/>
      <c r="S79" s="76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pans="1:38" ht="15.75" customHeight="1">
      <c r="A80" s="177" t="s">
        <v>254</v>
      </c>
      <c r="B80" s="177"/>
      <c r="C80" s="177"/>
      <c r="D80" s="177"/>
      <c r="E80" s="183" t="s">
        <v>255</v>
      </c>
      <c r="F80" s="177">
        <v>65</v>
      </c>
      <c r="G80" s="177">
        <v>65</v>
      </c>
      <c r="H80" s="74">
        <f>G80/F80</f>
        <v>1</v>
      </c>
      <c r="I80" s="181">
        <v>55.79</v>
      </c>
      <c r="J80" s="75">
        <f>G80-I80</f>
        <v>9.2100000000000009</v>
      </c>
      <c r="K80" s="76">
        <f>J80/G80</f>
        <v>0.1416923076923077</v>
      </c>
      <c r="L80" s="128">
        <f>G80*營業基本資訊!$D$8</f>
        <v>0</v>
      </c>
      <c r="M80" s="78">
        <f>G80*營業基本資訊!$D$5</f>
        <v>33.668873333333337</v>
      </c>
      <c r="N80" s="78">
        <f>G80*營業基本資訊!$D$6</f>
        <v>0</v>
      </c>
      <c r="O80" s="78">
        <f>G80*營業基本資訊!$D$7</f>
        <v>0</v>
      </c>
      <c r="P80" s="78">
        <f>G80*0.05</f>
        <v>3.25</v>
      </c>
      <c r="Q80" s="128">
        <f>SUM(L80:P80)</f>
        <v>36.918873333333337</v>
      </c>
      <c r="R80" s="88">
        <f>J80-Q80</f>
        <v>-27.708873333333337</v>
      </c>
      <c r="S80" s="182">
        <f>R80/G80</f>
        <v>-0.42629035897435902</v>
      </c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pans="1:38" ht="21" customHeight="1">
      <c r="A81" s="195"/>
      <c r="B81" s="195"/>
      <c r="C81" s="195"/>
      <c r="D81" s="195"/>
      <c r="E81" s="196"/>
      <c r="F81" s="195"/>
      <c r="G81" s="195"/>
      <c r="H81" s="74"/>
      <c r="I81" s="197"/>
      <c r="J81" s="75"/>
      <c r="K81" s="76"/>
      <c r="L81" s="128"/>
      <c r="M81" s="78"/>
      <c r="N81" s="78"/>
      <c r="O81" s="78"/>
      <c r="P81" s="78"/>
      <c r="Q81" s="78"/>
      <c r="R81" s="88"/>
      <c r="S81" s="76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pans="1:38" ht="15.75" customHeight="1">
      <c r="A82" s="201" t="s">
        <v>256</v>
      </c>
      <c r="B82" s="201"/>
      <c r="C82" s="201"/>
      <c r="D82" s="201"/>
      <c r="E82" s="202" t="s">
        <v>179</v>
      </c>
      <c r="F82" s="201">
        <v>180</v>
      </c>
      <c r="G82" s="201">
        <v>180</v>
      </c>
      <c r="H82" s="204">
        <f t="shared" ref="H82:H83" si="51">G82/F82</f>
        <v>1</v>
      </c>
      <c r="I82" s="205">
        <v>72.766000000000005</v>
      </c>
      <c r="J82" s="206">
        <f t="shared" ref="J82:J83" si="52">G82-I82</f>
        <v>107.23399999999999</v>
      </c>
      <c r="K82" s="207">
        <f t="shared" ref="K82:K83" si="53">J82/G82</f>
        <v>0.59574444444444441</v>
      </c>
      <c r="L82" s="208">
        <f>G82*營業基本資訊!$D$8</f>
        <v>0</v>
      </c>
      <c r="M82" s="209">
        <f>G82*營業基本資訊!$D$5</f>
        <v>93.236880000000014</v>
      </c>
      <c r="N82" s="209">
        <f>G82*營業基本資訊!$D$6</f>
        <v>0</v>
      </c>
      <c r="O82" s="209">
        <f>G82*營業基本資訊!$D$7</f>
        <v>0</v>
      </c>
      <c r="P82" s="209">
        <f t="shared" ref="P82:P83" si="54">G82*0.05</f>
        <v>9</v>
      </c>
      <c r="Q82" s="208">
        <f t="shared" ref="Q82:Q83" si="55">SUM(L82:P82)</f>
        <v>102.23688000000001</v>
      </c>
      <c r="R82" s="210">
        <f t="shared" ref="R82:R83" si="56">J82-Q82</f>
        <v>4.9971199999999811</v>
      </c>
      <c r="S82" s="211">
        <f t="shared" ref="S82:S83" si="57">R82/G82</f>
        <v>2.7761777777777673E-2</v>
      </c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</row>
    <row r="83" spans="1:38" ht="15.75" customHeight="1">
      <c r="A83" s="201" t="s">
        <v>257</v>
      </c>
      <c r="B83" s="201"/>
      <c r="C83" s="201"/>
      <c r="D83" s="201"/>
      <c r="E83" s="202" t="s">
        <v>258</v>
      </c>
      <c r="F83" s="201">
        <v>15</v>
      </c>
      <c r="G83" s="201">
        <v>15</v>
      </c>
      <c r="H83" s="204">
        <f t="shared" si="51"/>
        <v>1</v>
      </c>
      <c r="I83" s="205">
        <v>11.69</v>
      </c>
      <c r="J83" s="206">
        <f t="shared" si="52"/>
        <v>3.3100000000000005</v>
      </c>
      <c r="K83" s="207">
        <f t="shared" si="53"/>
        <v>0.22066666666666671</v>
      </c>
      <c r="L83" s="208">
        <f>G83*營業基本資訊!$D$8</f>
        <v>0</v>
      </c>
      <c r="M83" s="209">
        <f>G83*營業基本資訊!$D$5</f>
        <v>7.7697400000000005</v>
      </c>
      <c r="N83" s="209">
        <f>G83*營業基本資訊!$D$6</f>
        <v>0</v>
      </c>
      <c r="O83" s="209">
        <f>G83*營業基本資訊!$D$7</f>
        <v>0</v>
      </c>
      <c r="P83" s="209">
        <f t="shared" si="54"/>
        <v>0.75</v>
      </c>
      <c r="Q83" s="208">
        <f t="shared" si="55"/>
        <v>8.5197400000000005</v>
      </c>
      <c r="R83" s="210">
        <f t="shared" si="56"/>
        <v>-5.20974</v>
      </c>
      <c r="S83" s="211">
        <f t="shared" si="57"/>
        <v>-0.34731600000000001</v>
      </c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</row>
    <row r="84" spans="1:38" ht="15.75" customHeight="1">
      <c r="A84" s="142"/>
      <c r="B84" s="43"/>
      <c r="C84" s="43"/>
      <c r="D84" s="43"/>
      <c r="E84" s="213"/>
      <c r="F84" s="43"/>
      <c r="G84" s="43"/>
      <c r="H84" s="43"/>
      <c r="I84" s="148"/>
      <c r="J84" s="43"/>
      <c r="K84" s="43"/>
      <c r="L84" s="148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ht="24.75" customHeight="1">
      <c r="A85" s="177" t="s">
        <v>280</v>
      </c>
      <c r="B85" s="177"/>
      <c r="C85" s="177"/>
      <c r="D85" s="177"/>
      <c r="E85" s="177" t="s">
        <v>281</v>
      </c>
      <c r="F85" s="177">
        <v>1260</v>
      </c>
      <c r="G85" s="177">
        <v>999</v>
      </c>
      <c r="H85" s="74">
        <f t="shared" ref="H85:H89" si="58">G85/F85</f>
        <v>0.79285714285714282</v>
      </c>
      <c r="I85" s="181">
        <f>SUM(I86:I89)</f>
        <v>313</v>
      </c>
      <c r="J85" s="60">
        <f t="shared" ref="J85:J89" si="59">G85-I85</f>
        <v>686</v>
      </c>
      <c r="K85" s="61">
        <f t="shared" ref="K85:K89" si="60">J85/G85</f>
        <v>0.68668668668668664</v>
      </c>
      <c r="L85" s="226">
        <v>210</v>
      </c>
      <c r="M85" s="78">
        <f>G85*0.2</f>
        <v>199.8</v>
      </c>
      <c r="N85" s="78">
        <f>G85*0.2</f>
        <v>199.8</v>
      </c>
      <c r="O85" s="78">
        <f>G85*營業基本資訊!$D$7</f>
        <v>0</v>
      </c>
      <c r="P85" s="78">
        <f t="shared" ref="P85:P89" si="61">G85*0.05</f>
        <v>49.95</v>
      </c>
      <c r="Q85" s="128">
        <f t="shared" ref="Q85:Q89" si="62">SUM(L85:P85)</f>
        <v>659.55000000000007</v>
      </c>
      <c r="R85" s="66">
        <f t="shared" ref="R85:R89" si="63">J85-Q85</f>
        <v>26.449999999999932</v>
      </c>
      <c r="S85" s="227">
        <f t="shared" ref="S85:S89" si="64">R85/G85</f>
        <v>2.6476476476476409E-2</v>
      </c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ht="15.75" customHeight="1">
      <c r="A86" s="177" t="s">
        <v>204</v>
      </c>
      <c r="B86" s="177"/>
      <c r="C86" s="177"/>
      <c r="D86" s="177"/>
      <c r="E86" s="183" t="s">
        <v>203</v>
      </c>
      <c r="F86" s="177">
        <v>180</v>
      </c>
      <c r="G86" s="177">
        <v>139</v>
      </c>
      <c r="H86" s="74">
        <f t="shared" si="58"/>
        <v>0.77222222222222225</v>
      </c>
      <c r="I86" s="181">
        <v>23</v>
      </c>
      <c r="J86" s="75">
        <f t="shared" si="59"/>
        <v>116</v>
      </c>
      <c r="K86" s="76">
        <f t="shared" si="60"/>
        <v>0.83453237410071945</v>
      </c>
      <c r="L86" s="128">
        <f>G86*營業基本資訊!$D$8</f>
        <v>0</v>
      </c>
      <c r="M86" s="78">
        <f>G86*營業基本資訊!$D$5</f>
        <v>71.999590666666677</v>
      </c>
      <c r="N86" s="78">
        <f>G86*營業基本資訊!$D$6</f>
        <v>0</v>
      </c>
      <c r="O86" s="78">
        <f>G86*營業基本資訊!$D$7</f>
        <v>0</v>
      </c>
      <c r="P86" s="78">
        <f t="shared" si="61"/>
        <v>6.95</v>
      </c>
      <c r="Q86" s="128">
        <f t="shared" si="62"/>
        <v>78.94959066666668</v>
      </c>
      <c r="R86" s="88">
        <f t="shared" si="63"/>
        <v>37.05040933333332</v>
      </c>
      <c r="S86" s="182">
        <f t="shared" si="64"/>
        <v>0.26654970743405265</v>
      </c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ht="26.25" customHeight="1">
      <c r="A87" s="177" t="s">
        <v>161</v>
      </c>
      <c r="B87" s="178"/>
      <c r="C87" s="177"/>
      <c r="D87" s="177"/>
      <c r="E87" s="183" t="s">
        <v>264</v>
      </c>
      <c r="F87" s="177">
        <v>220</v>
      </c>
      <c r="G87" s="177">
        <v>220</v>
      </c>
      <c r="H87" s="74">
        <f t="shared" si="58"/>
        <v>1</v>
      </c>
      <c r="I87" s="181">
        <v>39</v>
      </c>
      <c r="J87" s="75">
        <f t="shared" si="59"/>
        <v>181</v>
      </c>
      <c r="K87" s="76">
        <f t="shared" si="60"/>
        <v>0.82272727272727275</v>
      </c>
      <c r="L87" s="128">
        <f>G87*營業基本資訊!$D$8</f>
        <v>0</v>
      </c>
      <c r="M87" s="78">
        <f>G87*營業基本資訊!$D$5</f>
        <v>113.95618666666667</v>
      </c>
      <c r="N87" s="78">
        <f>G87*營業基本資訊!$D$6</f>
        <v>0</v>
      </c>
      <c r="O87" s="78">
        <f>G87*營業基本資訊!$D$7</f>
        <v>0</v>
      </c>
      <c r="P87" s="78">
        <f t="shared" si="61"/>
        <v>11</v>
      </c>
      <c r="Q87" s="128">
        <f t="shared" si="62"/>
        <v>124.95618666666667</v>
      </c>
      <c r="R87" s="88">
        <f t="shared" si="63"/>
        <v>56.043813333333333</v>
      </c>
      <c r="S87" s="182">
        <f t="shared" si="64"/>
        <v>0.25474460606060606</v>
      </c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 ht="14.25" customHeight="1">
      <c r="A88" s="177" t="s">
        <v>197</v>
      </c>
      <c r="B88" s="178" t="s">
        <v>193</v>
      </c>
      <c r="C88" s="177"/>
      <c r="D88" s="177"/>
      <c r="E88" s="183" t="s">
        <v>198</v>
      </c>
      <c r="F88" s="184">
        <v>480</v>
      </c>
      <c r="G88" s="184">
        <v>450</v>
      </c>
      <c r="H88" s="74">
        <f t="shared" si="58"/>
        <v>0.9375</v>
      </c>
      <c r="I88" s="181">
        <v>115</v>
      </c>
      <c r="J88" s="75">
        <f t="shared" si="59"/>
        <v>335</v>
      </c>
      <c r="K88" s="76">
        <f t="shared" si="60"/>
        <v>0.74444444444444446</v>
      </c>
      <c r="L88" s="128">
        <f>G88*營業基本資訊!$D$8</f>
        <v>0</v>
      </c>
      <c r="M88" s="78">
        <f>G88*營業基本資訊!$D$5</f>
        <v>233.09220000000002</v>
      </c>
      <c r="N88" s="78"/>
      <c r="O88" s="78">
        <f>G88*營業基本資訊!$D$7</f>
        <v>0</v>
      </c>
      <c r="P88" s="78">
        <f t="shared" si="61"/>
        <v>22.5</v>
      </c>
      <c r="Q88" s="128">
        <f t="shared" si="62"/>
        <v>255.59220000000002</v>
      </c>
      <c r="R88" s="88">
        <f t="shared" si="63"/>
        <v>79.40779999999998</v>
      </c>
      <c r="S88" s="182">
        <f t="shared" si="64"/>
        <v>0.17646177777777775</v>
      </c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ht="14.25" customHeight="1">
      <c r="A89" s="177" t="s">
        <v>199</v>
      </c>
      <c r="B89" s="178" t="s">
        <v>193</v>
      </c>
      <c r="C89" s="177"/>
      <c r="D89" s="177"/>
      <c r="E89" s="183" t="s">
        <v>200</v>
      </c>
      <c r="F89" s="184">
        <v>380</v>
      </c>
      <c r="G89" s="184">
        <v>360</v>
      </c>
      <c r="H89" s="74">
        <f t="shared" si="58"/>
        <v>0.94736842105263153</v>
      </c>
      <c r="I89" s="181">
        <v>136</v>
      </c>
      <c r="J89" s="75">
        <f t="shared" si="59"/>
        <v>224</v>
      </c>
      <c r="K89" s="76">
        <f t="shared" si="60"/>
        <v>0.62222222222222223</v>
      </c>
      <c r="L89" s="128">
        <f>G89*營業基本資訊!$D$8</f>
        <v>0</v>
      </c>
      <c r="M89" s="78">
        <f>G89*營業基本資訊!$D$5</f>
        <v>186.47376000000003</v>
      </c>
      <c r="N89" s="78"/>
      <c r="O89" s="78">
        <f>G89*營業基本資訊!$D$7</f>
        <v>0</v>
      </c>
      <c r="P89" s="78">
        <f t="shared" si="61"/>
        <v>18</v>
      </c>
      <c r="Q89" s="128">
        <f t="shared" si="62"/>
        <v>204.47376000000003</v>
      </c>
      <c r="R89" s="88">
        <f t="shared" si="63"/>
        <v>19.526239999999973</v>
      </c>
      <c r="S89" s="182">
        <f t="shared" si="64"/>
        <v>5.4239555555555478E-2</v>
      </c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ht="15.75" customHeight="1">
      <c r="A90" s="142"/>
      <c r="B90" s="43"/>
      <c r="C90" s="43"/>
      <c r="D90" s="43"/>
      <c r="E90" s="213"/>
      <c r="F90" s="43"/>
      <c r="G90" s="43"/>
      <c r="H90" s="43"/>
      <c r="I90" s="148"/>
      <c r="J90" s="43"/>
      <c r="K90" s="43"/>
      <c r="L90" s="148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ht="15.75" customHeight="1">
      <c r="A91" s="189" t="s">
        <v>282</v>
      </c>
      <c r="B91" s="187" t="s">
        <v>178</v>
      </c>
      <c r="C91" s="189"/>
      <c r="D91" s="189"/>
      <c r="E91" s="109" t="s">
        <v>179</v>
      </c>
      <c r="F91" s="189">
        <v>279</v>
      </c>
      <c r="G91" s="189">
        <v>279</v>
      </c>
      <c r="H91" s="74">
        <f>G91/F91</f>
        <v>1</v>
      </c>
      <c r="I91" s="191">
        <f>47+12</f>
        <v>59</v>
      </c>
      <c r="J91" s="75">
        <f>G91-I91</f>
        <v>220</v>
      </c>
      <c r="K91" s="76">
        <f>J91/G91</f>
        <v>0.78853046594982079</v>
      </c>
      <c r="L91" s="128">
        <v>130</v>
      </c>
      <c r="M91" s="78">
        <f>G91*營業基本資訊!$D$5</f>
        <v>144.51716400000001</v>
      </c>
      <c r="N91" s="78">
        <f>G91*營業基本資訊!$D$6</f>
        <v>0</v>
      </c>
      <c r="O91" s="78">
        <f>G91*營業基本資訊!$D$7</f>
        <v>0</v>
      </c>
      <c r="P91" s="78">
        <f>G91*0.05</f>
        <v>13.950000000000001</v>
      </c>
      <c r="Q91" s="128">
        <f>SUM(L91:P91)</f>
        <v>288.46716399999997</v>
      </c>
      <c r="R91" s="88">
        <f>J91-Q91</f>
        <v>-68.467163999999968</v>
      </c>
      <c r="S91" s="182">
        <f>R91/G91</f>
        <v>-0.24540202150537624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2"/>
      <c r="B92" s="43"/>
      <c r="C92" s="43"/>
      <c r="D92" s="43"/>
      <c r="E92" s="213"/>
      <c r="F92" s="43"/>
      <c r="G92" s="43"/>
      <c r="H92" s="43"/>
      <c r="I92" s="148"/>
      <c r="J92" s="43"/>
      <c r="K92" s="43"/>
      <c r="L92" s="148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2"/>
      <c r="B93" s="43"/>
      <c r="C93" s="43"/>
      <c r="D93" s="43"/>
      <c r="E93" s="213"/>
      <c r="F93" s="43"/>
      <c r="G93" s="43"/>
      <c r="H93" s="43"/>
      <c r="I93" s="148"/>
      <c r="J93" s="43"/>
      <c r="K93" s="43"/>
      <c r="L93" s="148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2"/>
      <c r="B94" s="43"/>
      <c r="C94" s="43"/>
      <c r="D94" s="43"/>
      <c r="E94" s="213"/>
      <c r="F94" s="43"/>
      <c r="G94" s="43"/>
      <c r="H94" s="43"/>
      <c r="I94" s="148"/>
      <c r="J94" s="43"/>
      <c r="K94" s="43"/>
      <c r="L94" s="148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2"/>
      <c r="B95" s="43"/>
      <c r="C95" s="43"/>
      <c r="D95" s="43"/>
      <c r="E95" s="213"/>
      <c r="F95" s="43"/>
      <c r="G95" s="43"/>
      <c r="H95" s="43"/>
      <c r="I95" s="148"/>
      <c r="J95" s="43"/>
      <c r="K95" s="43"/>
      <c r="L95" s="148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2"/>
      <c r="B96" s="43"/>
      <c r="C96" s="43"/>
      <c r="D96" s="43"/>
      <c r="E96" s="213"/>
      <c r="F96" s="43"/>
      <c r="G96" s="43"/>
      <c r="H96" s="43"/>
      <c r="I96" s="148"/>
      <c r="J96" s="43"/>
      <c r="K96" s="43"/>
      <c r="L96" s="148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2"/>
      <c r="B97" s="43"/>
      <c r="C97" s="43"/>
      <c r="D97" s="43"/>
      <c r="E97" s="213"/>
      <c r="F97" s="43"/>
      <c r="G97" s="43"/>
      <c r="H97" s="43"/>
      <c r="I97" s="148"/>
      <c r="J97" s="43"/>
      <c r="K97" s="43"/>
      <c r="L97" s="148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2"/>
      <c r="B98" s="43"/>
      <c r="C98" s="43"/>
      <c r="D98" s="43"/>
      <c r="E98" s="213"/>
      <c r="F98" s="43"/>
      <c r="G98" s="43"/>
      <c r="H98" s="43"/>
      <c r="I98" s="148"/>
      <c r="J98" s="43"/>
      <c r="K98" s="43"/>
      <c r="L98" s="148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2"/>
      <c r="B99" s="43"/>
      <c r="C99" s="43"/>
      <c r="D99" s="43"/>
      <c r="E99" s="213"/>
      <c r="F99" s="43"/>
      <c r="G99" s="43"/>
      <c r="H99" s="43"/>
      <c r="I99" s="148"/>
      <c r="J99" s="43"/>
      <c r="K99" s="43"/>
      <c r="L99" s="148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2"/>
      <c r="B100" s="43"/>
      <c r="C100" s="43"/>
      <c r="D100" s="43"/>
      <c r="E100" s="213"/>
      <c r="F100" s="43"/>
      <c r="G100" s="43"/>
      <c r="H100" s="43"/>
      <c r="I100" s="148"/>
      <c r="J100" s="43"/>
      <c r="K100" s="43"/>
      <c r="L100" s="148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2"/>
      <c r="B101" s="43"/>
      <c r="C101" s="43"/>
      <c r="D101" s="43"/>
      <c r="E101" s="213"/>
      <c r="F101" s="43"/>
      <c r="G101" s="43"/>
      <c r="H101" s="43"/>
      <c r="I101" s="148"/>
      <c r="J101" s="43"/>
      <c r="K101" s="43"/>
      <c r="L101" s="148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2"/>
      <c r="B102" s="43"/>
      <c r="C102" s="43"/>
      <c r="D102" s="43"/>
      <c r="E102" s="213"/>
      <c r="F102" s="43"/>
      <c r="G102" s="43"/>
      <c r="H102" s="43"/>
      <c r="I102" s="148"/>
      <c r="J102" s="43"/>
      <c r="K102" s="43"/>
      <c r="L102" s="148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2"/>
      <c r="B103" s="43"/>
      <c r="C103" s="43"/>
      <c r="D103" s="43"/>
      <c r="E103" s="213"/>
      <c r="F103" s="43"/>
      <c r="G103" s="43"/>
      <c r="H103" s="43"/>
      <c r="I103" s="148"/>
      <c r="J103" s="43"/>
      <c r="K103" s="43"/>
      <c r="L103" s="148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2"/>
      <c r="B104" s="43"/>
      <c r="C104" s="43"/>
      <c r="D104" s="43"/>
      <c r="E104" s="213"/>
      <c r="F104" s="43"/>
      <c r="G104" s="43"/>
      <c r="H104" s="43"/>
      <c r="I104" s="148"/>
      <c r="J104" s="43"/>
      <c r="K104" s="43"/>
      <c r="L104" s="148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2"/>
      <c r="B105" s="43"/>
      <c r="C105" s="43"/>
      <c r="D105" s="43"/>
      <c r="E105" s="213"/>
      <c r="F105" s="43"/>
      <c r="G105" s="43"/>
      <c r="H105" s="43"/>
      <c r="I105" s="148"/>
      <c r="J105" s="43"/>
      <c r="K105" s="43"/>
      <c r="L105" s="148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2"/>
      <c r="B106" s="43"/>
      <c r="C106" s="43"/>
      <c r="D106" s="43"/>
      <c r="E106" s="213"/>
      <c r="F106" s="43"/>
      <c r="G106" s="43"/>
      <c r="H106" s="43"/>
      <c r="I106" s="148"/>
      <c r="J106" s="43"/>
      <c r="K106" s="43"/>
      <c r="L106" s="148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2"/>
      <c r="B107" s="43"/>
      <c r="C107" s="43"/>
      <c r="D107" s="43"/>
      <c r="E107" s="213"/>
      <c r="F107" s="43"/>
      <c r="G107" s="43"/>
      <c r="H107" s="43"/>
      <c r="I107" s="148"/>
      <c r="J107" s="43"/>
      <c r="K107" s="43"/>
      <c r="L107" s="148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2"/>
      <c r="B108" s="43"/>
      <c r="C108" s="43"/>
      <c r="D108" s="43"/>
      <c r="E108" s="213"/>
      <c r="F108" s="43"/>
      <c r="G108" s="43"/>
      <c r="H108" s="43"/>
      <c r="I108" s="148"/>
      <c r="J108" s="43"/>
      <c r="K108" s="43"/>
      <c r="L108" s="148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2"/>
      <c r="B109" s="43"/>
      <c r="C109" s="43"/>
      <c r="D109" s="43"/>
      <c r="E109" s="213"/>
      <c r="F109" s="43"/>
      <c r="G109" s="43"/>
      <c r="H109" s="43"/>
      <c r="I109" s="148"/>
      <c r="J109" s="43"/>
      <c r="K109" s="43"/>
      <c r="L109" s="148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2"/>
      <c r="B110" s="43"/>
      <c r="C110" s="43"/>
      <c r="D110" s="43"/>
      <c r="E110" s="213"/>
      <c r="F110" s="43"/>
      <c r="G110" s="43"/>
      <c r="H110" s="43"/>
      <c r="I110" s="148"/>
      <c r="J110" s="43"/>
      <c r="K110" s="43"/>
      <c r="L110" s="148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2"/>
      <c r="B111" s="43"/>
      <c r="C111" s="43"/>
      <c r="D111" s="43"/>
      <c r="E111" s="213"/>
      <c r="F111" s="43"/>
      <c r="G111" s="43"/>
      <c r="H111" s="43"/>
      <c r="I111" s="148"/>
      <c r="J111" s="43"/>
      <c r="K111" s="43"/>
      <c r="L111" s="148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2"/>
      <c r="B112" s="43"/>
      <c r="C112" s="43"/>
      <c r="D112" s="43"/>
      <c r="E112" s="213"/>
      <c r="F112" s="43"/>
      <c r="G112" s="43"/>
      <c r="H112" s="43"/>
      <c r="I112" s="148"/>
      <c r="J112" s="43"/>
      <c r="K112" s="43"/>
      <c r="L112" s="148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2"/>
      <c r="B113" s="43"/>
      <c r="C113" s="43"/>
      <c r="D113" s="43"/>
      <c r="E113" s="213"/>
      <c r="F113" s="43"/>
      <c r="G113" s="43"/>
      <c r="H113" s="43"/>
      <c r="I113" s="148"/>
      <c r="J113" s="43"/>
      <c r="K113" s="43"/>
      <c r="L113" s="148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2"/>
      <c r="B114" s="43"/>
      <c r="C114" s="43"/>
      <c r="D114" s="43"/>
      <c r="E114" s="213"/>
      <c r="F114" s="43"/>
      <c r="G114" s="43"/>
      <c r="H114" s="43"/>
      <c r="I114" s="148"/>
      <c r="J114" s="43"/>
      <c r="K114" s="43"/>
      <c r="L114" s="148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2"/>
      <c r="B115" s="43"/>
      <c r="C115" s="43"/>
      <c r="D115" s="43"/>
      <c r="E115" s="213"/>
      <c r="F115" s="43"/>
      <c r="G115" s="43"/>
      <c r="H115" s="43"/>
      <c r="I115" s="148"/>
      <c r="J115" s="43"/>
      <c r="K115" s="43"/>
      <c r="L115" s="148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2"/>
      <c r="B116" s="43"/>
      <c r="C116" s="43"/>
      <c r="D116" s="43"/>
      <c r="E116" s="213"/>
      <c r="F116" s="43"/>
      <c r="G116" s="43"/>
      <c r="H116" s="43"/>
      <c r="I116" s="148"/>
      <c r="J116" s="43"/>
      <c r="K116" s="43"/>
      <c r="L116" s="148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2"/>
      <c r="B117" s="43"/>
      <c r="C117" s="43"/>
      <c r="D117" s="43"/>
      <c r="E117" s="213"/>
      <c r="F117" s="43"/>
      <c r="G117" s="43"/>
      <c r="H117" s="43"/>
      <c r="I117" s="148"/>
      <c r="J117" s="43"/>
      <c r="K117" s="43"/>
      <c r="L117" s="148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2"/>
      <c r="B118" s="43"/>
      <c r="C118" s="43"/>
      <c r="D118" s="43"/>
      <c r="E118" s="213"/>
      <c r="F118" s="43"/>
      <c r="G118" s="43"/>
      <c r="H118" s="43"/>
      <c r="I118" s="148"/>
      <c r="J118" s="43"/>
      <c r="K118" s="43"/>
      <c r="L118" s="148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2"/>
      <c r="B119" s="43"/>
      <c r="C119" s="43"/>
      <c r="D119" s="43"/>
      <c r="E119" s="213"/>
      <c r="F119" s="43"/>
      <c r="G119" s="43"/>
      <c r="H119" s="43"/>
      <c r="I119" s="148"/>
      <c r="J119" s="43"/>
      <c r="K119" s="43"/>
      <c r="L119" s="148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2"/>
      <c r="B120" s="43"/>
      <c r="C120" s="43"/>
      <c r="D120" s="43"/>
      <c r="E120" s="213"/>
      <c r="F120" s="43"/>
      <c r="G120" s="43"/>
      <c r="H120" s="43"/>
      <c r="I120" s="148"/>
      <c r="J120" s="43"/>
      <c r="K120" s="43"/>
      <c r="L120" s="148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2"/>
      <c r="B121" s="43"/>
      <c r="C121" s="43"/>
      <c r="D121" s="43"/>
      <c r="E121" s="213"/>
      <c r="F121" s="43"/>
      <c r="G121" s="43"/>
      <c r="H121" s="43"/>
      <c r="I121" s="148"/>
      <c r="J121" s="43"/>
      <c r="K121" s="43"/>
      <c r="L121" s="148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2"/>
      <c r="B122" s="43"/>
      <c r="C122" s="43"/>
      <c r="D122" s="43"/>
      <c r="E122" s="213"/>
      <c r="F122" s="43"/>
      <c r="G122" s="43"/>
      <c r="H122" s="43"/>
      <c r="I122" s="148"/>
      <c r="J122" s="43"/>
      <c r="K122" s="43"/>
      <c r="L122" s="148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2"/>
      <c r="B123" s="43"/>
      <c r="C123" s="43"/>
      <c r="D123" s="43"/>
      <c r="E123" s="213"/>
      <c r="F123" s="43"/>
      <c r="G123" s="43"/>
      <c r="H123" s="43"/>
      <c r="I123" s="148"/>
      <c r="J123" s="43"/>
      <c r="K123" s="43"/>
      <c r="L123" s="148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2"/>
      <c r="B124" s="43"/>
      <c r="C124" s="43"/>
      <c r="D124" s="43"/>
      <c r="E124" s="213"/>
      <c r="F124" s="43"/>
      <c r="G124" s="43"/>
      <c r="H124" s="43"/>
      <c r="I124" s="148"/>
      <c r="J124" s="43"/>
      <c r="K124" s="43"/>
      <c r="L124" s="148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2"/>
      <c r="B125" s="43"/>
      <c r="C125" s="43"/>
      <c r="D125" s="43"/>
      <c r="E125" s="213"/>
      <c r="F125" s="43"/>
      <c r="G125" s="43"/>
      <c r="H125" s="43"/>
      <c r="I125" s="148"/>
      <c r="J125" s="43"/>
      <c r="K125" s="43"/>
      <c r="L125" s="148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2"/>
      <c r="B126" s="43"/>
      <c r="C126" s="43"/>
      <c r="D126" s="43"/>
      <c r="E126" s="213"/>
      <c r="F126" s="43"/>
      <c r="G126" s="43"/>
      <c r="H126" s="43"/>
      <c r="I126" s="148"/>
      <c r="J126" s="43"/>
      <c r="K126" s="43"/>
      <c r="L126" s="148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2"/>
      <c r="B127" s="43"/>
      <c r="C127" s="43"/>
      <c r="D127" s="43"/>
      <c r="E127" s="213"/>
      <c r="F127" s="43"/>
      <c r="G127" s="43"/>
      <c r="H127" s="43"/>
      <c r="I127" s="148"/>
      <c r="J127" s="43"/>
      <c r="K127" s="43"/>
      <c r="L127" s="148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2"/>
      <c r="B128" s="43"/>
      <c r="C128" s="43"/>
      <c r="D128" s="43"/>
      <c r="E128" s="213"/>
      <c r="F128" s="43"/>
      <c r="G128" s="43"/>
      <c r="H128" s="43"/>
      <c r="I128" s="148"/>
      <c r="J128" s="43"/>
      <c r="K128" s="43"/>
      <c r="L128" s="148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2"/>
      <c r="B129" s="43"/>
      <c r="C129" s="43"/>
      <c r="D129" s="43"/>
      <c r="E129" s="213"/>
      <c r="F129" s="43"/>
      <c r="G129" s="43"/>
      <c r="H129" s="43"/>
      <c r="I129" s="148"/>
      <c r="J129" s="43"/>
      <c r="K129" s="43"/>
      <c r="L129" s="148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2"/>
      <c r="B130" s="43"/>
      <c r="C130" s="43"/>
      <c r="D130" s="43"/>
      <c r="E130" s="213"/>
      <c r="F130" s="43"/>
      <c r="G130" s="43"/>
      <c r="H130" s="43"/>
      <c r="I130" s="148"/>
      <c r="J130" s="43"/>
      <c r="K130" s="43"/>
      <c r="L130" s="148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2"/>
      <c r="B131" s="43"/>
      <c r="C131" s="43"/>
      <c r="D131" s="43"/>
      <c r="E131" s="213"/>
      <c r="F131" s="43"/>
      <c r="G131" s="43"/>
      <c r="H131" s="43"/>
      <c r="I131" s="148"/>
      <c r="J131" s="43"/>
      <c r="K131" s="43"/>
      <c r="L131" s="148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2"/>
      <c r="B132" s="43"/>
      <c r="C132" s="43"/>
      <c r="D132" s="43"/>
      <c r="E132" s="213"/>
      <c r="F132" s="43"/>
      <c r="G132" s="43"/>
      <c r="H132" s="43"/>
      <c r="I132" s="148"/>
      <c r="J132" s="43"/>
      <c r="K132" s="43"/>
      <c r="L132" s="148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2"/>
      <c r="B133" s="43"/>
      <c r="C133" s="43"/>
      <c r="D133" s="43"/>
      <c r="E133" s="213"/>
      <c r="F133" s="43"/>
      <c r="G133" s="43"/>
      <c r="H133" s="43"/>
      <c r="I133" s="148"/>
      <c r="J133" s="43"/>
      <c r="K133" s="43"/>
      <c r="L133" s="148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2"/>
      <c r="B134" s="43"/>
      <c r="C134" s="43"/>
      <c r="D134" s="43"/>
      <c r="E134" s="213"/>
      <c r="F134" s="43"/>
      <c r="G134" s="43"/>
      <c r="H134" s="43"/>
      <c r="I134" s="148"/>
      <c r="J134" s="43"/>
      <c r="K134" s="43"/>
      <c r="L134" s="148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2"/>
      <c r="B135" s="43"/>
      <c r="C135" s="43"/>
      <c r="D135" s="43"/>
      <c r="E135" s="213"/>
      <c r="F135" s="43"/>
      <c r="G135" s="43"/>
      <c r="H135" s="43"/>
      <c r="I135" s="148"/>
      <c r="J135" s="43"/>
      <c r="K135" s="43"/>
      <c r="L135" s="148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2"/>
      <c r="B136" s="43"/>
      <c r="C136" s="43"/>
      <c r="D136" s="43"/>
      <c r="E136" s="213"/>
      <c r="F136" s="43"/>
      <c r="G136" s="43"/>
      <c r="H136" s="43"/>
      <c r="I136" s="148"/>
      <c r="J136" s="43"/>
      <c r="K136" s="43"/>
      <c r="L136" s="148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2"/>
      <c r="B137" s="43"/>
      <c r="C137" s="43"/>
      <c r="D137" s="43"/>
      <c r="E137" s="213"/>
      <c r="F137" s="43"/>
      <c r="G137" s="43"/>
      <c r="H137" s="43"/>
      <c r="I137" s="148"/>
      <c r="J137" s="43"/>
      <c r="K137" s="43"/>
      <c r="L137" s="148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2"/>
      <c r="B138" s="43"/>
      <c r="C138" s="43"/>
      <c r="D138" s="43"/>
      <c r="E138" s="213"/>
      <c r="F138" s="43"/>
      <c r="G138" s="43"/>
      <c r="H138" s="43"/>
      <c r="I138" s="148"/>
      <c r="J138" s="43"/>
      <c r="K138" s="43"/>
      <c r="L138" s="148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2"/>
      <c r="B139" s="43"/>
      <c r="C139" s="43"/>
      <c r="D139" s="43"/>
      <c r="E139" s="213"/>
      <c r="F139" s="43"/>
      <c r="G139" s="43"/>
      <c r="H139" s="43"/>
      <c r="I139" s="148"/>
      <c r="J139" s="43"/>
      <c r="K139" s="43"/>
      <c r="L139" s="148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2"/>
      <c r="B140" s="43"/>
      <c r="C140" s="43"/>
      <c r="D140" s="43"/>
      <c r="E140" s="213"/>
      <c r="F140" s="43"/>
      <c r="G140" s="43"/>
      <c r="H140" s="43"/>
      <c r="I140" s="148"/>
      <c r="J140" s="43"/>
      <c r="K140" s="43"/>
      <c r="L140" s="148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2"/>
      <c r="B141" s="43"/>
      <c r="C141" s="43"/>
      <c r="D141" s="43"/>
      <c r="E141" s="213"/>
      <c r="F141" s="43"/>
      <c r="G141" s="43"/>
      <c r="H141" s="43"/>
      <c r="I141" s="148"/>
      <c r="J141" s="43"/>
      <c r="K141" s="43"/>
      <c r="L141" s="148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2"/>
      <c r="B142" s="43"/>
      <c r="C142" s="43"/>
      <c r="D142" s="43"/>
      <c r="E142" s="213"/>
      <c r="F142" s="43"/>
      <c r="G142" s="43"/>
      <c r="H142" s="43"/>
      <c r="I142" s="148"/>
      <c r="J142" s="43"/>
      <c r="K142" s="43"/>
      <c r="L142" s="148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2"/>
      <c r="B143" s="43"/>
      <c r="C143" s="43"/>
      <c r="D143" s="43"/>
      <c r="E143" s="213"/>
      <c r="F143" s="43"/>
      <c r="G143" s="43"/>
      <c r="H143" s="43"/>
      <c r="I143" s="148"/>
      <c r="J143" s="43"/>
      <c r="K143" s="43"/>
      <c r="L143" s="148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2"/>
      <c r="B144" s="43"/>
      <c r="C144" s="43"/>
      <c r="D144" s="43"/>
      <c r="E144" s="213"/>
      <c r="F144" s="43"/>
      <c r="G144" s="43"/>
      <c r="H144" s="43"/>
      <c r="I144" s="148"/>
      <c r="J144" s="43"/>
      <c r="K144" s="43"/>
      <c r="L144" s="148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2"/>
      <c r="B145" s="43"/>
      <c r="C145" s="43"/>
      <c r="D145" s="43"/>
      <c r="E145" s="213"/>
      <c r="F145" s="43"/>
      <c r="G145" s="43"/>
      <c r="H145" s="43"/>
      <c r="I145" s="148"/>
      <c r="J145" s="43"/>
      <c r="K145" s="43"/>
      <c r="L145" s="148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2"/>
      <c r="B146" s="43"/>
      <c r="C146" s="43"/>
      <c r="D146" s="43"/>
      <c r="E146" s="213"/>
      <c r="F146" s="43"/>
      <c r="G146" s="43"/>
      <c r="H146" s="43"/>
      <c r="I146" s="148"/>
      <c r="J146" s="43"/>
      <c r="K146" s="43"/>
      <c r="L146" s="148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2"/>
      <c r="B147" s="43"/>
      <c r="C147" s="43"/>
      <c r="D147" s="43"/>
      <c r="E147" s="213"/>
      <c r="F147" s="43"/>
      <c r="G147" s="43"/>
      <c r="H147" s="43"/>
      <c r="I147" s="148"/>
      <c r="J147" s="43"/>
      <c r="K147" s="43"/>
      <c r="L147" s="148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2"/>
      <c r="B148" s="43"/>
      <c r="C148" s="43"/>
      <c r="D148" s="43"/>
      <c r="E148" s="213"/>
      <c r="F148" s="43"/>
      <c r="G148" s="43"/>
      <c r="H148" s="43"/>
      <c r="I148" s="148"/>
      <c r="J148" s="43"/>
      <c r="K148" s="43"/>
      <c r="L148" s="148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2"/>
      <c r="B149" s="43"/>
      <c r="C149" s="43"/>
      <c r="D149" s="43"/>
      <c r="E149" s="213"/>
      <c r="F149" s="43"/>
      <c r="G149" s="43"/>
      <c r="H149" s="43"/>
      <c r="I149" s="148"/>
      <c r="J149" s="43"/>
      <c r="K149" s="43"/>
      <c r="L149" s="148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2"/>
      <c r="B150" s="43"/>
      <c r="C150" s="43"/>
      <c r="D150" s="43"/>
      <c r="E150" s="213"/>
      <c r="F150" s="43"/>
      <c r="G150" s="43"/>
      <c r="H150" s="43"/>
      <c r="I150" s="148"/>
      <c r="J150" s="43"/>
      <c r="K150" s="43"/>
      <c r="L150" s="148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2"/>
      <c r="B151" s="43"/>
      <c r="C151" s="43"/>
      <c r="D151" s="43"/>
      <c r="E151" s="213"/>
      <c r="F151" s="43"/>
      <c r="G151" s="43"/>
      <c r="H151" s="43"/>
      <c r="I151" s="148"/>
      <c r="J151" s="43"/>
      <c r="K151" s="43"/>
      <c r="L151" s="148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2"/>
      <c r="B152" s="43"/>
      <c r="C152" s="43"/>
      <c r="D152" s="43"/>
      <c r="E152" s="213"/>
      <c r="F152" s="43"/>
      <c r="G152" s="43"/>
      <c r="H152" s="43"/>
      <c r="I152" s="148"/>
      <c r="J152" s="43"/>
      <c r="K152" s="43"/>
      <c r="L152" s="148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2"/>
      <c r="B153" s="43"/>
      <c r="C153" s="43"/>
      <c r="D153" s="43"/>
      <c r="E153" s="213"/>
      <c r="F153" s="43"/>
      <c r="G153" s="43"/>
      <c r="H153" s="43"/>
      <c r="I153" s="148"/>
      <c r="J153" s="43"/>
      <c r="K153" s="43"/>
      <c r="L153" s="148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2"/>
      <c r="B154" s="43"/>
      <c r="C154" s="43"/>
      <c r="D154" s="43"/>
      <c r="E154" s="213"/>
      <c r="F154" s="43"/>
      <c r="G154" s="43"/>
      <c r="H154" s="43"/>
      <c r="I154" s="148"/>
      <c r="J154" s="43"/>
      <c r="K154" s="43"/>
      <c r="L154" s="148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2"/>
      <c r="B155" s="43"/>
      <c r="C155" s="43"/>
      <c r="D155" s="43"/>
      <c r="E155" s="213"/>
      <c r="F155" s="43"/>
      <c r="G155" s="43"/>
      <c r="H155" s="43"/>
      <c r="I155" s="148"/>
      <c r="J155" s="43"/>
      <c r="K155" s="43"/>
      <c r="L155" s="148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2"/>
      <c r="B156" s="43"/>
      <c r="C156" s="43"/>
      <c r="D156" s="43"/>
      <c r="E156" s="213"/>
      <c r="F156" s="43"/>
      <c r="G156" s="43"/>
      <c r="H156" s="43"/>
      <c r="I156" s="148"/>
      <c r="J156" s="43"/>
      <c r="K156" s="43"/>
      <c r="L156" s="148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2"/>
      <c r="B157" s="43"/>
      <c r="C157" s="43"/>
      <c r="D157" s="43"/>
      <c r="E157" s="213"/>
      <c r="F157" s="43"/>
      <c r="G157" s="43"/>
      <c r="H157" s="43"/>
      <c r="I157" s="148"/>
      <c r="J157" s="43"/>
      <c r="K157" s="43"/>
      <c r="L157" s="148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2"/>
      <c r="B158" s="43"/>
      <c r="C158" s="43"/>
      <c r="D158" s="43"/>
      <c r="E158" s="213"/>
      <c r="F158" s="43"/>
      <c r="G158" s="43"/>
      <c r="H158" s="43"/>
      <c r="I158" s="148"/>
      <c r="J158" s="43"/>
      <c r="K158" s="43"/>
      <c r="L158" s="148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2"/>
      <c r="B159" s="43"/>
      <c r="C159" s="43"/>
      <c r="D159" s="43"/>
      <c r="E159" s="213"/>
      <c r="F159" s="43"/>
      <c r="G159" s="43"/>
      <c r="H159" s="43"/>
      <c r="I159" s="148"/>
      <c r="J159" s="43"/>
      <c r="K159" s="43"/>
      <c r="L159" s="148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2"/>
      <c r="B160" s="43"/>
      <c r="C160" s="43"/>
      <c r="D160" s="43"/>
      <c r="E160" s="213"/>
      <c r="F160" s="43"/>
      <c r="G160" s="43"/>
      <c r="H160" s="43"/>
      <c r="I160" s="148"/>
      <c r="J160" s="43"/>
      <c r="K160" s="43"/>
      <c r="L160" s="148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2"/>
      <c r="B161" s="43"/>
      <c r="C161" s="43"/>
      <c r="D161" s="43"/>
      <c r="E161" s="213"/>
      <c r="F161" s="43"/>
      <c r="G161" s="43"/>
      <c r="H161" s="43"/>
      <c r="I161" s="148"/>
      <c r="J161" s="43"/>
      <c r="K161" s="43"/>
      <c r="L161" s="148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2"/>
      <c r="B162" s="43"/>
      <c r="C162" s="43"/>
      <c r="D162" s="43"/>
      <c r="E162" s="213"/>
      <c r="F162" s="43"/>
      <c r="G162" s="43"/>
      <c r="H162" s="43"/>
      <c r="I162" s="148"/>
      <c r="J162" s="43"/>
      <c r="K162" s="43"/>
      <c r="L162" s="148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2"/>
      <c r="B163" s="43"/>
      <c r="C163" s="43"/>
      <c r="D163" s="43"/>
      <c r="E163" s="213"/>
      <c r="F163" s="43"/>
      <c r="G163" s="43"/>
      <c r="H163" s="43"/>
      <c r="I163" s="148"/>
      <c r="J163" s="43"/>
      <c r="K163" s="43"/>
      <c r="L163" s="148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2"/>
      <c r="B164" s="43"/>
      <c r="C164" s="43"/>
      <c r="D164" s="43"/>
      <c r="E164" s="213"/>
      <c r="F164" s="43"/>
      <c r="G164" s="43"/>
      <c r="H164" s="43"/>
      <c r="I164" s="148"/>
      <c r="J164" s="43"/>
      <c r="K164" s="43"/>
      <c r="L164" s="148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2"/>
      <c r="B165" s="43"/>
      <c r="C165" s="43"/>
      <c r="D165" s="43"/>
      <c r="E165" s="213"/>
      <c r="F165" s="43"/>
      <c r="G165" s="43"/>
      <c r="H165" s="43"/>
      <c r="I165" s="148"/>
      <c r="J165" s="43"/>
      <c r="K165" s="43"/>
      <c r="L165" s="148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2"/>
      <c r="B166" s="43"/>
      <c r="C166" s="43"/>
      <c r="D166" s="43"/>
      <c r="E166" s="213"/>
      <c r="F166" s="43"/>
      <c r="G166" s="43"/>
      <c r="H166" s="43"/>
      <c r="I166" s="148"/>
      <c r="J166" s="43"/>
      <c r="K166" s="43"/>
      <c r="L166" s="148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2"/>
      <c r="B167" s="43"/>
      <c r="C167" s="43"/>
      <c r="D167" s="43"/>
      <c r="E167" s="213"/>
      <c r="F167" s="43"/>
      <c r="G167" s="43"/>
      <c r="H167" s="43"/>
      <c r="I167" s="148"/>
      <c r="J167" s="43"/>
      <c r="K167" s="43"/>
      <c r="L167" s="148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2"/>
      <c r="B168" s="43"/>
      <c r="C168" s="43"/>
      <c r="D168" s="43"/>
      <c r="E168" s="213"/>
      <c r="F168" s="43"/>
      <c r="G168" s="43"/>
      <c r="H168" s="43"/>
      <c r="I168" s="148"/>
      <c r="J168" s="43"/>
      <c r="K168" s="43"/>
      <c r="L168" s="148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2"/>
      <c r="B169" s="43"/>
      <c r="C169" s="43"/>
      <c r="D169" s="43"/>
      <c r="E169" s="213"/>
      <c r="F169" s="43"/>
      <c r="G169" s="43"/>
      <c r="H169" s="43"/>
      <c r="I169" s="148"/>
      <c r="J169" s="43"/>
      <c r="K169" s="43"/>
      <c r="L169" s="148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2"/>
      <c r="B170" s="43"/>
      <c r="C170" s="43"/>
      <c r="D170" s="43"/>
      <c r="E170" s="213"/>
      <c r="F170" s="43"/>
      <c r="G170" s="43"/>
      <c r="H170" s="43"/>
      <c r="I170" s="148"/>
      <c r="J170" s="43"/>
      <c r="K170" s="43"/>
      <c r="L170" s="148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2"/>
      <c r="B171" s="43"/>
      <c r="C171" s="43"/>
      <c r="D171" s="43"/>
      <c r="E171" s="213"/>
      <c r="F171" s="43"/>
      <c r="G171" s="43"/>
      <c r="H171" s="43"/>
      <c r="I171" s="148"/>
      <c r="J171" s="43"/>
      <c r="K171" s="43"/>
      <c r="L171" s="148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2"/>
      <c r="B172" s="43"/>
      <c r="C172" s="43"/>
      <c r="D172" s="43"/>
      <c r="E172" s="213"/>
      <c r="F172" s="43"/>
      <c r="G172" s="43"/>
      <c r="H172" s="43"/>
      <c r="I172" s="148"/>
      <c r="J172" s="43"/>
      <c r="K172" s="43"/>
      <c r="L172" s="148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2"/>
      <c r="B173" s="43"/>
      <c r="C173" s="43"/>
      <c r="D173" s="43"/>
      <c r="E173" s="213"/>
      <c r="F173" s="43"/>
      <c r="G173" s="43"/>
      <c r="H173" s="43"/>
      <c r="I173" s="148"/>
      <c r="J173" s="43"/>
      <c r="K173" s="43"/>
      <c r="L173" s="148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2"/>
      <c r="B174" s="43"/>
      <c r="C174" s="43"/>
      <c r="D174" s="43"/>
      <c r="E174" s="213"/>
      <c r="F174" s="43"/>
      <c r="G174" s="43"/>
      <c r="H174" s="43"/>
      <c r="I174" s="148"/>
      <c r="J174" s="43"/>
      <c r="K174" s="43"/>
      <c r="L174" s="148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2"/>
      <c r="B175" s="43"/>
      <c r="C175" s="43"/>
      <c r="D175" s="43"/>
      <c r="E175" s="213"/>
      <c r="F175" s="43"/>
      <c r="G175" s="43"/>
      <c r="H175" s="43"/>
      <c r="I175" s="148"/>
      <c r="J175" s="43"/>
      <c r="K175" s="43"/>
      <c r="L175" s="148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2"/>
      <c r="B176" s="43"/>
      <c r="C176" s="43"/>
      <c r="D176" s="43"/>
      <c r="E176" s="213"/>
      <c r="F176" s="43"/>
      <c r="G176" s="43"/>
      <c r="H176" s="43"/>
      <c r="I176" s="148"/>
      <c r="J176" s="43"/>
      <c r="K176" s="43"/>
      <c r="L176" s="148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2"/>
      <c r="B177" s="43"/>
      <c r="C177" s="43"/>
      <c r="D177" s="43"/>
      <c r="E177" s="213"/>
      <c r="F177" s="43"/>
      <c r="G177" s="43"/>
      <c r="H177" s="43"/>
      <c r="I177" s="148"/>
      <c r="J177" s="43"/>
      <c r="K177" s="43"/>
      <c r="L177" s="148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2"/>
      <c r="B178" s="43"/>
      <c r="C178" s="43"/>
      <c r="D178" s="43"/>
      <c r="E178" s="213"/>
      <c r="F178" s="43"/>
      <c r="G178" s="43"/>
      <c r="H178" s="43"/>
      <c r="I178" s="148"/>
      <c r="J178" s="43"/>
      <c r="K178" s="43"/>
      <c r="L178" s="148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2"/>
      <c r="B179" s="43"/>
      <c r="C179" s="43"/>
      <c r="D179" s="43"/>
      <c r="E179" s="213"/>
      <c r="F179" s="43"/>
      <c r="G179" s="43"/>
      <c r="H179" s="43"/>
      <c r="I179" s="148"/>
      <c r="J179" s="43"/>
      <c r="K179" s="43"/>
      <c r="L179" s="148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2"/>
      <c r="B180" s="43"/>
      <c r="C180" s="43"/>
      <c r="D180" s="43"/>
      <c r="E180" s="213"/>
      <c r="F180" s="43"/>
      <c r="G180" s="43"/>
      <c r="H180" s="43"/>
      <c r="I180" s="148"/>
      <c r="J180" s="43"/>
      <c r="K180" s="43"/>
      <c r="L180" s="148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2"/>
      <c r="B181" s="43"/>
      <c r="C181" s="43"/>
      <c r="D181" s="43"/>
      <c r="E181" s="213"/>
      <c r="F181" s="43"/>
      <c r="G181" s="43"/>
      <c r="H181" s="43"/>
      <c r="I181" s="148"/>
      <c r="J181" s="43"/>
      <c r="K181" s="43"/>
      <c r="L181" s="148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2"/>
      <c r="B182" s="43"/>
      <c r="C182" s="43"/>
      <c r="D182" s="43"/>
      <c r="E182" s="213"/>
      <c r="F182" s="43"/>
      <c r="G182" s="43"/>
      <c r="H182" s="43"/>
      <c r="I182" s="148"/>
      <c r="J182" s="43"/>
      <c r="K182" s="43"/>
      <c r="L182" s="148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2"/>
      <c r="B183" s="43"/>
      <c r="C183" s="43"/>
      <c r="D183" s="43"/>
      <c r="E183" s="213"/>
      <c r="F183" s="43"/>
      <c r="G183" s="43"/>
      <c r="H183" s="43"/>
      <c r="I183" s="148"/>
      <c r="J183" s="43"/>
      <c r="K183" s="43"/>
      <c r="L183" s="148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2"/>
      <c r="B184" s="43"/>
      <c r="C184" s="43"/>
      <c r="D184" s="43"/>
      <c r="E184" s="213"/>
      <c r="F184" s="43"/>
      <c r="G184" s="43"/>
      <c r="H184" s="43"/>
      <c r="I184" s="148"/>
      <c r="J184" s="43"/>
      <c r="K184" s="43"/>
      <c r="L184" s="148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2"/>
      <c r="B185" s="43"/>
      <c r="C185" s="43"/>
      <c r="D185" s="43"/>
      <c r="E185" s="213"/>
      <c r="F185" s="43"/>
      <c r="G185" s="43"/>
      <c r="H185" s="43"/>
      <c r="I185" s="148"/>
      <c r="J185" s="43"/>
      <c r="K185" s="43"/>
      <c r="L185" s="148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2"/>
      <c r="B186" s="43"/>
      <c r="C186" s="43"/>
      <c r="D186" s="43"/>
      <c r="E186" s="213"/>
      <c r="F186" s="43"/>
      <c r="G186" s="43"/>
      <c r="H186" s="43"/>
      <c r="I186" s="148"/>
      <c r="J186" s="43"/>
      <c r="K186" s="43"/>
      <c r="L186" s="148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2"/>
      <c r="B187" s="43"/>
      <c r="C187" s="43"/>
      <c r="D187" s="43"/>
      <c r="E187" s="213"/>
      <c r="F187" s="43"/>
      <c r="G187" s="43"/>
      <c r="H187" s="43"/>
      <c r="I187" s="148"/>
      <c r="J187" s="43"/>
      <c r="K187" s="43"/>
      <c r="L187" s="148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2"/>
      <c r="B188" s="43"/>
      <c r="C188" s="43"/>
      <c r="D188" s="43"/>
      <c r="E188" s="213"/>
      <c r="F188" s="43"/>
      <c r="G188" s="43"/>
      <c r="H188" s="43"/>
      <c r="I188" s="148"/>
      <c r="J188" s="43"/>
      <c r="K188" s="43"/>
      <c r="L188" s="148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2"/>
      <c r="B189" s="43"/>
      <c r="C189" s="43"/>
      <c r="D189" s="43"/>
      <c r="E189" s="213"/>
      <c r="F189" s="43"/>
      <c r="G189" s="43"/>
      <c r="H189" s="43"/>
      <c r="I189" s="148"/>
      <c r="J189" s="43"/>
      <c r="K189" s="43"/>
      <c r="L189" s="148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2"/>
      <c r="B190" s="43"/>
      <c r="C190" s="43"/>
      <c r="D190" s="43"/>
      <c r="E190" s="213"/>
      <c r="F190" s="43"/>
      <c r="G190" s="43"/>
      <c r="H190" s="43"/>
      <c r="I190" s="148"/>
      <c r="J190" s="43"/>
      <c r="K190" s="43"/>
      <c r="L190" s="148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2"/>
      <c r="B191" s="43"/>
      <c r="C191" s="43"/>
      <c r="D191" s="43"/>
      <c r="E191" s="213"/>
      <c r="F191" s="43"/>
      <c r="G191" s="43"/>
      <c r="H191" s="43"/>
      <c r="I191" s="148"/>
      <c r="J191" s="43"/>
      <c r="K191" s="43"/>
      <c r="L191" s="148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2"/>
      <c r="B192" s="43"/>
      <c r="C192" s="43"/>
      <c r="D192" s="43"/>
      <c r="E192" s="213"/>
      <c r="F192" s="43"/>
      <c r="G192" s="43"/>
      <c r="H192" s="43"/>
      <c r="I192" s="148"/>
      <c r="J192" s="43"/>
      <c r="K192" s="43"/>
      <c r="L192" s="148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2"/>
      <c r="B193" s="43"/>
      <c r="C193" s="43"/>
      <c r="D193" s="43"/>
      <c r="E193" s="213"/>
      <c r="F193" s="43"/>
      <c r="G193" s="43"/>
      <c r="H193" s="43"/>
      <c r="I193" s="148"/>
      <c r="J193" s="43"/>
      <c r="K193" s="43"/>
      <c r="L193" s="148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2"/>
      <c r="B194" s="43"/>
      <c r="C194" s="43"/>
      <c r="D194" s="43"/>
      <c r="E194" s="213"/>
      <c r="F194" s="43"/>
      <c r="G194" s="43"/>
      <c r="H194" s="43"/>
      <c r="I194" s="148"/>
      <c r="J194" s="43"/>
      <c r="K194" s="43"/>
      <c r="L194" s="148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2"/>
      <c r="B195" s="43"/>
      <c r="C195" s="43"/>
      <c r="D195" s="43"/>
      <c r="E195" s="213"/>
      <c r="F195" s="43"/>
      <c r="G195" s="43"/>
      <c r="H195" s="43"/>
      <c r="I195" s="148"/>
      <c r="J195" s="43"/>
      <c r="K195" s="43"/>
      <c r="L195" s="148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2"/>
      <c r="B196" s="43"/>
      <c r="C196" s="43"/>
      <c r="D196" s="43"/>
      <c r="E196" s="213"/>
      <c r="F196" s="43"/>
      <c r="G196" s="43"/>
      <c r="H196" s="43"/>
      <c r="I196" s="148"/>
      <c r="J196" s="43"/>
      <c r="K196" s="43"/>
      <c r="L196" s="148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2"/>
      <c r="B197" s="43"/>
      <c r="C197" s="43"/>
      <c r="D197" s="43"/>
      <c r="E197" s="213"/>
      <c r="F197" s="43"/>
      <c r="G197" s="43"/>
      <c r="H197" s="43"/>
      <c r="I197" s="148"/>
      <c r="J197" s="43"/>
      <c r="K197" s="43"/>
      <c r="L197" s="148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2"/>
      <c r="B198" s="43"/>
      <c r="C198" s="43"/>
      <c r="D198" s="43"/>
      <c r="E198" s="213"/>
      <c r="F198" s="43"/>
      <c r="G198" s="43"/>
      <c r="H198" s="43"/>
      <c r="I198" s="148"/>
      <c r="J198" s="43"/>
      <c r="K198" s="43"/>
      <c r="L198" s="148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2"/>
      <c r="B199" s="43"/>
      <c r="C199" s="43"/>
      <c r="D199" s="43"/>
      <c r="E199" s="213"/>
      <c r="F199" s="43"/>
      <c r="G199" s="43"/>
      <c r="H199" s="43"/>
      <c r="I199" s="148"/>
      <c r="J199" s="43"/>
      <c r="K199" s="43"/>
      <c r="L199" s="148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2"/>
      <c r="B200" s="43"/>
      <c r="C200" s="43"/>
      <c r="D200" s="43"/>
      <c r="E200" s="213"/>
      <c r="F200" s="43"/>
      <c r="G200" s="43"/>
      <c r="H200" s="43"/>
      <c r="I200" s="148"/>
      <c r="J200" s="43"/>
      <c r="K200" s="43"/>
      <c r="L200" s="148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2"/>
      <c r="B201" s="43"/>
      <c r="C201" s="43"/>
      <c r="D201" s="43"/>
      <c r="E201" s="213"/>
      <c r="F201" s="43"/>
      <c r="G201" s="43"/>
      <c r="H201" s="43"/>
      <c r="I201" s="148"/>
      <c r="J201" s="43"/>
      <c r="K201" s="43"/>
      <c r="L201" s="148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2"/>
      <c r="B202" s="43"/>
      <c r="C202" s="43"/>
      <c r="D202" s="43"/>
      <c r="E202" s="213"/>
      <c r="F202" s="43"/>
      <c r="G202" s="43"/>
      <c r="H202" s="43"/>
      <c r="I202" s="148"/>
      <c r="J202" s="43"/>
      <c r="K202" s="43"/>
      <c r="L202" s="148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2"/>
      <c r="B203" s="43"/>
      <c r="C203" s="43"/>
      <c r="D203" s="43"/>
      <c r="E203" s="213"/>
      <c r="F203" s="43"/>
      <c r="G203" s="43"/>
      <c r="H203" s="43"/>
      <c r="I203" s="148"/>
      <c r="J203" s="43"/>
      <c r="K203" s="43"/>
      <c r="L203" s="148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2"/>
      <c r="B204" s="43"/>
      <c r="C204" s="43"/>
      <c r="D204" s="43"/>
      <c r="E204" s="213"/>
      <c r="F204" s="43"/>
      <c r="G204" s="43"/>
      <c r="H204" s="43"/>
      <c r="I204" s="148"/>
      <c r="J204" s="43"/>
      <c r="K204" s="43"/>
      <c r="L204" s="148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2"/>
      <c r="B205" s="43"/>
      <c r="C205" s="43"/>
      <c r="D205" s="43"/>
      <c r="E205" s="213"/>
      <c r="F205" s="43"/>
      <c r="G205" s="43"/>
      <c r="H205" s="43"/>
      <c r="I205" s="148"/>
      <c r="J205" s="43"/>
      <c r="K205" s="43"/>
      <c r="L205" s="148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2"/>
      <c r="B206" s="43"/>
      <c r="C206" s="43"/>
      <c r="D206" s="43"/>
      <c r="E206" s="213"/>
      <c r="F206" s="43"/>
      <c r="G206" s="43"/>
      <c r="H206" s="43"/>
      <c r="I206" s="148"/>
      <c r="J206" s="43"/>
      <c r="K206" s="43"/>
      <c r="L206" s="148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2"/>
      <c r="B207" s="43"/>
      <c r="C207" s="43"/>
      <c r="D207" s="43"/>
      <c r="E207" s="213"/>
      <c r="F207" s="43"/>
      <c r="G207" s="43"/>
      <c r="H207" s="43"/>
      <c r="I207" s="148"/>
      <c r="J207" s="43"/>
      <c r="K207" s="43"/>
      <c r="L207" s="148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2"/>
      <c r="B208" s="43"/>
      <c r="C208" s="43"/>
      <c r="D208" s="43"/>
      <c r="E208" s="213"/>
      <c r="F208" s="43"/>
      <c r="G208" s="43"/>
      <c r="H208" s="43"/>
      <c r="I208" s="148"/>
      <c r="J208" s="43"/>
      <c r="K208" s="43"/>
      <c r="L208" s="148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2"/>
      <c r="B209" s="43"/>
      <c r="C209" s="43"/>
      <c r="D209" s="43"/>
      <c r="E209" s="213"/>
      <c r="F209" s="43"/>
      <c r="G209" s="43"/>
      <c r="H209" s="43"/>
      <c r="I209" s="148"/>
      <c r="J209" s="43"/>
      <c r="K209" s="43"/>
      <c r="L209" s="148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2"/>
      <c r="B210" s="43"/>
      <c r="C210" s="43"/>
      <c r="D210" s="43"/>
      <c r="E210" s="213"/>
      <c r="F210" s="43"/>
      <c r="G210" s="43"/>
      <c r="H210" s="43"/>
      <c r="I210" s="148"/>
      <c r="J210" s="43"/>
      <c r="K210" s="43"/>
      <c r="L210" s="148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2"/>
      <c r="B211" s="43"/>
      <c r="C211" s="43"/>
      <c r="D211" s="43"/>
      <c r="E211" s="213"/>
      <c r="F211" s="43"/>
      <c r="G211" s="43"/>
      <c r="H211" s="43"/>
      <c r="I211" s="148"/>
      <c r="J211" s="43"/>
      <c r="K211" s="43"/>
      <c r="L211" s="148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2"/>
      <c r="B212" s="43"/>
      <c r="C212" s="43"/>
      <c r="D212" s="43"/>
      <c r="E212" s="213"/>
      <c r="F212" s="43"/>
      <c r="G212" s="43"/>
      <c r="H212" s="43"/>
      <c r="I212" s="148"/>
      <c r="J212" s="43"/>
      <c r="K212" s="43"/>
      <c r="L212" s="148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2"/>
      <c r="B213" s="43"/>
      <c r="C213" s="43"/>
      <c r="D213" s="43"/>
      <c r="E213" s="213"/>
      <c r="F213" s="43"/>
      <c r="G213" s="43"/>
      <c r="H213" s="43"/>
      <c r="I213" s="148"/>
      <c r="J213" s="43"/>
      <c r="K213" s="43"/>
      <c r="L213" s="148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2"/>
      <c r="B214" s="43"/>
      <c r="C214" s="43"/>
      <c r="D214" s="43"/>
      <c r="E214" s="213"/>
      <c r="F214" s="43"/>
      <c r="G214" s="43"/>
      <c r="H214" s="43"/>
      <c r="I214" s="148"/>
      <c r="J214" s="43"/>
      <c r="K214" s="43"/>
      <c r="L214" s="148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2"/>
      <c r="B215" s="43"/>
      <c r="C215" s="43"/>
      <c r="D215" s="43"/>
      <c r="E215" s="213"/>
      <c r="F215" s="43"/>
      <c r="G215" s="43"/>
      <c r="H215" s="43"/>
      <c r="I215" s="148"/>
      <c r="J215" s="43"/>
      <c r="K215" s="43"/>
      <c r="L215" s="148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2"/>
      <c r="B216" s="43"/>
      <c r="C216" s="43"/>
      <c r="D216" s="43"/>
      <c r="E216" s="213"/>
      <c r="F216" s="43"/>
      <c r="G216" s="43"/>
      <c r="H216" s="43"/>
      <c r="I216" s="148"/>
      <c r="J216" s="43"/>
      <c r="K216" s="43"/>
      <c r="L216" s="148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2"/>
      <c r="B217" s="43"/>
      <c r="C217" s="43"/>
      <c r="D217" s="43"/>
      <c r="E217" s="213"/>
      <c r="F217" s="43"/>
      <c r="G217" s="43"/>
      <c r="H217" s="43"/>
      <c r="I217" s="148"/>
      <c r="J217" s="43"/>
      <c r="K217" s="43"/>
      <c r="L217" s="148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2"/>
      <c r="B218" s="43"/>
      <c r="C218" s="43"/>
      <c r="D218" s="43"/>
      <c r="E218" s="213"/>
      <c r="F218" s="43"/>
      <c r="G218" s="43"/>
      <c r="H218" s="43"/>
      <c r="I218" s="148"/>
      <c r="J218" s="43"/>
      <c r="K218" s="43"/>
      <c r="L218" s="148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2"/>
      <c r="B219" s="43"/>
      <c r="C219" s="43"/>
      <c r="D219" s="43"/>
      <c r="E219" s="213"/>
      <c r="F219" s="43"/>
      <c r="G219" s="43"/>
      <c r="H219" s="43"/>
      <c r="I219" s="148"/>
      <c r="J219" s="43"/>
      <c r="K219" s="43"/>
      <c r="L219" s="148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2"/>
      <c r="B220" s="43"/>
      <c r="C220" s="43"/>
      <c r="D220" s="43"/>
      <c r="E220" s="213"/>
      <c r="F220" s="43"/>
      <c r="G220" s="43"/>
      <c r="H220" s="43"/>
      <c r="I220" s="148"/>
      <c r="J220" s="43"/>
      <c r="K220" s="43"/>
      <c r="L220" s="148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2"/>
      <c r="B221" s="43"/>
      <c r="C221" s="43"/>
      <c r="D221" s="43"/>
      <c r="E221" s="213"/>
      <c r="F221" s="43"/>
      <c r="G221" s="43"/>
      <c r="H221" s="43"/>
      <c r="I221" s="148"/>
      <c r="J221" s="43"/>
      <c r="K221" s="43"/>
      <c r="L221" s="148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2"/>
      <c r="B222" s="43"/>
      <c r="C222" s="43"/>
      <c r="D222" s="43"/>
      <c r="E222" s="213"/>
      <c r="F222" s="43"/>
      <c r="G222" s="43"/>
      <c r="H222" s="43"/>
      <c r="I222" s="148"/>
      <c r="J222" s="43"/>
      <c r="K222" s="43"/>
      <c r="L222" s="148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2"/>
      <c r="B223" s="43"/>
      <c r="C223" s="43"/>
      <c r="D223" s="43"/>
      <c r="E223" s="213"/>
      <c r="F223" s="43"/>
      <c r="G223" s="43"/>
      <c r="H223" s="43"/>
      <c r="I223" s="148"/>
      <c r="J223" s="43"/>
      <c r="K223" s="43"/>
      <c r="L223" s="148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2"/>
      <c r="B224" s="43"/>
      <c r="C224" s="43"/>
      <c r="D224" s="43"/>
      <c r="E224" s="213"/>
      <c r="F224" s="43"/>
      <c r="G224" s="43"/>
      <c r="H224" s="43"/>
      <c r="I224" s="148"/>
      <c r="J224" s="43"/>
      <c r="K224" s="43"/>
      <c r="L224" s="148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2"/>
      <c r="B225" s="43"/>
      <c r="C225" s="43"/>
      <c r="D225" s="43"/>
      <c r="E225" s="213"/>
      <c r="F225" s="43"/>
      <c r="G225" s="43"/>
      <c r="H225" s="43"/>
      <c r="I225" s="148"/>
      <c r="J225" s="43"/>
      <c r="K225" s="43"/>
      <c r="L225" s="148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2"/>
      <c r="B226" s="43"/>
      <c r="C226" s="43"/>
      <c r="D226" s="43"/>
      <c r="E226" s="213"/>
      <c r="F226" s="43"/>
      <c r="G226" s="43"/>
      <c r="H226" s="43"/>
      <c r="I226" s="148"/>
      <c r="J226" s="43"/>
      <c r="K226" s="43"/>
      <c r="L226" s="148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2"/>
      <c r="B227" s="43"/>
      <c r="C227" s="43"/>
      <c r="D227" s="43"/>
      <c r="E227" s="213"/>
      <c r="F227" s="43"/>
      <c r="G227" s="43"/>
      <c r="H227" s="43"/>
      <c r="I227" s="148"/>
      <c r="J227" s="43"/>
      <c r="K227" s="43"/>
      <c r="L227" s="148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2"/>
      <c r="B228" s="43"/>
      <c r="C228" s="43"/>
      <c r="D228" s="43"/>
      <c r="E228" s="213"/>
      <c r="F228" s="43"/>
      <c r="G228" s="43"/>
      <c r="H228" s="43"/>
      <c r="I228" s="148"/>
      <c r="J228" s="43"/>
      <c r="K228" s="43"/>
      <c r="L228" s="148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2"/>
      <c r="B229" s="43"/>
      <c r="C229" s="43"/>
      <c r="D229" s="43"/>
      <c r="E229" s="213"/>
      <c r="F229" s="43"/>
      <c r="G229" s="43"/>
      <c r="H229" s="43"/>
      <c r="I229" s="148"/>
      <c r="J229" s="43"/>
      <c r="K229" s="43"/>
      <c r="L229" s="148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2"/>
      <c r="B230" s="43"/>
      <c r="C230" s="43"/>
      <c r="D230" s="43"/>
      <c r="E230" s="213"/>
      <c r="F230" s="43"/>
      <c r="G230" s="43"/>
      <c r="H230" s="43"/>
      <c r="I230" s="148"/>
      <c r="J230" s="43"/>
      <c r="K230" s="43"/>
      <c r="L230" s="148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2"/>
      <c r="B231" s="43"/>
      <c r="C231" s="43"/>
      <c r="D231" s="43"/>
      <c r="E231" s="213"/>
      <c r="F231" s="43"/>
      <c r="G231" s="43"/>
      <c r="H231" s="43"/>
      <c r="I231" s="148"/>
      <c r="J231" s="43"/>
      <c r="K231" s="43"/>
      <c r="L231" s="148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2"/>
      <c r="B232" s="43"/>
      <c r="C232" s="43"/>
      <c r="D232" s="43"/>
      <c r="E232" s="213"/>
      <c r="F232" s="43"/>
      <c r="G232" s="43"/>
      <c r="H232" s="43"/>
      <c r="I232" s="148"/>
      <c r="J232" s="43"/>
      <c r="K232" s="43"/>
      <c r="L232" s="148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2"/>
      <c r="B233" s="43"/>
      <c r="C233" s="43"/>
      <c r="D233" s="43"/>
      <c r="E233" s="213"/>
      <c r="F233" s="43"/>
      <c r="G233" s="43"/>
      <c r="H233" s="43"/>
      <c r="I233" s="148"/>
      <c r="J233" s="43"/>
      <c r="K233" s="43"/>
      <c r="L233" s="148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2"/>
      <c r="B234" s="43"/>
      <c r="C234" s="43"/>
      <c r="D234" s="43"/>
      <c r="E234" s="213"/>
      <c r="F234" s="43"/>
      <c r="G234" s="43"/>
      <c r="H234" s="43"/>
      <c r="I234" s="148"/>
      <c r="J234" s="43"/>
      <c r="K234" s="43"/>
      <c r="L234" s="148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2"/>
      <c r="B235" s="43"/>
      <c r="C235" s="43"/>
      <c r="D235" s="43"/>
      <c r="E235" s="213"/>
      <c r="F235" s="43"/>
      <c r="G235" s="43"/>
      <c r="H235" s="43"/>
      <c r="I235" s="148"/>
      <c r="J235" s="43"/>
      <c r="K235" s="43"/>
      <c r="L235" s="148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2"/>
      <c r="B236" s="43"/>
      <c r="C236" s="43"/>
      <c r="D236" s="43"/>
      <c r="E236" s="213"/>
      <c r="F236" s="43"/>
      <c r="G236" s="43"/>
      <c r="H236" s="43"/>
      <c r="I236" s="148"/>
      <c r="J236" s="43"/>
      <c r="K236" s="43"/>
      <c r="L236" s="148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2"/>
      <c r="B237" s="43"/>
      <c r="C237" s="43"/>
      <c r="D237" s="43"/>
      <c r="E237" s="213"/>
      <c r="F237" s="43"/>
      <c r="G237" s="43"/>
      <c r="H237" s="43"/>
      <c r="I237" s="148"/>
      <c r="J237" s="43"/>
      <c r="K237" s="43"/>
      <c r="L237" s="148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2"/>
      <c r="B238" s="43"/>
      <c r="C238" s="43"/>
      <c r="D238" s="43"/>
      <c r="E238" s="213"/>
      <c r="F238" s="43"/>
      <c r="G238" s="43"/>
      <c r="H238" s="43"/>
      <c r="I238" s="148"/>
      <c r="J238" s="43"/>
      <c r="K238" s="43"/>
      <c r="L238" s="148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2"/>
      <c r="B239" s="43"/>
      <c r="C239" s="43"/>
      <c r="D239" s="43"/>
      <c r="E239" s="213"/>
      <c r="F239" s="43"/>
      <c r="G239" s="43"/>
      <c r="H239" s="43"/>
      <c r="I239" s="148"/>
      <c r="J239" s="43"/>
      <c r="K239" s="43"/>
      <c r="L239" s="148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2"/>
      <c r="B240" s="43"/>
      <c r="C240" s="43"/>
      <c r="D240" s="43"/>
      <c r="E240" s="213"/>
      <c r="F240" s="43"/>
      <c r="G240" s="43"/>
      <c r="H240" s="43"/>
      <c r="I240" s="148"/>
      <c r="J240" s="43"/>
      <c r="K240" s="43"/>
      <c r="L240" s="148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2"/>
      <c r="B241" s="43"/>
      <c r="C241" s="43"/>
      <c r="D241" s="43"/>
      <c r="E241" s="213"/>
      <c r="F241" s="43"/>
      <c r="G241" s="43"/>
      <c r="H241" s="43"/>
      <c r="I241" s="148"/>
      <c r="J241" s="43"/>
      <c r="K241" s="43"/>
      <c r="L241" s="148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2"/>
      <c r="B242" s="43"/>
      <c r="C242" s="43"/>
      <c r="D242" s="43"/>
      <c r="E242" s="213"/>
      <c r="F242" s="43"/>
      <c r="G242" s="43"/>
      <c r="H242" s="43"/>
      <c r="I242" s="148"/>
      <c r="J242" s="43"/>
      <c r="K242" s="43"/>
      <c r="L242" s="148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2"/>
      <c r="B243" s="43"/>
      <c r="C243" s="43"/>
      <c r="D243" s="43"/>
      <c r="E243" s="213"/>
      <c r="F243" s="43"/>
      <c r="G243" s="43"/>
      <c r="H243" s="43"/>
      <c r="I243" s="148"/>
      <c r="J243" s="43"/>
      <c r="K243" s="43"/>
      <c r="L243" s="148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2"/>
      <c r="B244" s="43"/>
      <c r="C244" s="43"/>
      <c r="D244" s="43"/>
      <c r="E244" s="213"/>
      <c r="F244" s="43"/>
      <c r="G244" s="43"/>
      <c r="H244" s="43"/>
      <c r="I244" s="148"/>
      <c r="J244" s="43"/>
      <c r="K244" s="43"/>
      <c r="L244" s="148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2"/>
      <c r="B245" s="43"/>
      <c r="C245" s="43"/>
      <c r="D245" s="43"/>
      <c r="E245" s="213"/>
      <c r="F245" s="43"/>
      <c r="G245" s="43"/>
      <c r="H245" s="43"/>
      <c r="I245" s="148"/>
      <c r="J245" s="43"/>
      <c r="K245" s="43"/>
      <c r="L245" s="148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2"/>
      <c r="B246" s="43"/>
      <c r="C246" s="43"/>
      <c r="D246" s="43"/>
      <c r="E246" s="213"/>
      <c r="F246" s="43"/>
      <c r="G246" s="43"/>
      <c r="H246" s="43"/>
      <c r="I246" s="148"/>
      <c r="J246" s="43"/>
      <c r="K246" s="43"/>
      <c r="L246" s="148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2"/>
      <c r="B247" s="43"/>
      <c r="C247" s="43"/>
      <c r="D247" s="43"/>
      <c r="E247" s="213"/>
      <c r="F247" s="43"/>
      <c r="G247" s="43"/>
      <c r="H247" s="43"/>
      <c r="I247" s="148"/>
      <c r="J247" s="43"/>
      <c r="K247" s="43"/>
      <c r="L247" s="148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2"/>
      <c r="B248" s="43"/>
      <c r="C248" s="43"/>
      <c r="D248" s="43"/>
      <c r="E248" s="213"/>
      <c r="F248" s="43"/>
      <c r="G248" s="43"/>
      <c r="H248" s="43"/>
      <c r="I248" s="148"/>
      <c r="J248" s="43"/>
      <c r="K248" s="43"/>
      <c r="L248" s="148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2"/>
      <c r="B249" s="43"/>
      <c r="C249" s="43"/>
      <c r="D249" s="43"/>
      <c r="E249" s="213"/>
      <c r="F249" s="43"/>
      <c r="G249" s="43"/>
      <c r="H249" s="43"/>
      <c r="I249" s="148"/>
      <c r="J249" s="43"/>
      <c r="K249" s="43"/>
      <c r="L249" s="148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2"/>
      <c r="B250" s="43"/>
      <c r="C250" s="43"/>
      <c r="D250" s="43"/>
      <c r="E250" s="213"/>
      <c r="F250" s="43"/>
      <c r="G250" s="43"/>
      <c r="H250" s="43"/>
      <c r="I250" s="148"/>
      <c r="J250" s="43"/>
      <c r="K250" s="43"/>
      <c r="L250" s="148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2"/>
      <c r="B251" s="43"/>
      <c r="C251" s="43"/>
      <c r="D251" s="43"/>
      <c r="E251" s="213"/>
      <c r="F251" s="43"/>
      <c r="G251" s="43"/>
      <c r="H251" s="43"/>
      <c r="I251" s="148"/>
      <c r="J251" s="43"/>
      <c r="K251" s="43"/>
      <c r="L251" s="148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2"/>
      <c r="B252" s="43"/>
      <c r="C252" s="43"/>
      <c r="D252" s="43"/>
      <c r="E252" s="213"/>
      <c r="F252" s="43"/>
      <c r="G252" s="43"/>
      <c r="H252" s="43"/>
      <c r="I252" s="148"/>
      <c r="J252" s="43"/>
      <c r="K252" s="43"/>
      <c r="L252" s="148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2"/>
      <c r="B253" s="43"/>
      <c r="C253" s="43"/>
      <c r="D253" s="43"/>
      <c r="E253" s="213"/>
      <c r="F253" s="43"/>
      <c r="G253" s="43"/>
      <c r="H253" s="43"/>
      <c r="I253" s="148"/>
      <c r="J253" s="43"/>
      <c r="K253" s="43"/>
      <c r="L253" s="148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2"/>
      <c r="B254" s="43"/>
      <c r="C254" s="43"/>
      <c r="D254" s="43"/>
      <c r="E254" s="213"/>
      <c r="F254" s="43"/>
      <c r="G254" s="43"/>
      <c r="H254" s="43"/>
      <c r="I254" s="148"/>
      <c r="J254" s="43"/>
      <c r="K254" s="43"/>
      <c r="L254" s="148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2"/>
      <c r="B255" s="43"/>
      <c r="C255" s="43"/>
      <c r="D255" s="43"/>
      <c r="E255" s="213"/>
      <c r="F255" s="43"/>
      <c r="G255" s="43"/>
      <c r="H255" s="43"/>
      <c r="I255" s="148"/>
      <c r="J255" s="43"/>
      <c r="K255" s="43"/>
      <c r="L255" s="148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5.75" customHeight="1">
      <c r="A256" s="2"/>
      <c r="B256" s="43"/>
      <c r="C256" s="43"/>
      <c r="D256" s="43"/>
      <c r="E256" s="213"/>
      <c r="F256" s="43"/>
      <c r="G256" s="43"/>
      <c r="H256" s="43"/>
      <c r="I256" s="148"/>
      <c r="J256" s="43"/>
      <c r="K256" s="43"/>
      <c r="L256" s="148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 ht="15.75" customHeight="1">
      <c r="A257" s="2"/>
      <c r="B257" s="43"/>
      <c r="C257" s="43"/>
      <c r="D257" s="43"/>
      <c r="E257" s="213"/>
      <c r="F257" s="43"/>
      <c r="G257" s="43"/>
      <c r="H257" s="43"/>
      <c r="I257" s="148"/>
      <c r="J257" s="43"/>
      <c r="K257" s="43"/>
      <c r="L257" s="148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 ht="15.75" customHeight="1">
      <c r="A258" s="2"/>
      <c r="B258" s="43"/>
      <c r="C258" s="43"/>
      <c r="D258" s="43"/>
      <c r="E258" s="213"/>
      <c r="F258" s="43"/>
      <c r="G258" s="43"/>
      <c r="H258" s="43"/>
      <c r="I258" s="148"/>
      <c r="J258" s="43"/>
      <c r="K258" s="43"/>
      <c r="L258" s="148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 ht="15.75" customHeight="1">
      <c r="A259" s="2"/>
      <c r="B259" s="43"/>
      <c r="C259" s="43"/>
      <c r="D259" s="43"/>
      <c r="E259" s="213"/>
      <c r="F259" s="43"/>
      <c r="G259" s="43"/>
      <c r="H259" s="43"/>
      <c r="I259" s="148"/>
      <c r="J259" s="43"/>
      <c r="K259" s="43"/>
      <c r="L259" s="148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 ht="15.75" customHeight="1">
      <c r="A260" s="2"/>
      <c r="B260" s="43"/>
      <c r="C260" s="43"/>
      <c r="D260" s="43"/>
      <c r="E260" s="213"/>
      <c r="F260" s="43"/>
      <c r="G260" s="43"/>
      <c r="H260" s="43"/>
      <c r="I260" s="148"/>
      <c r="J260" s="43"/>
      <c r="K260" s="43"/>
      <c r="L260" s="148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 ht="15.75" customHeight="1">
      <c r="A261" s="2"/>
      <c r="B261" s="43"/>
      <c r="C261" s="43"/>
      <c r="D261" s="43"/>
      <c r="E261" s="213"/>
      <c r="F261" s="43"/>
      <c r="G261" s="43"/>
      <c r="H261" s="43"/>
      <c r="I261" s="148"/>
      <c r="J261" s="43"/>
      <c r="K261" s="43"/>
      <c r="L261" s="148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 ht="15.75" customHeight="1">
      <c r="A262" s="2"/>
      <c r="B262" s="43"/>
      <c r="C262" s="43"/>
      <c r="D262" s="43"/>
      <c r="E262" s="213"/>
      <c r="F262" s="43"/>
      <c r="G262" s="43"/>
      <c r="H262" s="43"/>
      <c r="I262" s="148"/>
      <c r="J262" s="43"/>
      <c r="K262" s="43"/>
      <c r="L262" s="148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 ht="15.75" customHeight="1">
      <c r="A263" s="2"/>
      <c r="B263" s="43"/>
      <c r="C263" s="43"/>
      <c r="D263" s="43"/>
      <c r="E263" s="213"/>
      <c r="F263" s="43"/>
      <c r="G263" s="43"/>
      <c r="H263" s="43"/>
      <c r="I263" s="148"/>
      <c r="J263" s="43"/>
      <c r="K263" s="43"/>
      <c r="L263" s="148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 ht="15.75" customHeight="1">
      <c r="A264" s="2"/>
      <c r="B264" s="43"/>
      <c r="C264" s="43"/>
      <c r="D264" s="43"/>
      <c r="E264" s="213"/>
      <c r="F264" s="43"/>
      <c r="G264" s="43"/>
      <c r="H264" s="43"/>
      <c r="I264" s="148"/>
      <c r="J264" s="43"/>
      <c r="K264" s="43"/>
      <c r="L264" s="148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 ht="15.75" customHeight="1">
      <c r="A265" s="2"/>
      <c r="B265" s="43"/>
      <c r="C265" s="43"/>
      <c r="D265" s="43"/>
      <c r="E265" s="213"/>
      <c r="F265" s="43"/>
      <c r="G265" s="43"/>
      <c r="H265" s="43"/>
      <c r="I265" s="148"/>
      <c r="J265" s="43"/>
      <c r="K265" s="43"/>
      <c r="L265" s="148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 ht="15.75" customHeight="1">
      <c r="A266" s="2"/>
      <c r="B266" s="43"/>
      <c r="C266" s="43"/>
      <c r="D266" s="43"/>
      <c r="E266" s="213"/>
      <c r="F266" s="43"/>
      <c r="G266" s="43"/>
      <c r="H266" s="43"/>
      <c r="I266" s="148"/>
      <c r="J266" s="43"/>
      <c r="K266" s="43"/>
      <c r="L266" s="148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 ht="15.75" customHeight="1">
      <c r="A267" s="2"/>
      <c r="B267" s="43"/>
      <c r="C267" s="43"/>
      <c r="D267" s="43"/>
      <c r="E267" s="213"/>
      <c r="F267" s="43"/>
      <c r="G267" s="43"/>
      <c r="H267" s="43"/>
      <c r="I267" s="148"/>
      <c r="J267" s="43"/>
      <c r="K267" s="43"/>
      <c r="L267" s="148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 ht="14.25" customHeight="1">
      <c r="E268" s="214"/>
      <c r="I268" s="215"/>
      <c r="L268" s="215"/>
    </row>
    <row r="269" spans="1:38" ht="14.25" customHeight="1">
      <c r="E269" s="214"/>
      <c r="I269" s="215"/>
      <c r="L269" s="215"/>
    </row>
    <row r="270" spans="1:38" ht="14.25" customHeight="1">
      <c r="E270" s="214"/>
      <c r="I270" s="215"/>
      <c r="L270" s="215"/>
    </row>
    <row r="271" spans="1:38" ht="14.25" customHeight="1">
      <c r="E271" s="214"/>
      <c r="I271" s="215"/>
      <c r="L271" s="215"/>
    </row>
    <row r="272" spans="1:38" ht="14.25" customHeight="1">
      <c r="E272" s="214"/>
      <c r="I272" s="215"/>
      <c r="L272" s="215"/>
    </row>
    <row r="273" spans="5:12" ht="14.25" customHeight="1">
      <c r="E273" s="214"/>
      <c r="I273" s="215"/>
      <c r="L273" s="215"/>
    </row>
    <row r="274" spans="5:12" ht="14.25" customHeight="1">
      <c r="E274" s="214"/>
      <c r="I274" s="215"/>
      <c r="L274" s="215"/>
    </row>
    <row r="275" spans="5:12" ht="14.25" customHeight="1">
      <c r="E275" s="214"/>
      <c r="I275" s="215"/>
      <c r="L275" s="215"/>
    </row>
    <row r="276" spans="5:12" ht="14.25" customHeight="1">
      <c r="E276" s="214"/>
      <c r="I276" s="215"/>
      <c r="L276" s="215"/>
    </row>
    <row r="277" spans="5:12" ht="14.25" customHeight="1">
      <c r="E277" s="214"/>
      <c r="I277" s="215"/>
      <c r="L277" s="215"/>
    </row>
    <row r="278" spans="5:12" ht="14.25" customHeight="1">
      <c r="E278" s="214"/>
      <c r="I278" s="215"/>
      <c r="L278" s="215"/>
    </row>
    <row r="279" spans="5:12" ht="14.25" customHeight="1">
      <c r="E279" s="214"/>
      <c r="I279" s="215"/>
      <c r="L279" s="215"/>
    </row>
    <row r="280" spans="5:12" ht="14.25" customHeight="1">
      <c r="E280" s="214"/>
      <c r="I280" s="215"/>
      <c r="L280" s="215"/>
    </row>
    <row r="281" spans="5:12" ht="14.25" customHeight="1">
      <c r="E281" s="214"/>
      <c r="I281" s="215"/>
      <c r="L281" s="215"/>
    </row>
    <row r="282" spans="5:12" ht="14.25" customHeight="1">
      <c r="E282" s="214"/>
      <c r="I282" s="215"/>
      <c r="L282" s="215"/>
    </row>
    <row r="283" spans="5:12" ht="14.25" customHeight="1">
      <c r="E283" s="214"/>
      <c r="I283" s="215"/>
      <c r="L283" s="215"/>
    </row>
    <row r="284" spans="5:12" ht="14.25" customHeight="1">
      <c r="E284" s="214"/>
      <c r="I284" s="215"/>
      <c r="L284" s="215"/>
    </row>
    <row r="285" spans="5:12" ht="14.25" customHeight="1">
      <c r="E285" s="214"/>
      <c r="I285" s="215"/>
      <c r="L285" s="215"/>
    </row>
    <row r="286" spans="5:12" ht="14.25" customHeight="1">
      <c r="E286" s="214"/>
      <c r="I286" s="215"/>
      <c r="L286" s="215"/>
    </row>
    <row r="287" spans="5:12" ht="14.25" customHeight="1">
      <c r="E287" s="214"/>
      <c r="I287" s="215"/>
      <c r="L287" s="215"/>
    </row>
    <row r="288" spans="5:12" ht="14.25" customHeight="1">
      <c r="E288" s="214"/>
      <c r="I288" s="215"/>
      <c r="L288" s="215"/>
    </row>
    <row r="289" spans="5:12" ht="14.25" customHeight="1">
      <c r="E289" s="214"/>
      <c r="I289" s="215"/>
      <c r="L289" s="215"/>
    </row>
    <row r="290" spans="5:12" ht="14.25" customHeight="1">
      <c r="E290" s="214"/>
      <c r="I290" s="215"/>
      <c r="L290" s="215"/>
    </row>
    <row r="291" spans="5:12" ht="14.25" customHeight="1">
      <c r="E291" s="214"/>
      <c r="I291" s="215"/>
      <c r="L291" s="215"/>
    </row>
    <row r="292" spans="5:12" ht="14.25" customHeight="1">
      <c r="E292" s="214"/>
      <c r="I292" s="215"/>
      <c r="L292" s="215"/>
    </row>
    <row r="293" spans="5:12" ht="14.25" customHeight="1">
      <c r="E293" s="214"/>
      <c r="I293" s="215"/>
      <c r="L293" s="215"/>
    </row>
    <row r="294" spans="5:12" ht="14.25" customHeight="1">
      <c r="E294" s="214"/>
      <c r="I294" s="215"/>
      <c r="L294" s="215"/>
    </row>
    <row r="295" spans="5:12" ht="14.25" customHeight="1">
      <c r="E295" s="214"/>
      <c r="I295" s="215"/>
      <c r="L295" s="215"/>
    </row>
    <row r="296" spans="5:12" ht="14.25" customHeight="1">
      <c r="E296" s="214"/>
      <c r="I296" s="215"/>
      <c r="L296" s="215"/>
    </row>
    <row r="297" spans="5:12" ht="14.25" customHeight="1">
      <c r="E297" s="214"/>
      <c r="I297" s="215"/>
      <c r="L297" s="215"/>
    </row>
    <row r="298" spans="5:12" ht="14.25" customHeight="1">
      <c r="E298" s="214"/>
      <c r="I298" s="215"/>
      <c r="L298" s="215"/>
    </row>
    <row r="299" spans="5:12" ht="14.25" customHeight="1">
      <c r="E299" s="214"/>
      <c r="I299" s="215"/>
      <c r="L299" s="215"/>
    </row>
    <row r="300" spans="5:12" ht="14.25" customHeight="1">
      <c r="E300" s="214"/>
      <c r="I300" s="215"/>
      <c r="L300" s="215"/>
    </row>
    <row r="301" spans="5:12" ht="14.25" customHeight="1">
      <c r="E301" s="214"/>
      <c r="I301" s="215"/>
      <c r="L301" s="215"/>
    </row>
    <row r="302" spans="5:12" ht="14.25" customHeight="1">
      <c r="E302" s="214"/>
      <c r="I302" s="215"/>
      <c r="L302" s="215"/>
    </row>
    <row r="303" spans="5:12" ht="14.25" customHeight="1">
      <c r="E303" s="214"/>
      <c r="I303" s="215"/>
      <c r="L303" s="215"/>
    </row>
    <row r="304" spans="5:12" ht="14.25" customHeight="1">
      <c r="E304" s="214"/>
      <c r="I304" s="215"/>
      <c r="L304" s="215"/>
    </row>
    <row r="305" spans="5:12" ht="14.25" customHeight="1">
      <c r="E305" s="214"/>
      <c r="I305" s="215"/>
      <c r="L305" s="215"/>
    </row>
    <row r="306" spans="5:12" ht="14.25" customHeight="1">
      <c r="E306" s="214"/>
      <c r="I306" s="215"/>
      <c r="L306" s="215"/>
    </row>
    <row r="307" spans="5:12" ht="14.25" customHeight="1">
      <c r="E307" s="214"/>
      <c r="I307" s="215"/>
      <c r="L307" s="215"/>
    </row>
    <row r="308" spans="5:12" ht="14.25" customHeight="1">
      <c r="E308" s="214"/>
      <c r="I308" s="215"/>
      <c r="L308" s="215"/>
    </row>
    <row r="309" spans="5:12" ht="14.25" customHeight="1">
      <c r="E309" s="214"/>
      <c r="I309" s="215"/>
      <c r="L309" s="215"/>
    </row>
    <row r="310" spans="5:12" ht="14.25" customHeight="1">
      <c r="E310" s="214"/>
      <c r="I310" s="215"/>
      <c r="L310" s="215"/>
    </row>
    <row r="311" spans="5:12" ht="14.25" customHeight="1">
      <c r="E311" s="214"/>
      <c r="I311" s="215"/>
      <c r="L311" s="215"/>
    </row>
    <row r="312" spans="5:12" ht="14.25" customHeight="1">
      <c r="E312" s="214"/>
      <c r="I312" s="215"/>
      <c r="L312" s="215"/>
    </row>
    <row r="313" spans="5:12" ht="14.25" customHeight="1">
      <c r="E313" s="214"/>
      <c r="I313" s="215"/>
      <c r="L313" s="215"/>
    </row>
    <row r="314" spans="5:12" ht="14.25" customHeight="1">
      <c r="E314" s="214"/>
      <c r="I314" s="215"/>
      <c r="L314" s="215"/>
    </row>
    <row r="315" spans="5:12" ht="14.25" customHeight="1">
      <c r="E315" s="214"/>
      <c r="I315" s="215"/>
      <c r="L315" s="215"/>
    </row>
    <row r="316" spans="5:12" ht="14.25" customHeight="1">
      <c r="E316" s="214"/>
      <c r="I316" s="215"/>
      <c r="L316" s="215"/>
    </row>
    <row r="317" spans="5:12" ht="14.25" customHeight="1">
      <c r="E317" s="214"/>
      <c r="I317" s="215"/>
      <c r="L317" s="215"/>
    </row>
    <row r="318" spans="5:12" ht="14.25" customHeight="1">
      <c r="E318" s="214"/>
      <c r="I318" s="215"/>
      <c r="L318" s="215"/>
    </row>
    <row r="319" spans="5:12" ht="14.25" customHeight="1">
      <c r="E319" s="214"/>
      <c r="I319" s="215"/>
      <c r="L319" s="215"/>
    </row>
    <row r="320" spans="5:12" ht="14.25" customHeight="1">
      <c r="E320" s="214"/>
      <c r="I320" s="215"/>
      <c r="L320" s="215"/>
    </row>
    <row r="321" spans="5:12" ht="14.25" customHeight="1">
      <c r="E321" s="214"/>
      <c r="I321" s="215"/>
      <c r="L321" s="215"/>
    </row>
    <row r="322" spans="5:12" ht="14.25" customHeight="1">
      <c r="E322" s="214"/>
      <c r="I322" s="215"/>
      <c r="L322" s="215"/>
    </row>
    <row r="323" spans="5:12" ht="14.25" customHeight="1">
      <c r="E323" s="214"/>
      <c r="I323" s="215"/>
      <c r="L323" s="215"/>
    </row>
    <row r="324" spans="5:12" ht="14.25" customHeight="1">
      <c r="E324" s="214"/>
      <c r="I324" s="215"/>
      <c r="L324" s="215"/>
    </row>
    <row r="325" spans="5:12" ht="14.25" customHeight="1">
      <c r="E325" s="214"/>
      <c r="I325" s="215"/>
      <c r="L325" s="215"/>
    </row>
    <row r="326" spans="5:12" ht="14.25" customHeight="1">
      <c r="E326" s="214"/>
      <c r="I326" s="215"/>
      <c r="L326" s="215"/>
    </row>
    <row r="327" spans="5:12" ht="14.25" customHeight="1">
      <c r="E327" s="214"/>
      <c r="I327" s="215"/>
      <c r="L327" s="215"/>
    </row>
    <row r="328" spans="5:12" ht="14.25" customHeight="1">
      <c r="E328" s="214"/>
      <c r="I328" s="215"/>
      <c r="L328" s="215"/>
    </row>
    <row r="329" spans="5:12" ht="14.25" customHeight="1">
      <c r="E329" s="214"/>
      <c r="I329" s="215"/>
      <c r="L329" s="215"/>
    </row>
    <row r="330" spans="5:12" ht="14.25" customHeight="1">
      <c r="E330" s="214"/>
      <c r="I330" s="215"/>
      <c r="L330" s="215"/>
    </row>
    <row r="331" spans="5:12" ht="14.25" customHeight="1">
      <c r="E331" s="214"/>
      <c r="I331" s="215"/>
      <c r="L331" s="215"/>
    </row>
    <row r="332" spans="5:12" ht="14.25" customHeight="1">
      <c r="E332" s="214"/>
      <c r="I332" s="215"/>
      <c r="L332" s="215"/>
    </row>
    <row r="333" spans="5:12" ht="14.25" customHeight="1">
      <c r="E333" s="214"/>
      <c r="I333" s="215"/>
      <c r="L333" s="215"/>
    </row>
    <row r="334" spans="5:12" ht="14.25" customHeight="1">
      <c r="E334" s="214"/>
      <c r="I334" s="215"/>
      <c r="L334" s="215"/>
    </row>
    <row r="335" spans="5:12" ht="14.25" customHeight="1">
      <c r="E335" s="214"/>
      <c r="I335" s="215"/>
      <c r="L335" s="215"/>
    </row>
    <row r="336" spans="5:12" ht="14.25" customHeight="1">
      <c r="E336" s="214"/>
      <c r="I336" s="215"/>
      <c r="L336" s="215"/>
    </row>
    <row r="337" spans="5:12" ht="14.25" customHeight="1">
      <c r="E337" s="214"/>
      <c r="I337" s="215"/>
      <c r="L337" s="215"/>
    </row>
    <row r="338" spans="5:12" ht="14.25" customHeight="1">
      <c r="E338" s="214"/>
      <c r="I338" s="215"/>
      <c r="L338" s="215"/>
    </row>
    <row r="339" spans="5:12" ht="14.25" customHeight="1">
      <c r="E339" s="214"/>
      <c r="I339" s="215"/>
      <c r="L339" s="215"/>
    </row>
    <row r="340" spans="5:12" ht="14.25" customHeight="1">
      <c r="E340" s="214"/>
      <c r="I340" s="215"/>
      <c r="L340" s="215"/>
    </row>
    <row r="341" spans="5:12" ht="14.25" customHeight="1">
      <c r="E341" s="214"/>
      <c r="I341" s="215"/>
      <c r="L341" s="215"/>
    </row>
    <row r="342" spans="5:12" ht="14.25" customHeight="1">
      <c r="E342" s="214"/>
      <c r="I342" s="215"/>
      <c r="L342" s="215"/>
    </row>
    <row r="343" spans="5:12" ht="14.25" customHeight="1">
      <c r="E343" s="214"/>
      <c r="I343" s="215"/>
      <c r="L343" s="215"/>
    </row>
    <row r="344" spans="5:12" ht="14.25" customHeight="1">
      <c r="E344" s="214"/>
      <c r="I344" s="215"/>
      <c r="L344" s="215"/>
    </row>
    <row r="345" spans="5:12" ht="14.25" customHeight="1">
      <c r="E345" s="214"/>
      <c r="I345" s="215"/>
      <c r="L345" s="215"/>
    </row>
    <row r="346" spans="5:12" ht="14.25" customHeight="1">
      <c r="E346" s="214"/>
      <c r="I346" s="215"/>
      <c r="L346" s="215"/>
    </row>
    <row r="347" spans="5:12" ht="14.25" customHeight="1">
      <c r="E347" s="214"/>
      <c r="I347" s="215"/>
      <c r="L347" s="215"/>
    </row>
    <row r="348" spans="5:12" ht="14.25" customHeight="1">
      <c r="E348" s="214"/>
      <c r="I348" s="215"/>
      <c r="L348" s="215"/>
    </row>
    <row r="349" spans="5:12" ht="14.25" customHeight="1">
      <c r="E349" s="214"/>
      <c r="I349" s="215"/>
      <c r="L349" s="215"/>
    </row>
    <row r="350" spans="5:12" ht="14.25" customHeight="1">
      <c r="E350" s="214"/>
      <c r="I350" s="215"/>
      <c r="L350" s="215"/>
    </row>
    <row r="351" spans="5:12" ht="14.25" customHeight="1">
      <c r="E351" s="214"/>
      <c r="I351" s="215"/>
      <c r="L351" s="215"/>
    </row>
    <row r="352" spans="5:12" ht="14.25" customHeight="1">
      <c r="E352" s="214"/>
      <c r="I352" s="215"/>
      <c r="L352" s="215"/>
    </row>
    <row r="353" spans="5:12" ht="14.25" customHeight="1">
      <c r="E353" s="214"/>
      <c r="I353" s="215"/>
      <c r="L353" s="215"/>
    </row>
    <row r="354" spans="5:12" ht="14.25" customHeight="1">
      <c r="E354" s="214"/>
      <c r="I354" s="215"/>
      <c r="L354" s="215"/>
    </row>
    <row r="355" spans="5:12" ht="14.25" customHeight="1">
      <c r="E355" s="214"/>
      <c r="I355" s="215"/>
      <c r="L355" s="215"/>
    </row>
    <row r="356" spans="5:12" ht="14.25" customHeight="1">
      <c r="E356" s="214"/>
      <c r="I356" s="215"/>
      <c r="L356" s="215"/>
    </row>
    <row r="357" spans="5:12" ht="14.25" customHeight="1">
      <c r="E357" s="214"/>
      <c r="I357" s="215"/>
      <c r="L357" s="215"/>
    </row>
    <row r="358" spans="5:12" ht="14.25" customHeight="1">
      <c r="E358" s="214"/>
      <c r="I358" s="215"/>
      <c r="L358" s="215"/>
    </row>
    <row r="359" spans="5:12" ht="14.25" customHeight="1">
      <c r="E359" s="214"/>
      <c r="I359" s="215"/>
      <c r="L359" s="215"/>
    </row>
    <row r="360" spans="5:12" ht="14.25" customHeight="1">
      <c r="E360" s="214"/>
      <c r="I360" s="215"/>
      <c r="L360" s="215"/>
    </row>
    <row r="361" spans="5:12" ht="14.25" customHeight="1">
      <c r="E361" s="214"/>
      <c r="I361" s="215"/>
      <c r="L361" s="215"/>
    </row>
    <row r="362" spans="5:12" ht="14.25" customHeight="1">
      <c r="E362" s="214"/>
      <c r="I362" s="215"/>
      <c r="L362" s="215"/>
    </row>
    <row r="363" spans="5:12" ht="14.25" customHeight="1">
      <c r="E363" s="214"/>
      <c r="I363" s="215"/>
      <c r="L363" s="215"/>
    </row>
    <row r="364" spans="5:12" ht="14.25" customHeight="1">
      <c r="E364" s="214"/>
      <c r="I364" s="215"/>
      <c r="L364" s="215"/>
    </row>
    <row r="365" spans="5:12" ht="14.25" customHeight="1">
      <c r="E365" s="214"/>
      <c r="I365" s="215"/>
      <c r="L365" s="215"/>
    </row>
    <row r="366" spans="5:12" ht="14.25" customHeight="1">
      <c r="E366" s="214"/>
      <c r="I366" s="215"/>
      <c r="L366" s="215"/>
    </row>
    <row r="367" spans="5:12" ht="14.25" customHeight="1">
      <c r="E367" s="214"/>
      <c r="I367" s="215"/>
      <c r="L367" s="215"/>
    </row>
    <row r="368" spans="5:12" ht="14.25" customHeight="1">
      <c r="E368" s="214"/>
      <c r="I368" s="215"/>
      <c r="L368" s="215"/>
    </row>
    <row r="369" spans="5:12" ht="14.25" customHeight="1">
      <c r="E369" s="214"/>
      <c r="I369" s="215"/>
      <c r="L369" s="215"/>
    </row>
    <row r="370" spans="5:12" ht="14.25" customHeight="1">
      <c r="E370" s="214"/>
      <c r="I370" s="215"/>
      <c r="L370" s="215"/>
    </row>
    <row r="371" spans="5:12" ht="14.25" customHeight="1">
      <c r="E371" s="214"/>
      <c r="I371" s="215"/>
      <c r="L371" s="215"/>
    </row>
    <row r="372" spans="5:12" ht="14.25" customHeight="1">
      <c r="E372" s="214"/>
      <c r="I372" s="215"/>
      <c r="L372" s="215"/>
    </row>
    <row r="373" spans="5:12" ht="14.25" customHeight="1">
      <c r="E373" s="214"/>
      <c r="I373" s="215"/>
      <c r="L373" s="215"/>
    </row>
    <row r="374" spans="5:12" ht="14.25" customHeight="1">
      <c r="E374" s="214"/>
      <c r="I374" s="215"/>
      <c r="L374" s="215"/>
    </row>
    <row r="375" spans="5:12" ht="14.25" customHeight="1">
      <c r="E375" s="214"/>
      <c r="I375" s="215"/>
      <c r="L375" s="215"/>
    </row>
    <row r="376" spans="5:12" ht="14.25" customHeight="1">
      <c r="E376" s="214"/>
      <c r="I376" s="215"/>
      <c r="L376" s="215"/>
    </row>
    <row r="377" spans="5:12" ht="14.25" customHeight="1">
      <c r="E377" s="214"/>
      <c r="I377" s="215"/>
      <c r="L377" s="215"/>
    </row>
    <row r="378" spans="5:12" ht="14.25" customHeight="1">
      <c r="E378" s="214"/>
      <c r="I378" s="215"/>
      <c r="L378" s="215"/>
    </row>
    <row r="379" spans="5:12" ht="14.25" customHeight="1">
      <c r="E379" s="214"/>
      <c r="I379" s="215"/>
      <c r="L379" s="215"/>
    </row>
    <row r="380" spans="5:12" ht="14.25" customHeight="1">
      <c r="E380" s="214"/>
      <c r="I380" s="215"/>
      <c r="L380" s="215"/>
    </row>
    <row r="381" spans="5:12" ht="14.25" customHeight="1">
      <c r="E381" s="214"/>
      <c r="I381" s="215"/>
      <c r="L381" s="215"/>
    </row>
    <row r="382" spans="5:12" ht="14.25" customHeight="1">
      <c r="E382" s="214"/>
      <c r="I382" s="215"/>
      <c r="L382" s="215"/>
    </row>
    <row r="383" spans="5:12" ht="14.25" customHeight="1">
      <c r="E383" s="214"/>
      <c r="I383" s="215"/>
      <c r="L383" s="215"/>
    </row>
    <row r="384" spans="5:12" ht="14.25" customHeight="1">
      <c r="E384" s="214"/>
      <c r="I384" s="215"/>
      <c r="L384" s="215"/>
    </row>
    <row r="385" spans="5:12" ht="14.25" customHeight="1">
      <c r="E385" s="214"/>
      <c r="I385" s="215"/>
      <c r="L385" s="215"/>
    </row>
    <row r="386" spans="5:12" ht="14.25" customHeight="1">
      <c r="E386" s="214"/>
      <c r="I386" s="215"/>
      <c r="L386" s="215"/>
    </row>
    <row r="387" spans="5:12" ht="14.25" customHeight="1">
      <c r="E387" s="214"/>
      <c r="I387" s="215"/>
      <c r="L387" s="215"/>
    </row>
    <row r="388" spans="5:12" ht="14.25" customHeight="1">
      <c r="E388" s="214"/>
      <c r="I388" s="215"/>
      <c r="L388" s="215"/>
    </row>
    <row r="389" spans="5:12" ht="14.25" customHeight="1">
      <c r="E389" s="214"/>
      <c r="I389" s="215"/>
      <c r="L389" s="215"/>
    </row>
    <row r="390" spans="5:12" ht="14.25" customHeight="1">
      <c r="E390" s="214"/>
      <c r="I390" s="215"/>
      <c r="L390" s="215"/>
    </row>
    <row r="391" spans="5:12" ht="14.25" customHeight="1">
      <c r="E391" s="214"/>
      <c r="I391" s="215"/>
      <c r="L391" s="215"/>
    </row>
    <row r="392" spans="5:12" ht="14.25" customHeight="1">
      <c r="E392" s="214"/>
      <c r="I392" s="215"/>
      <c r="L392" s="215"/>
    </row>
    <row r="393" spans="5:12" ht="14.25" customHeight="1">
      <c r="E393" s="214"/>
      <c r="I393" s="215"/>
      <c r="L393" s="215"/>
    </row>
    <row r="394" spans="5:12" ht="14.25" customHeight="1">
      <c r="E394" s="214"/>
      <c r="I394" s="215"/>
      <c r="L394" s="215"/>
    </row>
    <row r="395" spans="5:12" ht="14.25" customHeight="1">
      <c r="E395" s="214"/>
      <c r="I395" s="215"/>
      <c r="L395" s="215"/>
    </row>
    <row r="396" spans="5:12" ht="14.25" customHeight="1">
      <c r="E396" s="214"/>
      <c r="I396" s="215"/>
      <c r="L396" s="215"/>
    </row>
    <row r="397" spans="5:12" ht="14.25" customHeight="1">
      <c r="E397" s="214"/>
      <c r="I397" s="215"/>
      <c r="L397" s="215"/>
    </row>
    <row r="398" spans="5:12" ht="14.25" customHeight="1">
      <c r="E398" s="214"/>
      <c r="I398" s="215"/>
      <c r="L398" s="215"/>
    </row>
    <row r="399" spans="5:12" ht="14.25" customHeight="1">
      <c r="E399" s="214"/>
      <c r="I399" s="215"/>
      <c r="L399" s="215"/>
    </row>
    <row r="400" spans="5:12" ht="14.25" customHeight="1">
      <c r="E400" s="214"/>
      <c r="I400" s="215"/>
      <c r="L400" s="215"/>
    </row>
    <row r="401" spans="5:12" ht="14.25" customHeight="1">
      <c r="E401" s="214"/>
      <c r="I401" s="215"/>
      <c r="L401" s="215"/>
    </row>
    <row r="402" spans="5:12" ht="14.25" customHeight="1">
      <c r="E402" s="214"/>
      <c r="I402" s="215"/>
      <c r="L402" s="215"/>
    </row>
    <row r="403" spans="5:12" ht="14.25" customHeight="1">
      <c r="E403" s="214"/>
      <c r="I403" s="215"/>
      <c r="L403" s="215"/>
    </row>
    <row r="404" spans="5:12" ht="14.25" customHeight="1">
      <c r="E404" s="214"/>
      <c r="I404" s="215"/>
      <c r="L404" s="215"/>
    </row>
    <row r="405" spans="5:12" ht="14.25" customHeight="1">
      <c r="E405" s="214"/>
      <c r="I405" s="215"/>
      <c r="L405" s="215"/>
    </row>
    <row r="406" spans="5:12" ht="14.25" customHeight="1">
      <c r="E406" s="214"/>
      <c r="I406" s="215"/>
      <c r="L406" s="215"/>
    </row>
    <row r="407" spans="5:12" ht="14.25" customHeight="1">
      <c r="E407" s="214"/>
      <c r="I407" s="215"/>
      <c r="L407" s="215"/>
    </row>
    <row r="408" spans="5:12" ht="14.25" customHeight="1">
      <c r="E408" s="214"/>
      <c r="I408" s="215"/>
      <c r="L408" s="215"/>
    </row>
    <row r="409" spans="5:12" ht="14.25" customHeight="1">
      <c r="E409" s="214"/>
      <c r="I409" s="215"/>
      <c r="L409" s="215"/>
    </row>
    <row r="410" spans="5:12" ht="14.25" customHeight="1">
      <c r="E410" s="214"/>
      <c r="I410" s="215"/>
      <c r="L410" s="215"/>
    </row>
    <row r="411" spans="5:12" ht="14.25" customHeight="1">
      <c r="E411" s="214"/>
      <c r="I411" s="215"/>
      <c r="L411" s="215"/>
    </row>
    <row r="412" spans="5:12" ht="14.25" customHeight="1">
      <c r="E412" s="214"/>
      <c r="I412" s="215"/>
      <c r="L412" s="215"/>
    </row>
    <row r="413" spans="5:12" ht="14.25" customHeight="1">
      <c r="E413" s="214"/>
      <c r="I413" s="215"/>
      <c r="L413" s="215"/>
    </row>
    <row r="414" spans="5:12" ht="14.25" customHeight="1">
      <c r="E414" s="214"/>
      <c r="I414" s="215"/>
      <c r="L414" s="215"/>
    </row>
    <row r="415" spans="5:12" ht="14.25" customHeight="1">
      <c r="E415" s="214"/>
      <c r="I415" s="215"/>
      <c r="L415" s="215"/>
    </row>
    <row r="416" spans="5:12" ht="14.25" customHeight="1">
      <c r="E416" s="214"/>
      <c r="I416" s="215"/>
      <c r="L416" s="215"/>
    </row>
    <row r="417" spans="5:12" ht="14.25" customHeight="1">
      <c r="E417" s="214"/>
      <c r="I417" s="215"/>
      <c r="L417" s="215"/>
    </row>
    <row r="418" spans="5:12" ht="14.25" customHeight="1">
      <c r="E418" s="214"/>
      <c r="I418" s="215"/>
      <c r="L418" s="215"/>
    </row>
    <row r="419" spans="5:12" ht="14.25" customHeight="1">
      <c r="E419" s="214"/>
      <c r="I419" s="215"/>
      <c r="L419" s="215"/>
    </row>
    <row r="420" spans="5:12" ht="14.25" customHeight="1">
      <c r="E420" s="214"/>
      <c r="I420" s="215"/>
      <c r="L420" s="215"/>
    </row>
    <row r="421" spans="5:12" ht="14.25" customHeight="1">
      <c r="E421" s="214"/>
      <c r="I421" s="215"/>
      <c r="L421" s="215"/>
    </row>
    <row r="422" spans="5:12" ht="14.25" customHeight="1">
      <c r="E422" s="214"/>
      <c r="I422" s="215"/>
      <c r="L422" s="215"/>
    </row>
    <row r="423" spans="5:12" ht="14.25" customHeight="1">
      <c r="E423" s="214"/>
      <c r="I423" s="215"/>
      <c r="L423" s="215"/>
    </row>
    <row r="424" spans="5:12" ht="14.25" customHeight="1">
      <c r="E424" s="214"/>
      <c r="I424" s="215"/>
      <c r="L424" s="215"/>
    </row>
    <row r="425" spans="5:12" ht="14.25" customHeight="1">
      <c r="E425" s="214"/>
      <c r="I425" s="215"/>
      <c r="L425" s="215"/>
    </row>
    <row r="426" spans="5:12" ht="14.25" customHeight="1">
      <c r="E426" s="214"/>
      <c r="I426" s="215"/>
      <c r="L426" s="215"/>
    </row>
    <row r="427" spans="5:12" ht="14.25" customHeight="1">
      <c r="E427" s="214"/>
      <c r="I427" s="215"/>
      <c r="L427" s="215"/>
    </row>
    <row r="428" spans="5:12" ht="14.25" customHeight="1">
      <c r="E428" s="214"/>
      <c r="I428" s="215"/>
      <c r="L428" s="215"/>
    </row>
    <row r="429" spans="5:12" ht="14.25" customHeight="1">
      <c r="E429" s="214"/>
      <c r="I429" s="215"/>
      <c r="L429" s="215"/>
    </row>
    <row r="430" spans="5:12" ht="14.25" customHeight="1">
      <c r="E430" s="214"/>
      <c r="I430" s="215"/>
      <c r="L430" s="215"/>
    </row>
    <row r="431" spans="5:12" ht="14.25" customHeight="1">
      <c r="E431" s="214"/>
      <c r="I431" s="215"/>
      <c r="L431" s="215"/>
    </row>
    <row r="432" spans="5:12" ht="14.25" customHeight="1">
      <c r="E432" s="214"/>
      <c r="I432" s="215"/>
      <c r="L432" s="215"/>
    </row>
    <row r="433" spans="5:12" ht="14.25" customHeight="1">
      <c r="E433" s="214"/>
      <c r="I433" s="215"/>
      <c r="L433" s="215"/>
    </row>
    <row r="434" spans="5:12" ht="14.25" customHeight="1">
      <c r="E434" s="214"/>
      <c r="I434" s="215"/>
      <c r="L434" s="215"/>
    </row>
    <row r="435" spans="5:12" ht="14.25" customHeight="1">
      <c r="E435" s="214"/>
      <c r="I435" s="215"/>
      <c r="L435" s="215"/>
    </row>
    <row r="436" spans="5:12" ht="14.25" customHeight="1">
      <c r="E436" s="214"/>
      <c r="I436" s="215"/>
      <c r="L436" s="215"/>
    </row>
    <row r="437" spans="5:12" ht="14.25" customHeight="1">
      <c r="E437" s="214"/>
      <c r="I437" s="215"/>
      <c r="L437" s="215"/>
    </row>
    <row r="438" spans="5:12" ht="14.25" customHeight="1">
      <c r="E438" s="214"/>
      <c r="I438" s="215"/>
      <c r="L438" s="215"/>
    </row>
    <row r="439" spans="5:12" ht="14.25" customHeight="1">
      <c r="E439" s="214"/>
      <c r="I439" s="215"/>
      <c r="L439" s="215"/>
    </row>
    <row r="440" spans="5:12" ht="14.25" customHeight="1">
      <c r="E440" s="214"/>
      <c r="I440" s="215"/>
      <c r="L440" s="215"/>
    </row>
    <row r="441" spans="5:12" ht="14.25" customHeight="1">
      <c r="E441" s="214"/>
      <c r="I441" s="215"/>
      <c r="L441" s="215"/>
    </row>
    <row r="442" spans="5:12" ht="14.25" customHeight="1">
      <c r="E442" s="214"/>
      <c r="I442" s="215"/>
      <c r="L442" s="215"/>
    </row>
    <row r="443" spans="5:12" ht="14.25" customHeight="1">
      <c r="E443" s="214"/>
      <c r="I443" s="215"/>
      <c r="L443" s="215"/>
    </row>
    <row r="444" spans="5:12" ht="14.25" customHeight="1">
      <c r="E444" s="214"/>
      <c r="I444" s="215"/>
      <c r="L444" s="215"/>
    </row>
    <row r="445" spans="5:12" ht="14.25" customHeight="1">
      <c r="E445" s="214"/>
      <c r="I445" s="215"/>
      <c r="L445" s="215"/>
    </row>
    <row r="446" spans="5:12" ht="14.25" customHeight="1">
      <c r="E446" s="214"/>
      <c r="I446" s="215"/>
      <c r="L446" s="215"/>
    </row>
    <row r="447" spans="5:12" ht="14.25" customHeight="1">
      <c r="E447" s="214"/>
      <c r="I447" s="215"/>
      <c r="L447" s="215"/>
    </row>
    <row r="448" spans="5:12" ht="14.25" customHeight="1">
      <c r="E448" s="214"/>
      <c r="I448" s="215"/>
      <c r="L448" s="215"/>
    </row>
    <row r="449" spans="5:12" ht="14.25" customHeight="1">
      <c r="E449" s="214"/>
      <c r="I449" s="215"/>
      <c r="L449" s="215"/>
    </row>
    <row r="450" spans="5:12" ht="14.25" customHeight="1">
      <c r="E450" s="214"/>
      <c r="I450" s="215"/>
      <c r="L450" s="215"/>
    </row>
    <row r="451" spans="5:12" ht="14.25" customHeight="1">
      <c r="E451" s="214"/>
      <c r="I451" s="215"/>
      <c r="L451" s="215"/>
    </row>
    <row r="452" spans="5:12" ht="14.25" customHeight="1">
      <c r="E452" s="214"/>
      <c r="I452" s="215"/>
      <c r="L452" s="215"/>
    </row>
    <row r="453" spans="5:12" ht="14.25" customHeight="1">
      <c r="E453" s="214"/>
      <c r="I453" s="215"/>
      <c r="L453" s="215"/>
    </row>
    <row r="454" spans="5:12" ht="14.25" customHeight="1">
      <c r="E454" s="214"/>
      <c r="I454" s="215"/>
      <c r="L454" s="215"/>
    </row>
    <row r="455" spans="5:12" ht="14.25" customHeight="1">
      <c r="E455" s="214"/>
      <c r="I455" s="215"/>
      <c r="L455" s="215"/>
    </row>
    <row r="456" spans="5:12" ht="14.25" customHeight="1">
      <c r="E456" s="214"/>
      <c r="I456" s="215"/>
      <c r="L456" s="215"/>
    </row>
    <row r="457" spans="5:12" ht="14.25" customHeight="1">
      <c r="E457" s="214"/>
      <c r="I457" s="215"/>
      <c r="L457" s="215"/>
    </row>
    <row r="458" spans="5:12" ht="14.25" customHeight="1">
      <c r="E458" s="214"/>
      <c r="I458" s="215"/>
      <c r="L458" s="215"/>
    </row>
    <row r="459" spans="5:12" ht="14.25" customHeight="1">
      <c r="E459" s="214"/>
      <c r="I459" s="215"/>
      <c r="L459" s="215"/>
    </row>
    <row r="460" spans="5:12" ht="14.25" customHeight="1">
      <c r="E460" s="214"/>
      <c r="I460" s="215"/>
      <c r="L460" s="215"/>
    </row>
    <row r="461" spans="5:12" ht="14.25" customHeight="1">
      <c r="E461" s="214"/>
      <c r="I461" s="215"/>
      <c r="L461" s="215"/>
    </row>
    <row r="462" spans="5:12" ht="14.25" customHeight="1">
      <c r="E462" s="214"/>
      <c r="I462" s="215"/>
      <c r="L462" s="215"/>
    </row>
    <row r="463" spans="5:12" ht="14.25" customHeight="1">
      <c r="E463" s="214"/>
      <c r="I463" s="215"/>
      <c r="L463" s="215"/>
    </row>
    <row r="464" spans="5:12" ht="14.25" customHeight="1">
      <c r="E464" s="214"/>
      <c r="I464" s="215"/>
      <c r="L464" s="215"/>
    </row>
    <row r="465" spans="5:12" ht="14.25" customHeight="1">
      <c r="E465" s="214"/>
      <c r="I465" s="215"/>
      <c r="L465" s="215"/>
    </row>
    <row r="466" spans="5:12" ht="14.25" customHeight="1">
      <c r="E466" s="214"/>
      <c r="I466" s="215"/>
      <c r="L466" s="215"/>
    </row>
    <row r="467" spans="5:12" ht="14.25" customHeight="1">
      <c r="E467" s="214"/>
      <c r="I467" s="215"/>
      <c r="L467" s="215"/>
    </row>
    <row r="468" spans="5:12" ht="14.25" customHeight="1">
      <c r="E468" s="214"/>
      <c r="I468" s="215"/>
      <c r="L468" s="215"/>
    </row>
    <row r="469" spans="5:12" ht="14.25" customHeight="1">
      <c r="E469" s="214"/>
      <c r="I469" s="215"/>
      <c r="L469" s="215"/>
    </row>
    <row r="470" spans="5:12" ht="14.25" customHeight="1">
      <c r="E470" s="214"/>
      <c r="I470" s="215"/>
      <c r="L470" s="215"/>
    </row>
    <row r="471" spans="5:12" ht="14.25" customHeight="1">
      <c r="E471" s="214"/>
      <c r="I471" s="215"/>
      <c r="L471" s="215"/>
    </row>
    <row r="472" spans="5:12" ht="14.25" customHeight="1">
      <c r="E472" s="214"/>
      <c r="I472" s="215"/>
      <c r="L472" s="215"/>
    </row>
    <row r="473" spans="5:12" ht="14.25" customHeight="1">
      <c r="E473" s="214"/>
      <c r="I473" s="215"/>
      <c r="L473" s="215"/>
    </row>
    <row r="474" spans="5:12" ht="14.25" customHeight="1">
      <c r="E474" s="214"/>
      <c r="I474" s="215"/>
      <c r="L474" s="215"/>
    </row>
    <row r="475" spans="5:12" ht="14.25" customHeight="1">
      <c r="E475" s="214"/>
      <c r="I475" s="215"/>
      <c r="L475" s="215"/>
    </row>
    <row r="476" spans="5:12" ht="14.25" customHeight="1">
      <c r="E476" s="214"/>
      <c r="I476" s="215"/>
      <c r="L476" s="215"/>
    </row>
    <row r="477" spans="5:12" ht="14.25" customHeight="1">
      <c r="E477" s="214"/>
      <c r="I477" s="215"/>
      <c r="L477" s="215"/>
    </row>
    <row r="478" spans="5:12" ht="14.25" customHeight="1">
      <c r="E478" s="214"/>
      <c r="I478" s="215"/>
      <c r="L478" s="215"/>
    </row>
    <row r="479" spans="5:12" ht="14.25" customHeight="1">
      <c r="E479" s="214"/>
      <c r="I479" s="215"/>
      <c r="L479" s="215"/>
    </row>
    <row r="480" spans="5:12" ht="14.25" customHeight="1">
      <c r="E480" s="214"/>
      <c r="I480" s="215"/>
      <c r="L480" s="215"/>
    </row>
    <row r="481" spans="5:12" ht="14.25" customHeight="1">
      <c r="E481" s="214"/>
      <c r="I481" s="215"/>
      <c r="L481" s="215"/>
    </row>
    <row r="482" spans="5:12" ht="14.25" customHeight="1">
      <c r="E482" s="214"/>
      <c r="I482" s="215"/>
      <c r="L482" s="215"/>
    </row>
    <row r="483" spans="5:12" ht="14.25" customHeight="1">
      <c r="E483" s="214"/>
      <c r="I483" s="215"/>
      <c r="L483" s="215"/>
    </row>
    <row r="484" spans="5:12" ht="14.25" customHeight="1">
      <c r="E484" s="214"/>
      <c r="I484" s="215"/>
      <c r="L484" s="215"/>
    </row>
    <row r="485" spans="5:12" ht="14.25" customHeight="1">
      <c r="E485" s="214"/>
      <c r="I485" s="215"/>
      <c r="L485" s="215"/>
    </row>
    <row r="486" spans="5:12" ht="14.25" customHeight="1">
      <c r="E486" s="214"/>
      <c r="I486" s="215"/>
      <c r="L486" s="215"/>
    </row>
    <row r="487" spans="5:12" ht="14.25" customHeight="1">
      <c r="E487" s="214"/>
      <c r="I487" s="215"/>
      <c r="L487" s="215"/>
    </row>
    <row r="488" spans="5:12" ht="14.25" customHeight="1">
      <c r="E488" s="214"/>
      <c r="I488" s="215"/>
      <c r="L488" s="215"/>
    </row>
    <row r="489" spans="5:12" ht="14.25" customHeight="1">
      <c r="E489" s="214"/>
      <c r="I489" s="215"/>
      <c r="L489" s="215"/>
    </row>
    <row r="490" spans="5:12" ht="14.25" customHeight="1">
      <c r="E490" s="214"/>
      <c r="I490" s="215"/>
      <c r="L490" s="215"/>
    </row>
    <row r="491" spans="5:12" ht="14.25" customHeight="1">
      <c r="E491" s="214"/>
      <c r="I491" s="215"/>
      <c r="L491" s="215"/>
    </row>
    <row r="492" spans="5:12" ht="14.25" customHeight="1">
      <c r="E492" s="214"/>
      <c r="I492" s="215"/>
      <c r="L492" s="215"/>
    </row>
    <row r="493" spans="5:12" ht="14.25" customHeight="1">
      <c r="E493" s="214"/>
      <c r="I493" s="215"/>
      <c r="L493" s="215"/>
    </row>
    <row r="494" spans="5:12" ht="14.25" customHeight="1">
      <c r="E494" s="214"/>
      <c r="I494" s="215"/>
      <c r="L494" s="215"/>
    </row>
    <row r="495" spans="5:12" ht="14.25" customHeight="1">
      <c r="E495" s="214"/>
      <c r="I495" s="215"/>
      <c r="L495" s="215"/>
    </row>
    <row r="496" spans="5:12" ht="14.25" customHeight="1">
      <c r="E496" s="214"/>
      <c r="I496" s="215"/>
      <c r="L496" s="215"/>
    </row>
    <row r="497" spans="5:12" ht="14.25" customHeight="1">
      <c r="E497" s="214"/>
      <c r="I497" s="215"/>
      <c r="L497" s="215"/>
    </row>
    <row r="498" spans="5:12" ht="14.25" customHeight="1">
      <c r="E498" s="214"/>
      <c r="I498" s="215"/>
      <c r="L498" s="215"/>
    </row>
    <row r="499" spans="5:12" ht="14.25" customHeight="1">
      <c r="E499" s="214"/>
      <c r="I499" s="215"/>
      <c r="L499" s="215"/>
    </row>
    <row r="500" spans="5:12" ht="14.25" customHeight="1">
      <c r="E500" s="214"/>
      <c r="I500" s="215"/>
      <c r="L500" s="215"/>
    </row>
    <row r="501" spans="5:12" ht="14.25" customHeight="1">
      <c r="E501" s="214"/>
      <c r="I501" s="215"/>
      <c r="L501" s="215"/>
    </row>
    <row r="502" spans="5:12" ht="14.25" customHeight="1">
      <c r="E502" s="214"/>
      <c r="I502" s="215"/>
      <c r="L502" s="215"/>
    </row>
    <row r="503" spans="5:12" ht="14.25" customHeight="1">
      <c r="E503" s="214"/>
      <c r="I503" s="215"/>
      <c r="L503" s="215"/>
    </row>
    <row r="504" spans="5:12" ht="14.25" customHeight="1">
      <c r="E504" s="214"/>
      <c r="I504" s="215"/>
      <c r="L504" s="215"/>
    </row>
    <row r="505" spans="5:12" ht="14.25" customHeight="1">
      <c r="E505" s="214"/>
      <c r="I505" s="215"/>
      <c r="L505" s="215"/>
    </row>
    <row r="506" spans="5:12" ht="14.25" customHeight="1">
      <c r="E506" s="214"/>
      <c r="I506" s="215"/>
      <c r="L506" s="215"/>
    </row>
    <row r="507" spans="5:12" ht="14.25" customHeight="1">
      <c r="E507" s="214"/>
      <c r="I507" s="215"/>
      <c r="L507" s="215"/>
    </row>
    <row r="508" spans="5:12" ht="14.25" customHeight="1">
      <c r="E508" s="214"/>
      <c r="I508" s="215"/>
      <c r="L508" s="215"/>
    </row>
    <row r="509" spans="5:12" ht="14.25" customHeight="1">
      <c r="E509" s="214"/>
      <c r="I509" s="215"/>
      <c r="L509" s="215"/>
    </row>
    <row r="510" spans="5:12" ht="14.25" customHeight="1">
      <c r="E510" s="214"/>
      <c r="I510" s="215"/>
      <c r="L510" s="215"/>
    </row>
    <row r="511" spans="5:12" ht="14.25" customHeight="1">
      <c r="E511" s="214"/>
      <c r="I511" s="215"/>
      <c r="L511" s="215"/>
    </row>
    <row r="512" spans="5:12" ht="14.25" customHeight="1">
      <c r="E512" s="214"/>
      <c r="I512" s="215"/>
      <c r="L512" s="215"/>
    </row>
    <row r="513" spans="5:12" ht="14.25" customHeight="1">
      <c r="E513" s="214"/>
      <c r="I513" s="215"/>
      <c r="L513" s="215"/>
    </row>
    <row r="514" spans="5:12" ht="14.25" customHeight="1">
      <c r="E514" s="214"/>
      <c r="I514" s="215"/>
      <c r="L514" s="215"/>
    </row>
    <row r="515" spans="5:12" ht="14.25" customHeight="1">
      <c r="E515" s="214"/>
      <c r="I515" s="215"/>
      <c r="L515" s="215"/>
    </row>
    <row r="516" spans="5:12" ht="14.25" customHeight="1">
      <c r="E516" s="214"/>
      <c r="I516" s="215"/>
      <c r="L516" s="215"/>
    </row>
    <row r="517" spans="5:12" ht="14.25" customHeight="1">
      <c r="E517" s="214"/>
      <c r="I517" s="215"/>
      <c r="L517" s="215"/>
    </row>
    <row r="518" spans="5:12" ht="14.25" customHeight="1">
      <c r="E518" s="214"/>
      <c r="I518" s="215"/>
      <c r="L518" s="215"/>
    </row>
    <row r="519" spans="5:12" ht="14.25" customHeight="1">
      <c r="E519" s="214"/>
      <c r="I519" s="215"/>
      <c r="L519" s="215"/>
    </row>
    <row r="520" spans="5:12" ht="14.25" customHeight="1">
      <c r="E520" s="214"/>
      <c r="I520" s="215"/>
      <c r="L520" s="215"/>
    </row>
    <row r="521" spans="5:12" ht="14.25" customHeight="1">
      <c r="E521" s="214"/>
      <c r="I521" s="215"/>
      <c r="L521" s="215"/>
    </row>
    <row r="522" spans="5:12" ht="14.25" customHeight="1">
      <c r="E522" s="214"/>
      <c r="I522" s="215"/>
      <c r="L522" s="215"/>
    </row>
    <row r="523" spans="5:12" ht="14.25" customHeight="1">
      <c r="E523" s="214"/>
      <c r="I523" s="215"/>
      <c r="L523" s="215"/>
    </row>
    <row r="524" spans="5:12" ht="14.25" customHeight="1">
      <c r="E524" s="214"/>
      <c r="I524" s="215"/>
      <c r="L524" s="215"/>
    </row>
    <row r="525" spans="5:12" ht="14.25" customHeight="1">
      <c r="E525" s="214"/>
      <c r="I525" s="215"/>
      <c r="L525" s="215"/>
    </row>
    <row r="526" spans="5:12" ht="14.25" customHeight="1">
      <c r="E526" s="214"/>
      <c r="I526" s="215"/>
      <c r="L526" s="215"/>
    </row>
    <row r="527" spans="5:12" ht="14.25" customHeight="1">
      <c r="E527" s="214"/>
      <c r="I527" s="215"/>
      <c r="L527" s="215"/>
    </row>
    <row r="528" spans="5:12" ht="14.25" customHeight="1">
      <c r="E528" s="214"/>
      <c r="I528" s="215"/>
      <c r="L528" s="215"/>
    </row>
    <row r="529" spans="5:12" ht="14.25" customHeight="1">
      <c r="E529" s="214"/>
      <c r="I529" s="215"/>
      <c r="L529" s="215"/>
    </row>
    <row r="530" spans="5:12" ht="14.25" customHeight="1">
      <c r="E530" s="214"/>
      <c r="I530" s="215"/>
      <c r="L530" s="215"/>
    </row>
    <row r="531" spans="5:12" ht="14.25" customHeight="1">
      <c r="E531" s="214"/>
      <c r="I531" s="215"/>
      <c r="L531" s="215"/>
    </row>
    <row r="532" spans="5:12" ht="14.25" customHeight="1">
      <c r="E532" s="214"/>
      <c r="I532" s="215"/>
      <c r="L532" s="215"/>
    </row>
    <row r="533" spans="5:12" ht="14.25" customHeight="1">
      <c r="E533" s="214"/>
      <c r="I533" s="215"/>
      <c r="L533" s="215"/>
    </row>
    <row r="534" spans="5:12" ht="14.25" customHeight="1">
      <c r="E534" s="214"/>
      <c r="I534" s="215"/>
      <c r="L534" s="215"/>
    </row>
    <row r="535" spans="5:12" ht="14.25" customHeight="1">
      <c r="E535" s="214"/>
      <c r="I535" s="215"/>
      <c r="L535" s="215"/>
    </row>
    <row r="536" spans="5:12" ht="14.25" customHeight="1">
      <c r="E536" s="214"/>
      <c r="I536" s="215"/>
      <c r="L536" s="215"/>
    </row>
    <row r="537" spans="5:12" ht="14.25" customHeight="1">
      <c r="E537" s="214"/>
      <c r="I537" s="215"/>
      <c r="L537" s="215"/>
    </row>
    <row r="538" spans="5:12" ht="14.25" customHeight="1">
      <c r="E538" s="214"/>
      <c r="I538" s="215"/>
      <c r="L538" s="215"/>
    </row>
    <row r="539" spans="5:12" ht="14.25" customHeight="1">
      <c r="E539" s="214"/>
      <c r="I539" s="215"/>
      <c r="L539" s="215"/>
    </row>
    <row r="540" spans="5:12" ht="14.25" customHeight="1">
      <c r="E540" s="214"/>
      <c r="I540" s="215"/>
      <c r="L540" s="215"/>
    </row>
    <row r="541" spans="5:12" ht="14.25" customHeight="1">
      <c r="E541" s="214"/>
      <c r="I541" s="215"/>
      <c r="L541" s="215"/>
    </row>
    <row r="542" spans="5:12" ht="14.25" customHeight="1">
      <c r="E542" s="214"/>
      <c r="I542" s="215"/>
      <c r="L542" s="215"/>
    </row>
    <row r="543" spans="5:12" ht="14.25" customHeight="1">
      <c r="E543" s="214"/>
      <c r="I543" s="215"/>
      <c r="L543" s="215"/>
    </row>
    <row r="544" spans="5:12" ht="14.25" customHeight="1">
      <c r="E544" s="214"/>
      <c r="I544" s="215"/>
      <c r="L544" s="215"/>
    </row>
    <row r="545" spans="5:12" ht="14.25" customHeight="1">
      <c r="E545" s="214"/>
      <c r="I545" s="215"/>
      <c r="L545" s="215"/>
    </row>
    <row r="546" spans="5:12" ht="14.25" customHeight="1">
      <c r="E546" s="214"/>
      <c r="I546" s="215"/>
      <c r="L546" s="215"/>
    </row>
    <row r="547" spans="5:12" ht="14.25" customHeight="1">
      <c r="E547" s="214"/>
      <c r="I547" s="215"/>
      <c r="L547" s="215"/>
    </row>
    <row r="548" spans="5:12" ht="14.25" customHeight="1">
      <c r="E548" s="214"/>
      <c r="I548" s="215"/>
      <c r="L548" s="215"/>
    </row>
    <row r="549" spans="5:12" ht="14.25" customHeight="1">
      <c r="E549" s="214"/>
      <c r="I549" s="215"/>
      <c r="L549" s="215"/>
    </row>
    <row r="550" spans="5:12" ht="14.25" customHeight="1">
      <c r="E550" s="214"/>
      <c r="I550" s="215"/>
      <c r="L550" s="215"/>
    </row>
    <row r="551" spans="5:12" ht="14.25" customHeight="1">
      <c r="E551" s="214"/>
      <c r="I551" s="215"/>
      <c r="L551" s="215"/>
    </row>
    <row r="552" spans="5:12" ht="14.25" customHeight="1">
      <c r="E552" s="214"/>
      <c r="I552" s="215"/>
      <c r="L552" s="215"/>
    </row>
    <row r="553" spans="5:12" ht="14.25" customHeight="1">
      <c r="E553" s="214"/>
      <c r="I553" s="215"/>
      <c r="L553" s="215"/>
    </row>
    <row r="554" spans="5:12" ht="14.25" customHeight="1">
      <c r="E554" s="214"/>
      <c r="I554" s="215"/>
      <c r="L554" s="215"/>
    </row>
    <row r="555" spans="5:12" ht="14.25" customHeight="1">
      <c r="E555" s="214"/>
      <c r="I555" s="215"/>
      <c r="L555" s="215"/>
    </row>
    <row r="556" spans="5:12" ht="14.25" customHeight="1">
      <c r="E556" s="214"/>
      <c r="I556" s="215"/>
      <c r="L556" s="215"/>
    </row>
    <row r="557" spans="5:12" ht="14.25" customHeight="1">
      <c r="E557" s="214"/>
      <c r="I557" s="215"/>
      <c r="L557" s="215"/>
    </row>
    <row r="558" spans="5:12" ht="14.25" customHeight="1">
      <c r="E558" s="214"/>
      <c r="I558" s="215"/>
      <c r="L558" s="215"/>
    </row>
    <row r="559" spans="5:12" ht="14.25" customHeight="1">
      <c r="E559" s="214"/>
      <c r="I559" s="215"/>
      <c r="L559" s="215"/>
    </row>
    <row r="560" spans="5:12" ht="14.25" customHeight="1">
      <c r="E560" s="214"/>
      <c r="I560" s="215"/>
      <c r="L560" s="215"/>
    </row>
    <row r="561" spans="5:12" ht="14.25" customHeight="1">
      <c r="E561" s="214"/>
      <c r="I561" s="215"/>
      <c r="L561" s="215"/>
    </row>
    <row r="562" spans="5:12" ht="14.25" customHeight="1">
      <c r="E562" s="214"/>
      <c r="I562" s="215"/>
      <c r="L562" s="215"/>
    </row>
    <row r="563" spans="5:12" ht="14.25" customHeight="1">
      <c r="E563" s="214"/>
      <c r="I563" s="215"/>
      <c r="L563" s="215"/>
    </row>
    <row r="564" spans="5:12" ht="14.25" customHeight="1">
      <c r="E564" s="214"/>
      <c r="I564" s="215"/>
      <c r="L564" s="215"/>
    </row>
    <row r="565" spans="5:12" ht="14.25" customHeight="1">
      <c r="E565" s="214"/>
      <c r="I565" s="215"/>
      <c r="L565" s="215"/>
    </row>
    <row r="566" spans="5:12" ht="14.25" customHeight="1">
      <c r="E566" s="214"/>
      <c r="I566" s="215"/>
      <c r="L566" s="215"/>
    </row>
    <row r="567" spans="5:12" ht="14.25" customHeight="1">
      <c r="E567" s="214"/>
      <c r="I567" s="215"/>
      <c r="L567" s="215"/>
    </row>
    <row r="568" spans="5:12" ht="14.25" customHeight="1">
      <c r="E568" s="214"/>
      <c r="I568" s="215"/>
      <c r="L568" s="215"/>
    </row>
    <row r="569" spans="5:12" ht="14.25" customHeight="1">
      <c r="E569" s="214"/>
      <c r="I569" s="215"/>
      <c r="L569" s="215"/>
    </row>
    <row r="570" spans="5:12" ht="14.25" customHeight="1">
      <c r="E570" s="214"/>
      <c r="I570" s="215"/>
      <c r="L570" s="215"/>
    </row>
    <row r="571" spans="5:12" ht="14.25" customHeight="1">
      <c r="E571" s="214"/>
      <c r="I571" s="215"/>
      <c r="L571" s="215"/>
    </row>
    <row r="572" spans="5:12" ht="14.25" customHeight="1">
      <c r="E572" s="214"/>
      <c r="I572" s="215"/>
      <c r="L572" s="215"/>
    </row>
    <row r="573" spans="5:12" ht="14.25" customHeight="1">
      <c r="E573" s="214"/>
      <c r="I573" s="215"/>
      <c r="L573" s="215"/>
    </row>
    <row r="574" spans="5:12" ht="14.25" customHeight="1">
      <c r="E574" s="214"/>
      <c r="I574" s="215"/>
      <c r="L574" s="215"/>
    </row>
    <row r="575" spans="5:12" ht="14.25" customHeight="1">
      <c r="E575" s="214"/>
      <c r="I575" s="215"/>
      <c r="L575" s="215"/>
    </row>
    <row r="576" spans="5:12" ht="14.25" customHeight="1">
      <c r="E576" s="214"/>
      <c r="I576" s="215"/>
      <c r="L576" s="215"/>
    </row>
    <row r="577" spans="5:12" ht="14.25" customHeight="1">
      <c r="E577" s="214"/>
      <c r="I577" s="215"/>
      <c r="L577" s="215"/>
    </row>
    <row r="578" spans="5:12" ht="14.25" customHeight="1">
      <c r="E578" s="214"/>
      <c r="I578" s="215"/>
      <c r="L578" s="215"/>
    </row>
    <row r="579" spans="5:12" ht="14.25" customHeight="1">
      <c r="E579" s="214"/>
      <c r="I579" s="215"/>
      <c r="L579" s="215"/>
    </row>
    <row r="580" spans="5:12" ht="14.25" customHeight="1">
      <c r="E580" s="214"/>
      <c r="I580" s="215"/>
      <c r="L580" s="215"/>
    </row>
    <row r="581" spans="5:12" ht="14.25" customHeight="1">
      <c r="E581" s="214"/>
      <c r="I581" s="215"/>
      <c r="L581" s="215"/>
    </row>
    <row r="582" spans="5:12" ht="14.25" customHeight="1">
      <c r="E582" s="214"/>
      <c r="I582" s="215"/>
      <c r="L582" s="215"/>
    </row>
    <row r="583" spans="5:12" ht="14.25" customHeight="1">
      <c r="E583" s="214"/>
      <c r="I583" s="215"/>
      <c r="L583" s="215"/>
    </row>
    <row r="584" spans="5:12" ht="14.25" customHeight="1">
      <c r="E584" s="214"/>
      <c r="I584" s="215"/>
      <c r="L584" s="215"/>
    </row>
    <row r="585" spans="5:12" ht="14.25" customHeight="1">
      <c r="E585" s="214"/>
      <c r="I585" s="215"/>
      <c r="L585" s="215"/>
    </row>
    <row r="586" spans="5:12" ht="14.25" customHeight="1">
      <c r="E586" s="214"/>
      <c r="I586" s="215"/>
      <c r="L586" s="215"/>
    </row>
    <row r="587" spans="5:12" ht="14.25" customHeight="1">
      <c r="E587" s="214"/>
      <c r="I587" s="215"/>
      <c r="L587" s="215"/>
    </row>
    <row r="588" spans="5:12" ht="14.25" customHeight="1">
      <c r="E588" s="214"/>
      <c r="I588" s="215"/>
      <c r="L588" s="215"/>
    </row>
    <row r="589" spans="5:12" ht="14.25" customHeight="1">
      <c r="E589" s="214"/>
      <c r="I589" s="215"/>
      <c r="L589" s="215"/>
    </row>
    <row r="590" spans="5:12" ht="14.25" customHeight="1">
      <c r="E590" s="214"/>
      <c r="I590" s="215"/>
      <c r="L590" s="215"/>
    </row>
    <row r="591" spans="5:12" ht="14.25" customHeight="1">
      <c r="E591" s="214"/>
      <c r="I591" s="215"/>
      <c r="L591" s="215"/>
    </row>
    <row r="592" spans="5:12" ht="14.25" customHeight="1">
      <c r="E592" s="214"/>
      <c r="I592" s="215"/>
      <c r="L592" s="215"/>
    </row>
    <row r="593" spans="5:12" ht="14.25" customHeight="1">
      <c r="E593" s="214"/>
      <c r="I593" s="215"/>
      <c r="L593" s="215"/>
    </row>
    <row r="594" spans="5:12" ht="14.25" customHeight="1">
      <c r="E594" s="214"/>
      <c r="I594" s="215"/>
      <c r="L594" s="215"/>
    </row>
    <row r="595" spans="5:12" ht="14.25" customHeight="1">
      <c r="E595" s="214"/>
      <c r="I595" s="215"/>
      <c r="L595" s="215"/>
    </row>
    <row r="596" spans="5:12" ht="14.25" customHeight="1">
      <c r="E596" s="214"/>
      <c r="I596" s="215"/>
      <c r="L596" s="215"/>
    </row>
    <row r="597" spans="5:12" ht="14.25" customHeight="1">
      <c r="E597" s="214"/>
      <c r="I597" s="215"/>
      <c r="L597" s="215"/>
    </row>
    <row r="598" spans="5:12" ht="14.25" customHeight="1">
      <c r="E598" s="214"/>
      <c r="I598" s="215"/>
      <c r="L598" s="215"/>
    </row>
    <row r="599" spans="5:12" ht="14.25" customHeight="1">
      <c r="E599" s="214"/>
      <c r="I599" s="215"/>
      <c r="L599" s="215"/>
    </row>
    <row r="600" spans="5:12" ht="14.25" customHeight="1">
      <c r="E600" s="214"/>
      <c r="I600" s="215"/>
      <c r="L600" s="215"/>
    </row>
    <row r="601" spans="5:12" ht="14.25" customHeight="1">
      <c r="E601" s="214"/>
      <c r="I601" s="215"/>
      <c r="L601" s="215"/>
    </row>
    <row r="602" spans="5:12" ht="14.25" customHeight="1">
      <c r="E602" s="214"/>
      <c r="I602" s="215"/>
      <c r="L602" s="215"/>
    </row>
    <row r="603" spans="5:12" ht="14.25" customHeight="1">
      <c r="E603" s="214"/>
      <c r="I603" s="215"/>
      <c r="L603" s="215"/>
    </row>
    <row r="604" spans="5:12" ht="14.25" customHeight="1">
      <c r="E604" s="214"/>
      <c r="I604" s="215"/>
      <c r="L604" s="215"/>
    </row>
    <row r="605" spans="5:12" ht="14.25" customHeight="1">
      <c r="E605" s="214"/>
      <c r="I605" s="215"/>
      <c r="L605" s="215"/>
    </row>
    <row r="606" spans="5:12" ht="14.25" customHeight="1">
      <c r="E606" s="214"/>
      <c r="I606" s="215"/>
      <c r="L606" s="215"/>
    </row>
    <row r="607" spans="5:12" ht="14.25" customHeight="1">
      <c r="E607" s="214"/>
      <c r="I607" s="215"/>
      <c r="L607" s="215"/>
    </row>
    <row r="608" spans="5:12" ht="14.25" customHeight="1">
      <c r="E608" s="214"/>
      <c r="I608" s="215"/>
      <c r="L608" s="215"/>
    </row>
    <row r="609" spans="5:12" ht="14.25" customHeight="1">
      <c r="E609" s="214"/>
      <c r="I609" s="215"/>
      <c r="L609" s="215"/>
    </row>
    <row r="610" spans="5:12" ht="14.25" customHeight="1">
      <c r="E610" s="214"/>
      <c r="I610" s="215"/>
      <c r="L610" s="215"/>
    </row>
    <row r="611" spans="5:12" ht="14.25" customHeight="1">
      <c r="E611" s="214"/>
      <c r="I611" s="215"/>
      <c r="L611" s="215"/>
    </row>
    <row r="612" spans="5:12" ht="14.25" customHeight="1">
      <c r="E612" s="214"/>
      <c r="I612" s="215"/>
      <c r="L612" s="215"/>
    </row>
    <row r="613" spans="5:12" ht="14.25" customHeight="1">
      <c r="E613" s="214"/>
      <c r="I613" s="215"/>
      <c r="L613" s="215"/>
    </row>
    <row r="614" spans="5:12" ht="14.25" customHeight="1">
      <c r="E614" s="214"/>
      <c r="I614" s="215"/>
      <c r="L614" s="215"/>
    </row>
    <row r="615" spans="5:12" ht="14.25" customHeight="1">
      <c r="E615" s="214"/>
      <c r="I615" s="215"/>
      <c r="L615" s="215"/>
    </row>
    <row r="616" spans="5:12" ht="14.25" customHeight="1">
      <c r="E616" s="214"/>
      <c r="I616" s="215"/>
      <c r="L616" s="215"/>
    </row>
    <row r="617" spans="5:12" ht="14.25" customHeight="1">
      <c r="E617" s="214"/>
      <c r="I617" s="215"/>
      <c r="L617" s="215"/>
    </row>
    <row r="618" spans="5:12" ht="14.25" customHeight="1">
      <c r="E618" s="214"/>
      <c r="I618" s="215"/>
      <c r="L618" s="215"/>
    </row>
    <row r="619" spans="5:12" ht="14.25" customHeight="1">
      <c r="E619" s="214"/>
      <c r="I619" s="215"/>
      <c r="L619" s="215"/>
    </row>
    <row r="620" spans="5:12" ht="14.25" customHeight="1">
      <c r="E620" s="214"/>
      <c r="I620" s="215"/>
      <c r="L620" s="215"/>
    </row>
    <row r="621" spans="5:12" ht="14.25" customHeight="1">
      <c r="E621" s="214"/>
      <c r="I621" s="215"/>
      <c r="L621" s="215"/>
    </row>
    <row r="622" spans="5:12" ht="14.25" customHeight="1">
      <c r="E622" s="214"/>
      <c r="I622" s="215"/>
      <c r="L622" s="215"/>
    </row>
    <row r="623" spans="5:12" ht="14.25" customHeight="1">
      <c r="E623" s="214"/>
      <c r="I623" s="215"/>
      <c r="L623" s="215"/>
    </row>
    <row r="624" spans="5:12" ht="14.25" customHeight="1">
      <c r="E624" s="214"/>
      <c r="I624" s="215"/>
      <c r="L624" s="215"/>
    </row>
    <row r="625" spans="5:12" ht="14.25" customHeight="1">
      <c r="E625" s="214"/>
      <c r="I625" s="215"/>
      <c r="L625" s="215"/>
    </row>
    <row r="626" spans="5:12" ht="14.25" customHeight="1">
      <c r="E626" s="214"/>
      <c r="I626" s="215"/>
      <c r="L626" s="215"/>
    </row>
    <row r="627" spans="5:12" ht="14.25" customHeight="1">
      <c r="E627" s="214"/>
      <c r="I627" s="215"/>
      <c r="L627" s="215"/>
    </row>
    <row r="628" spans="5:12" ht="14.25" customHeight="1">
      <c r="E628" s="214"/>
      <c r="I628" s="215"/>
      <c r="L628" s="215"/>
    </row>
    <row r="629" spans="5:12" ht="14.25" customHeight="1">
      <c r="E629" s="214"/>
      <c r="I629" s="215"/>
      <c r="L629" s="215"/>
    </row>
    <row r="630" spans="5:12" ht="14.25" customHeight="1">
      <c r="E630" s="214"/>
      <c r="I630" s="215"/>
      <c r="L630" s="215"/>
    </row>
    <row r="631" spans="5:12" ht="14.25" customHeight="1">
      <c r="E631" s="214"/>
      <c r="I631" s="215"/>
      <c r="L631" s="215"/>
    </row>
    <row r="632" spans="5:12" ht="14.25" customHeight="1">
      <c r="E632" s="214"/>
      <c r="I632" s="215"/>
      <c r="L632" s="215"/>
    </row>
    <row r="633" spans="5:12" ht="14.25" customHeight="1">
      <c r="E633" s="214"/>
      <c r="I633" s="215"/>
      <c r="L633" s="215"/>
    </row>
    <row r="634" spans="5:12" ht="14.25" customHeight="1">
      <c r="E634" s="214"/>
      <c r="I634" s="215"/>
      <c r="L634" s="215"/>
    </row>
    <row r="635" spans="5:12" ht="14.25" customHeight="1">
      <c r="E635" s="214"/>
      <c r="I635" s="215"/>
      <c r="L635" s="215"/>
    </row>
    <row r="636" spans="5:12" ht="14.25" customHeight="1">
      <c r="E636" s="214"/>
      <c r="I636" s="215"/>
      <c r="L636" s="215"/>
    </row>
    <row r="637" spans="5:12" ht="14.25" customHeight="1">
      <c r="E637" s="214"/>
      <c r="I637" s="215"/>
      <c r="L637" s="215"/>
    </row>
    <row r="638" spans="5:12" ht="14.25" customHeight="1">
      <c r="E638" s="214"/>
      <c r="I638" s="215"/>
      <c r="L638" s="215"/>
    </row>
    <row r="639" spans="5:12" ht="14.25" customHeight="1">
      <c r="E639" s="214"/>
      <c r="I639" s="215"/>
      <c r="L639" s="215"/>
    </row>
    <row r="640" spans="5:12" ht="14.25" customHeight="1">
      <c r="E640" s="214"/>
      <c r="I640" s="215"/>
      <c r="L640" s="215"/>
    </row>
    <row r="641" spans="5:12" ht="14.25" customHeight="1">
      <c r="E641" s="214"/>
      <c r="I641" s="215"/>
      <c r="L641" s="215"/>
    </row>
    <row r="642" spans="5:12" ht="14.25" customHeight="1">
      <c r="E642" s="214"/>
      <c r="I642" s="215"/>
      <c r="L642" s="215"/>
    </row>
    <row r="643" spans="5:12" ht="14.25" customHeight="1">
      <c r="E643" s="214"/>
      <c r="I643" s="215"/>
      <c r="L643" s="215"/>
    </row>
    <row r="644" spans="5:12" ht="14.25" customHeight="1">
      <c r="E644" s="214"/>
      <c r="I644" s="215"/>
      <c r="L644" s="215"/>
    </row>
    <row r="645" spans="5:12" ht="14.25" customHeight="1">
      <c r="E645" s="214"/>
      <c r="I645" s="215"/>
      <c r="L645" s="215"/>
    </row>
    <row r="646" spans="5:12" ht="14.25" customHeight="1">
      <c r="E646" s="214"/>
      <c r="I646" s="215"/>
      <c r="L646" s="215"/>
    </row>
    <row r="647" spans="5:12" ht="14.25" customHeight="1">
      <c r="E647" s="214"/>
      <c r="I647" s="215"/>
      <c r="L647" s="215"/>
    </row>
    <row r="648" spans="5:12" ht="14.25" customHeight="1">
      <c r="E648" s="214"/>
      <c r="I648" s="215"/>
      <c r="L648" s="215"/>
    </row>
    <row r="649" spans="5:12" ht="14.25" customHeight="1">
      <c r="E649" s="214"/>
      <c r="I649" s="215"/>
      <c r="L649" s="215"/>
    </row>
    <row r="650" spans="5:12" ht="14.25" customHeight="1">
      <c r="E650" s="214"/>
      <c r="I650" s="215"/>
      <c r="L650" s="215"/>
    </row>
    <row r="651" spans="5:12" ht="14.25" customHeight="1">
      <c r="E651" s="214"/>
      <c r="I651" s="215"/>
      <c r="L651" s="215"/>
    </row>
    <row r="652" spans="5:12" ht="14.25" customHeight="1">
      <c r="E652" s="214"/>
      <c r="I652" s="215"/>
      <c r="L652" s="215"/>
    </row>
    <row r="653" spans="5:12" ht="14.25" customHeight="1">
      <c r="E653" s="214"/>
      <c r="I653" s="215"/>
      <c r="L653" s="215"/>
    </row>
    <row r="654" spans="5:12" ht="14.25" customHeight="1">
      <c r="E654" s="214"/>
      <c r="I654" s="215"/>
      <c r="L654" s="215"/>
    </row>
    <row r="655" spans="5:12" ht="14.25" customHeight="1">
      <c r="E655" s="214"/>
      <c r="I655" s="215"/>
      <c r="L655" s="215"/>
    </row>
    <row r="656" spans="5:12" ht="14.25" customHeight="1">
      <c r="E656" s="214"/>
      <c r="I656" s="215"/>
      <c r="L656" s="215"/>
    </row>
    <row r="657" spans="5:12" ht="14.25" customHeight="1">
      <c r="E657" s="214"/>
      <c r="I657" s="215"/>
      <c r="L657" s="215"/>
    </row>
    <row r="658" spans="5:12" ht="14.25" customHeight="1">
      <c r="E658" s="214"/>
      <c r="I658" s="215"/>
      <c r="L658" s="215"/>
    </row>
    <row r="659" spans="5:12" ht="14.25" customHeight="1">
      <c r="E659" s="214"/>
      <c r="I659" s="215"/>
      <c r="L659" s="215"/>
    </row>
    <row r="660" spans="5:12" ht="14.25" customHeight="1">
      <c r="E660" s="214"/>
      <c r="I660" s="215"/>
      <c r="L660" s="215"/>
    </row>
    <row r="661" spans="5:12" ht="14.25" customHeight="1">
      <c r="E661" s="214"/>
      <c r="I661" s="215"/>
      <c r="L661" s="215"/>
    </row>
    <row r="662" spans="5:12" ht="14.25" customHeight="1">
      <c r="E662" s="214"/>
      <c r="I662" s="215"/>
      <c r="L662" s="215"/>
    </row>
    <row r="663" spans="5:12" ht="14.25" customHeight="1">
      <c r="E663" s="214"/>
      <c r="I663" s="215"/>
      <c r="L663" s="215"/>
    </row>
    <row r="664" spans="5:12" ht="14.25" customHeight="1">
      <c r="E664" s="214"/>
      <c r="I664" s="215"/>
      <c r="L664" s="215"/>
    </row>
    <row r="665" spans="5:12" ht="14.25" customHeight="1">
      <c r="E665" s="214"/>
      <c r="I665" s="215"/>
      <c r="L665" s="215"/>
    </row>
    <row r="666" spans="5:12" ht="14.25" customHeight="1">
      <c r="E666" s="214"/>
      <c r="I666" s="215"/>
      <c r="L666" s="215"/>
    </row>
    <row r="667" spans="5:12" ht="14.25" customHeight="1">
      <c r="E667" s="214"/>
      <c r="I667" s="215"/>
      <c r="L667" s="215"/>
    </row>
    <row r="668" spans="5:12" ht="14.25" customHeight="1">
      <c r="E668" s="214"/>
      <c r="I668" s="215"/>
      <c r="L668" s="215"/>
    </row>
    <row r="669" spans="5:12" ht="14.25" customHeight="1">
      <c r="E669" s="214"/>
      <c r="I669" s="215"/>
      <c r="L669" s="215"/>
    </row>
    <row r="670" spans="5:12" ht="14.25" customHeight="1">
      <c r="E670" s="214"/>
      <c r="I670" s="215"/>
      <c r="L670" s="215"/>
    </row>
    <row r="671" spans="5:12" ht="14.25" customHeight="1">
      <c r="E671" s="214"/>
      <c r="I671" s="215"/>
      <c r="L671" s="215"/>
    </row>
    <row r="672" spans="5:12" ht="14.25" customHeight="1">
      <c r="E672" s="214"/>
      <c r="I672" s="215"/>
      <c r="L672" s="215"/>
    </row>
    <row r="673" spans="5:12" ht="14.25" customHeight="1">
      <c r="E673" s="214"/>
      <c r="I673" s="215"/>
      <c r="L673" s="215"/>
    </row>
    <row r="674" spans="5:12" ht="14.25" customHeight="1">
      <c r="E674" s="214"/>
      <c r="I674" s="215"/>
      <c r="L674" s="215"/>
    </row>
    <row r="675" spans="5:12" ht="14.25" customHeight="1">
      <c r="E675" s="214"/>
      <c r="I675" s="215"/>
      <c r="L675" s="215"/>
    </row>
    <row r="676" spans="5:12" ht="14.25" customHeight="1">
      <c r="E676" s="214"/>
      <c r="I676" s="215"/>
      <c r="L676" s="215"/>
    </row>
    <row r="677" spans="5:12" ht="14.25" customHeight="1">
      <c r="E677" s="214"/>
      <c r="I677" s="215"/>
      <c r="L677" s="215"/>
    </row>
    <row r="678" spans="5:12" ht="14.25" customHeight="1">
      <c r="E678" s="214"/>
      <c r="I678" s="215"/>
      <c r="L678" s="215"/>
    </row>
    <row r="679" spans="5:12" ht="14.25" customHeight="1">
      <c r="E679" s="214"/>
      <c r="I679" s="215"/>
      <c r="L679" s="215"/>
    </row>
    <row r="680" spans="5:12" ht="14.25" customHeight="1">
      <c r="E680" s="214"/>
      <c r="I680" s="215"/>
      <c r="L680" s="215"/>
    </row>
    <row r="681" spans="5:12" ht="14.25" customHeight="1">
      <c r="E681" s="214"/>
      <c r="I681" s="215"/>
      <c r="L681" s="215"/>
    </row>
    <row r="682" spans="5:12" ht="14.25" customHeight="1">
      <c r="E682" s="214"/>
      <c r="I682" s="215"/>
      <c r="L682" s="215"/>
    </row>
    <row r="683" spans="5:12" ht="14.25" customHeight="1">
      <c r="E683" s="214"/>
      <c r="I683" s="215"/>
      <c r="L683" s="215"/>
    </row>
    <row r="684" spans="5:12" ht="14.25" customHeight="1">
      <c r="E684" s="214"/>
      <c r="I684" s="215"/>
      <c r="L684" s="215"/>
    </row>
    <row r="685" spans="5:12" ht="14.25" customHeight="1">
      <c r="E685" s="214"/>
      <c r="I685" s="215"/>
      <c r="L685" s="215"/>
    </row>
    <row r="686" spans="5:12" ht="14.25" customHeight="1">
      <c r="E686" s="214"/>
      <c r="I686" s="215"/>
      <c r="L686" s="215"/>
    </row>
    <row r="687" spans="5:12" ht="14.25" customHeight="1">
      <c r="E687" s="214"/>
      <c r="I687" s="215"/>
      <c r="L687" s="215"/>
    </row>
    <row r="688" spans="5:12" ht="14.25" customHeight="1">
      <c r="E688" s="214"/>
      <c r="I688" s="215"/>
      <c r="L688" s="215"/>
    </row>
    <row r="689" spans="5:12" ht="14.25" customHeight="1">
      <c r="E689" s="214"/>
      <c r="I689" s="215"/>
      <c r="L689" s="215"/>
    </row>
    <row r="690" spans="5:12" ht="14.25" customHeight="1">
      <c r="E690" s="214"/>
      <c r="I690" s="215"/>
      <c r="L690" s="215"/>
    </row>
    <row r="691" spans="5:12" ht="14.25" customHeight="1">
      <c r="E691" s="214"/>
      <c r="I691" s="215"/>
      <c r="L691" s="215"/>
    </row>
    <row r="692" spans="5:12" ht="14.25" customHeight="1">
      <c r="E692" s="214"/>
      <c r="I692" s="215"/>
      <c r="L692" s="215"/>
    </row>
    <row r="693" spans="5:12" ht="14.25" customHeight="1">
      <c r="E693" s="214"/>
      <c r="I693" s="215"/>
      <c r="L693" s="215"/>
    </row>
    <row r="694" spans="5:12" ht="14.25" customHeight="1">
      <c r="E694" s="214"/>
      <c r="I694" s="215"/>
      <c r="L694" s="215"/>
    </row>
    <row r="695" spans="5:12" ht="14.25" customHeight="1">
      <c r="E695" s="214"/>
      <c r="I695" s="215"/>
      <c r="L695" s="215"/>
    </row>
    <row r="696" spans="5:12" ht="14.25" customHeight="1">
      <c r="E696" s="214"/>
      <c r="I696" s="215"/>
      <c r="L696" s="215"/>
    </row>
    <row r="697" spans="5:12" ht="14.25" customHeight="1">
      <c r="E697" s="214"/>
      <c r="I697" s="215"/>
      <c r="L697" s="215"/>
    </row>
    <row r="698" spans="5:12" ht="14.25" customHeight="1">
      <c r="E698" s="214"/>
      <c r="I698" s="215"/>
      <c r="L698" s="215"/>
    </row>
    <row r="699" spans="5:12" ht="14.25" customHeight="1">
      <c r="E699" s="214"/>
      <c r="I699" s="215"/>
      <c r="L699" s="215"/>
    </row>
    <row r="700" spans="5:12" ht="14.25" customHeight="1">
      <c r="E700" s="214"/>
      <c r="I700" s="215"/>
      <c r="L700" s="215"/>
    </row>
    <row r="701" spans="5:12" ht="14.25" customHeight="1">
      <c r="E701" s="214"/>
      <c r="I701" s="215"/>
      <c r="L701" s="215"/>
    </row>
    <row r="702" spans="5:12" ht="14.25" customHeight="1">
      <c r="E702" s="214"/>
      <c r="I702" s="215"/>
      <c r="L702" s="215"/>
    </row>
    <row r="703" spans="5:12" ht="14.25" customHeight="1">
      <c r="E703" s="214"/>
      <c r="I703" s="215"/>
      <c r="L703" s="215"/>
    </row>
    <row r="704" spans="5:12" ht="14.25" customHeight="1">
      <c r="E704" s="214"/>
      <c r="I704" s="215"/>
      <c r="L704" s="215"/>
    </row>
    <row r="705" spans="5:12" ht="14.25" customHeight="1">
      <c r="E705" s="214"/>
      <c r="I705" s="215"/>
      <c r="L705" s="215"/>
    </row>
    <row r="706" spans="5:12" ht="14.25" customHeight="1">
      <c r="E706" s="214"/>
      <c r="I706" s="215"/>
      <c r="L706" s="215"/>
    </row>
    <row r="707" spans="5:12" ht="14.25" customHeight="1">
      <c r="E707" s="214"/>
      <c r="I707" s="215"/>
      <c r="L707" s="215"/>
    </row>
    <row r="708" spans="5:12" ht="14.25" customHeight="1">
      <c r="E708" s="214"/>
      <c r="I708" s="215"/>
      <c r="L708" s="215"/>
    </row>
    <row r="709" spans="5:12" ht="14.25" customHeight="1">
      <c r="E709" s="214"/>
      <c r="I709" s="215"/>
      <c r="L709" s="215"/>
    </row>
    <row r="710" spans="5:12" ht="14.25" customHeight="1">
      <c r="E710" s="214"/>
      <c r="I710" s="215"/>
      <c r="L710" s="215"/>
    </row>
    <row r="711" spans="5:12" ht="14.25" customHeight="1">
      <c r="E711" s="214"/>
      <c r="I711" s="215"/>
      <c r="L711" s="215"/>
    </row>
    <row r="712" spans="5:12" ht="14.25" customHeight="1">
      <c r="E712" s="214"/>
      <c r="I712" s="215"/>
      <c r="L712" s="215"/>
    </row>
    <row r="713" spans="5:12" ht="14.25" customHeight="1">
      <c r="E713" s="214"/>
      <c r="I713" s="215"/>
      <c r="L713" s="215"/>
    </row>
    <row r="714" spans="5:12" ht="14.25" customHeight="1">
      <c r="E714" s="214"/>
      <c r="I714" s="215"/>
      <c r="L714" s="215"/>
    </row>
    <row r="715" spans="5:12" ht="14.25" customHeight="1">
      <c r="E715" s="214"/>
      <c r="I715" s="215"/>
      <c r="L715" s="215"/>
    </row>
    <row r="716" spans="5:12" ht="14.25" customHeight="1">
      <c r="E716" s="214"/>
      <c r="I716" s="215"/>
      <c r="L716" s="215"/>
    </row>
    <row r="717" spans="5:12" ht="14.25" customHeight="1">
      <c r="E717" s="214"/>
      <c r="I717" s="215"/>
      <c r="L717" s="215"/>
    </row>
    <row r="718" spans="5:12" ht="14.25" customHeight="1">
      <c r="E718" s="214"/>
      <c r="I718" s="215"/>
      <c r="L718" s="215"/>
    </row>
    <row r="719" spans="5:12" ht="14.25" customHeight="1">
      <c r="E719" s="214"/>
      <c r="I719" s="215"/>
      <c r="L719" s="215"/>
    </row>
    <row r="720" spans="5:12" ht="14.25" customHeight="1">
      <c r="E720" s="214"/>
      <c r="I720" s="215"/>
      <c r="L720" s="215"/>
    </row>
    <row r="721" spans="5:12" ht="14.25" customHeight="1">
      <c r="E721" s="214"/>
      <c r="I721" s="215"/>
      <c r="L721" s="215"/>
    </row>
    <row r="722" spans="5:12" ht="14.25" customHeight="1">
      <c r="E722" s="214"/>
      <c r="I722" s="215"/>
      <c r="L722" s="215"/>
    </row>
    <row r="723" spans="5:12" ht="14.25" customHeight="1">
      <c r="E723" s="214"/>
      <c r="I723" s="215"/>
      <c r="L723" s="215"/>
    </row>
    <row r="724" spans="5:12" ht="14.25" customHeight="1">
      <c r="E724" s="214"/>
      <c r="I724" s="215"/>
      <c r="L724" s="215"/>
    </row>
    <row r="725" spans="5:12" ht="14.25" customHeight="1">
      <c r="E725" s="214"/>
      <c r="I725" s="215"/>
      <c r="L725" s="215"/>
    </row>
    <row r="726" spans="5:12" ht="14.25" customHeight="1">
      <c r="E726" s="214"/>
      <c r="I726" s="215"/>
      <c r="L726" s="215"/>
    </row>
    <row r="727" spans="5:12" ht="14.25" customHeight="1">
      <c r="E727" s="214"/>
      <c r="I727" s="215"/>
      <c r="L727" s="215"/>
    </row>
    <row r="728" spans="5:12" ht="14.25" customHeight="1">
      <c r="E728" s="214"/>
      <c r="I728" s="215"/>
      <c r="L728" s="215"/>
    </row>
    <row r="729" spans="5:12" ht="14.25" customHeight="1">
      <c r="E729" s="214"/>
      <c r="I729" s="215"/>
      <c r="L729" s="215"/>
    </row>
    <row r="730" spans="5:12" ht="14.25" customHeight="1">
      <c r="E730" s="214"/>
      <c r="I730" s="215"/>
      <c r="L730" s="215"/>
    </row>
    <row r="731" spans="5:12" ht="14.25" customHeight="1">
      <c r="E731" s="214"/>
      <c r="I731" s="215"/>
      <c r="L731" s="215"/>
    </row>
    <row r="732" spans="5:12" ht="14.25" customHeight="1">
      <c r="E732" s="214"/>
      <c r="I732" s="215"/>
      <c r="L732" s="215"/>
    </row>
    <row r="733" spans="5:12" ht="14.25" customHeight="1">
      <c r="E733" s="214"/>
      <c r="I733" s="215"/>
      <c r="L733" s="215"/>
    </row>
    <row r="734" spans="5:12" ht="14.25" customHeight="1">
      <c r="E734" s="214"/>
      <c r="I734" s="215"/>
      <c r="L734" s="215"/>
    </row>
    <row r="735" spans="5:12" ht="14.25" customHeight="1">
      <c r="E735" s="214"/>
      <c r="I735" s="215"/>
      <c r="L735" s="215"/>
    </row>
    <row r="736" spans="5:12" ht="14.25" customHeight="1">
      <c r="E736" s="214"/>
      <c r="I736" s="215"/>
      <c r="L736" s="215"/>
    </row>
    <row r="737" spans="5:12" ht="14.25" customHeight="1">
      <c r="E737" s="214"/>
      <c r="I737" s="215"/>
      <c r="L737" s="215"/>
    </row>
    <row r="738" spans="5:12" ht="14.25" customHeight="1">
      <c r="E738" s="214"/>
      <c r="I738" s="215"/>
      <c r="L738" s="215"/>
    </row>
    <row r="739" spans="5:12" ht="14.25" customHeight="1">
      <c r="E739" s="214"/>
      <c r="I739" s="215"/>
      <c r="L739" s="215"/>
    </row>
    <row r="740" spans="5:12" ht="14.25" customHeight="1">
      <c r="E740" s="214"/>
      <c r="I740" s="215"/>
      <c r="L740" s="215"/>
    </row>
    <row r="741" spans="5:12" ht="14.25" customHeight="1">
      <c r="E741" s="214"/>
      <c r="I741" s="215"/>
      <c r="L741" s="215"/>
    </row>
    <row r="742" spans="5:12" ht="14.25" customHeight="1">
      <c r="E742" s="214"/>
      <c r="I742" s="215"/>
      <c r="L742" s="215"/>
    </row>
    <row r="743" spans="5:12" ht="14.25" customHeight="1">
      <c r="E743" s="214"/>
      <c r="I743" s="215"/>
      <c r="L743" s="215"/>
    </row>
    <row r="744" spans="5:12" ht="14.25" customHeight="1">
      <c r="E744" s="214"/>
      <c r="I744" s="215"/>
      <c r="L744" s="215"/>
    </row>
    <row r="745" spans="5:12" ht="14.25" customHeight="1">
      <c r="E745" s="214"/>
      <c r="I745" s="215"/>
      <c r="L745" s="215"/>
    </row>
    <row r="746" spans="5:12" ht="14.25" customHeight="1">
      <c r="E746" s="214"/>
      <c r="I746" s="215"/>
      <c r="L746" s="215"/>
    </row>
    <row r="747" spans="5:12" ht="14.25" customHeight="1">
      <c r="E747" s="214"/>
      <c r="I747" s="215"/>
      <c r="L747" s="215"/>
    </row>
    <row r="748" spans="5:12" ht="14.25" customHeight="1">
      <c r="E748" s="214"/>
      <c r="I748" s="215"/>
      <c r="L748" s="215"/>
    </row>
    <row r="749" spans="5:12" ht="14.25" customHeight="1">
      <c r="E749" s="214"/>
      <c r="I749" s="215"/>
      <c r="L749" s="215"/>
    </row>
    <row r="750" spans="5:12" ht="14.25" customHeight="1">
      <c r="E750" s="214"/>
      <c r="I750" s="215"/>
      <c r="L750" s="215"/>
    </row>
    <row r="751" spans="5:12" ht="14.25" customHeight="1">
      <c r="E751" s="214"/>
      <c r="I751" s="215"/>
      <c r="L751" s="215"/>
    </row>
    <row r="752" spans="5:12" ht="14.25" customHeight="1">
      <c r="E752" s="214"/>
      <c r="I752" s="215"/>
      <c r="L752" s="215"/>
    </row>
    <row r="753" spans="5:12" ht="14.25" customHeight="1">
      <c r="E753" s="214"/>
      <c r="I753" s="215"/>
      <c r="L753" s="215"/>
    </row>
    <row r="754" spans="5:12" ht="14.25" customHeight="1">
      <c r="E754" s="214"/>
      <c r="I754" s="215"/>
      <c r="L754" s="215"/>
    </row>
    <row r="755" spans="5:12" ht="14.25" customHeight="1">
      <c r="E755" s="214"/>
      <c r="I755" s="215"/>
      <c r="L755" s="215"/>
    </row>
    <row r="756" spans="5:12" ht="14.25" customHeight="1">
      <c r="E756" s="214"/>
      <c r="I756" s="215"/>
      <c r="L756" s="215"/>
    </row>
    <row r="757" spans="5:12" ht="14.25" customHeight="1">
      <c r="E757" s="214"/>
      <c r="I757" s="215"/>
      <c r="L757" s="215"/>
    </row>
    <row r="758" spans="5:12" ht="14.25" customHeight="1">
      <c r="E758" s="214"/>
      <c r="I758" s="215"/>
      <c r="L758" s="215"/>
    </row>
    <row r="759" spans="5:12" ht="14.25" customHeight="1">
      <c r="E759" s="214"/>
      <c r="I759" s="215"/>
      <c r="L759" s="215"/>
    </row>
    <row r="760" spans="5:12" ht="14.25" customHeight="1">
      <c r="E760" s="214"/>
      <c r="I760" s="215"/>
      <c r="L760" s="215"/>
    </row>
    <row r="761" spans="5:12" ht="14.25" customHeight="1">
      <c r="E761" s="214"/>
      <c r="I761" s="215"/>
      <c r="L761" s="215"/>
    </row>
    <row r="762" spans="5:12" ht="14.25" customHeight="1">
      <c r="E762" s="214"/>
      <c r="I762" s="215"/>
      <c r="L762" s="215"/>
    </row>
    <row r="763" spans="5:12" ht="14.25" customHeight="1">
      <c r="E763" s="214"/>
      <c r="I763" s="215"/>
      <c r="L763" s="215"/>
    </row>
    <row r="764" spans="5:12" ht="14.25" customHeight="1">
      <c r="E764" s="214"/>
      <c r="I764" s="215"/>
      <c r="L764" s="215"/>
    </row>
    <row r="765" spans="5:12" ht="14.25" customHeight="1">
      <c r="E765" s="214"/>
      <c r="I765" s="215"/>
      <c r="L765" s="215"/>
    </row>
    <row r="766" spans="5:12" ht="14.25" customHeight="1">
      <c r="E766" s="214"/>
      <c r="I766" s="215"/>
      <c r="L766" s="215"/>
    </row>
    <row r="767" spans="5:12" ht="14.25" customHeight="1">
      <c r="E767" s="214"/>
      <c r="I767" s="215"/>
      <c r="L767" s="215"/>
    </row>
    <row r="768" spans="5:12" ht="14.25" customHeight="1">
      <c r="E768" s="214"/>
      <c r="I768" s="215"/>
      <c r="L768" s="215"/>
    </row>
    <row r="769" spans="5:12" ht="14.25" customHeight="1">
      <c r="E769" s="214"/>
      <c r="I769" s="215"/>
      <c r="L769" s="215"/>
    </row>
    <row r="770" spans="5:12" ht="14.25" customHeight="1">
      <c r="E770" s="214"/>
      <c r="I770" s="215"/>
      <c r="L770" s="215"/>
    </row>
    <row r="771" spans="5:12" ht="14.25" customHeight="1">
      <c r="E771" s="214"/>
      <c r="I771" s="215"/>
      <c r="L771" s="215"/>
    </row>
    <row r="772" spans="5:12" ht="14.25" customHeight="1">
      <c r="E772" s="214"/>
      <c r="I772" s="215"/>
      <c r="L772" s="215"/>
    </row>
    <row r="773" spans="5:12" ht="14.25" customHeight="1">
      <c r="E773" s="214"/>
      <c r="I773" s="215"/>
      <c r="L773" s="215"/>
    </row>
    <row r="774" spans="5:12" ht="14.25" customHeight="1">
      <c r="E774" s="214"/>
      <c r="I774" s="215"/>
      <c r="L774" s="215"/>
    </row>
    <row r="775" spans="5:12" ht="14.25" customHeight="1">
      <c r="E775" s="214"/>
      <c r="I775" s="215"/>
      <c r="L775" s="215"/>
    </row>
    <row r="776" spans="5:12" ht="14.25" customHeight="1">
      <c r="E776" s="214"/>
      <c r="I776" s="215"/>
      <c r="L776" s="215"/>
    </row>
    <row r="777" spans="5:12" ht="14.25" customHeight="1">
      <c r="E777" s="214"/>
      <c r="I777" s="215"/>
      <c r="L777" s="215"/>
    </row>
    <row r="778" spans="5:12" ht="14.25" customHeight="1">
      <c r="E778" s="214"/>
      <c r="I778" s="215"/>
      <c r="L778" s="215"/>
    </row>
    <row r="779" spans="5:12" ht="14.25" customHeight="1">
      <c r="E779" s="214"/>
      <c r="I779" s="215"/>
      <c r="L779" s="215"/>
    </row>
    <row r="780" spans="5:12" ht="14.25" customHeight="1">
      <c r="E780" s="214"/>
      <c r="I780" s="215"/>
      <c r="L780" s="215"/>
    </row>
    <row r="781" spans="5:12" ht="14.25" customHeight="1">
      <c r="E781" s="214"/>
      <c r="I781" s="215"/>
      <c r="L781" s="215"/>
    </row>
    <row r="782" spans="5:12" ht="14.25" customHeight="1">
      <c r="E782" s="214"/>
      <c r="I782" s="215"/>
      <c r="L782" s="215"/>
    </row>
    <row r="783" spans="5:12" ht="14.25" customHeight="1">
      <c r="E783" s="214"/>
      <c r="I783" s="215"/>
      <c r="L783" s="215"/>
    </row>
    <row r="784" spans="5:12" ht="14.25" customHeight="1">
      <c r="E784" s="214"/>
      <c r="I784" s="215"/>
      <c r="L784" s="215"/>
    </row>
    <row r="785" spans="5:12" ht="14.25" customHeight="1">
      <c r="E785" s="214"/>
      <c r="I785" s="215"/>
      <c r="L785" s="215"/>
    </row>
    <row r="786" spans="5:12" ht="14.25" customHeight="1">
      <c r="E786" s="214"/>
      <c r="I786" s="215"/>
      <c r="L786" s="215"/>
    </row>
    <row r="787" spans="5:12" ht="14.25" customHeight="1">
      <c r="E787" s="214"/>
      <c r="I787" s="215"/>
      <c r="L787" s="215"/>
    </row>
    <row r="788" spans="5:12" ht="14.25" customHeight="1">
      <c r="E788" s="214"/>
      <c r="I788" s="215"/>
      <c r="L788" s="215"/>
    </row>
    <row r="789" spans="5:12" ht="14.25" customHeight="1">
      <c r="E789" s="214"/>
      <c r="I789" s="215"/>
      <c r="L789" s="215"/>
    </row>
    <row r="790" spans="5:12" ht="14.25" customHeight="1">
      <c r="E790" s="214"/>
      <c r="I790" s="215"/>
      <c r="L790" s="215"/>
    </row>
    <row r="791" spans="5:12" ht="14.25" customHeight="1">
      <c r="E791" s="214"/>
      <c r="I791" s="215"/>
      <c r="L791" s="215"/>
    </row>
    <row r="792" spans="5:12" ht="14.25" customHeight="1">
      <c r="E792" s="214"/>
      <c r="I792" s="215"/>
      <c r="L792" s="215"/>
    </row>
    <row r="793" spans="5:12" ht="14.25" customHeight="1">
      <c r="E793" s="214"/>
      <c r="I793" s="215"/>
      <c r="L793" s="215"/>
    </row>
    <row r="794" spans="5:12" ht="14.25" customHeight="1">
      <c r="E794" s="214"/>
      <c r="I794" s="215"/>
      <c r="L794" s="215"/>
    </row>
    <row r="795" spans="5:12" ht="14.25" customHeight="1">
      <c r="E795" s="214"/>
      <c r="I795" s="215"/>
      <c r="L795" s="215"/>
    </row>
    <row r="796" spans="5:12" ht="14.25" customHeight="1">
      <c r="E796" s="214"/>
      <c r="I796" s="215"/>
      <c r="L796" s="215"/>
    </row>
    <row r="797" spans="5:12" ht="14.25" customHeight="1">
      <c r="E797" s="214"/>
      <c r="I797" s="215"/>
      <c r="L797" s="215"/>
    </row>
    <row r="798" spans="5:12" ht="14.25" customHeight="1">
      <c r="E798" s="214"/>
      <c r="I798" s="215"/>
      <c r="L798" s="215"/>
    </row>
    <row r="799" spans="5:12" ht="14.25" customHeight="1">
      <c r="E799" s="214"/>
      <c r="I799" s="215"/>
      <c r="L799" s="215"/>
    </row>
    <row r="800" spans="5:12" ht="14.25" customHeight="1">
      <c r="E800" s="214"/>
      <c r="I800" s="215"/>
      <c r="L800" s="215"/>
    </row>
    <row r="801" spans="5:12" ht="14.25" customHeight="1">
      <c r="E801" s="214"/>
      <c r="I801" s="215"/>
      <c r="L801" s="215"/>
    </row>
    <row r="802" spans="5:12" ht="14.25" customHeight="1">
      <c r="E802" s="214"/>
      <c r="I802" s="215"/>
      <c r="L802" s="215"/>
    </row>
    <row r="803" spans="5:12" ht="14.25" customHeight="1">
      <c r="E803" s="214"/>
      <c r="I803" s="215"/>
      <c r="L803" s="215"/>
    </row>
    <row r="804" spans="5:12" ht="14.25" customHeight="1">
      <c r="E804" s="214"/>
      <c r="I804" s="215"/>
      <c r="L804" s="215"/>
    </row>
    <row r="805" spans="5:12" ht="14.25" customHeight="1">
      <c r="E805" s="214"/>
      <c r="I805" s="215"/>
      <c r="L805" s="215"/>
    </row>
    <row r="806" spans="5:12" ht="14.25" customHeight="1">
      <c r="E806" s="214"/>
      <c r="I806" s="215"/>
      <c r="L806" s="215"/>
    </row>
    <row r="807" spans="5:12" ht="14.25" customHeight="1">
      <c r="E807" s="214"/>
      <c r="I807" s="215"/>
      <c r="L807" s="215"/>
    </row>
    <row r="808" spans="5:12" ht="14.25" customHeight="1">
      <c r="E808" s="214"/>
      <c r="I808" s="215"/>
      <c r="L808" s="215"/>
    </row>
    <row r="809" spans="5:12" ht="14.25" customHeight="1">
      <c r="E809" s="214"/>
      <c r="I809" s="215"/>
      <c r="L809" s="215"/>
    </row>
    <row r="810" spans="5:12" ht="14.25" customHeight="1">
      <c r="E810" s="214"/>
      <c r="I810" s="215"/>
      <c r="L810" s="215"/>
    </row>
    <row r="811" spans="5:12" ht="14.25" customHeight="1">
      <c r="E811" s="214"/>
      <c r="I811" s="215"/>
      <c r="L811" s="215"/>
    </row>
    <row r="812" spans="5:12" ht="14.25" customHeight="1">
      <c r="E812" s="214"/>
      <c r="I812" s="215"/>
      <c r="L812" s="215"/>
    </row>
    <row r="813" spans="5:12" ht="14.25" customHeight="1">
      <c r="E813" s="214"/>
      <c r="I813" s="215"/>
      <c r="L813" s="215"/>
    </row>
    <row r="814" spans="5:12" ht="14.25" customHeight="1">
      <c r="E814" s="214"/>
      <c r="I814" s="215"/>
      <c r="L814" s="215"/>
    </row>
    <row r="815" spans="5:12" ht="14.25" customHeight="1">
      <c r="E815" s="214"/>
      <c r="I815" s="215"/>
      <c r="L815" s="215"/>
    </row>
    <row r="816" spans="5:12" ht="14.25" customHeight="1">
      <c r="E816" s="214"/>
      <c r="I816" s="215"/>
      <c r="L816" s="215"/>
    </row>
    <row r="817" spans="5:12" ht="14.25" customHeight="1">
      <c r="E817" s="214"/>
      <c r="I817" s="215"/>
      <c r="L817" s="215"/>
    </row>
    <row r="818" spans="5:12" ht="14.25" customHeight="1">
      <c r="E818" s="214"/>
      <c r="I818" s="215"/>
      <c r="L818" s="215"/>
    </row>
    <row r="819" spans="5:12" ht="14.25" customHeight="1">
      <c r="E819" s="214"/>
      <c r="I819" s="215"/>
      <c r="L819" s="215"/>
    </row>
    <row r="820" spans="5:12" ht="14.25" customHeight="1">
      <c r="E820" s="214"/>
      <c r="I820" s="215"/>
      <c r="L820" s="215"/>
    </row>
    <row r="821" spans="5:12" ht="14.25" customHeight="1">
      <c r="E821" s="214"/>
      <c r="I821" s="215"/>
      <c r="L821" s="215"/>
    </row>
    <row r="822" spans="5:12" ht="14.25" customHeight="1">
      <c r="E822" s="214"/>
      <c r="I822" s="215"/>
      <c r="L822" s="215"/>
    </row>
    <row r="823" spans="5:12" ht="14.25" customHeight="1">
      <c r="E823" s="214"/>
      <c r="I823" s="215"/>
      <c r="L823" s="215"/>
    </row>
    <row r="824" spans="5:12" ht="14.25" customHeight="1">
      <c r="E824" s="214"/>
      <c r="I824" s="215"/>
      <c r="L824" s="215"/>
    </row>
    <row r="825" spans="5:12" ht="14.25" customHeight="1">
      <c r="E825" s="214"/>
      <c r="I825" s="215"/>
      <c r="L825" s="215"/>
    </row>
    <row r="826" spans="5:12" ht="14.25" customHeight="1">
      <c r="E826" s="214"/>
      <c r="I826" s="215"/>
      <c r="L826" s="215"/>
    </row>
    <row r="827" spans="5:12" ht="14.25" customHeight="1">
      <c r="E827" s="214"/>
      <c r="I827" s="215"/>
      <c r="L827" s="215"/>
    </row>
    <row r="828" spans="5:12" ht="14.25" customHeight="1">
      <c r="E828" s="214"/>
      <c r="I828" s="215"/>
      <c r="L828" s="215"/>
    </row>
    <row r="829" spans="5:12" ht="14.25" customHeight="1">
      <c r="E829" s="214"/>
      <c r="I829" s="215"/>
      <c r="L829" s="215"/>
    </row>
    <row r="830" spans="5:12" ht="14.25" customHeight="1">
      <c r="E830" s="214"/>
      <c r="I830" s="215"/>
      <c r="L830" s="215"/>
    </row>
    <row r="831" spans="5:12" ht="14.25" customHeight="1">
      <c r="E831" s="214"/>
      <c r="I831" s="215"/>
      <c r="L831" s="215"/>
    </row>
    <row r="832" spans="5:12" ht="14.25" customHeight="1">
      <c r="E832" s="214"/>
      <c r="I832" s="215"/>
      <c r="L832" s="215"/>
    </row>
    <row r="833" spans="5:12" ht="14.25" customHeight="1">
      <c r="E833" s="214"/>
      <c r="I833" s="215"/>
      <c r="L833" s="215"/>
    </row>
    <row r="834" spans="5:12" ht="14.25" customHeight="1">
      <c r="E834" s="214"/>
      <c r="I834" s="215"/>
      <c r="L834" s="215"/>
    </row>
    <row r="835" spans="5:12" ht="14.25" customHeight="1">
      <c r="E835" s="214"/>
      <c r="I835" s="215"/>
      <c r="L835" s="215"/>
    </row>
    <row r="836" spans="5:12" ht="14.25" customHeight="1">
      <c r="E836" s="214"/>
      <c r="I836" s="215"/>
      <c r="L836" s="215"/>
    </row>
    <row r="837" spans="5:12" ht="14.25" customHeight="1">
      <c r="E837" s="214"/>
      <c r="I837" s="215"/>
      <c r="L837" s="215"/>
    </row>
    <row r="838" spans="5:12" ht="14.25" customHeight="1">
      <c r="E838" s="214"/>
      <c r="I838" s="215"/>
      <c r="L838" s="215"/>
    </row>
    <row r="839" spans="5:12" ht="14.25" customHeight="1">
      <c r="E839" s="214"/>
      <c r="I839" s="215"/>
      <c r="L839" s="215"/>
    </row>
    <row r="840" spans="5:12" ht="14.25" customHeight="1">
      <c r="E840" s="214"/>
      <c r="I840" s="215"/>
      <c r="L840" s="215"/>
    </row>
    <row r="841" spans="5:12" ht="14.25" customHeight="1">
      <c r="E841" s="214"/>
      <c r="I841" s="215"/>
      <c r="L841" s="215"/>
    </row>
    <row r="842" spans="5:12" ht="14.25" customHeight="1">
      <c r="E842" s="214"/>
      <c r="I842" s="215"/>
      <c r="L842" s="215"/>
    </row>
    <row r="843" spans="5:12" ht="14.25" customHeight="1">
      <c r="E843" s="214"/>
      <c r="I843" s="215"/>
      <c r="L843" s="215"/>
    </row>
    <row r="844" spans="5:12" ht="14.25" customHeight="1">
      <c r="E844" s="214"/>
      <c r="I844" s="215"/>
      <c r="L844" s="215"/>
    </row>
    <row r="845" spans="5:12" ht="14.25" customHeight="1">
      <c r="E845" s="214"/>
      <c r="I845" s="215"/>
      <c r="L845" s="215"/>
    </row>
    <row r="846" spans="5:12" ht="14.25" customHeight="1">
      <c r="E846" s="214"/>
      <c r="I846" s="215"/>
      <c r="L846" s="215"/>
    </row>
    <row r="847" spans="5:12" ht="14.25" customHeight="1">
      <c r="E847" s="214"/>
      <c r="I847" s="215"/>
      <c r="L847" s="215"/>
    </row>
    <row r="848" spans="5:12" ht="14.25" customHeight="1">
      <c r="E848" s="214"/>
      <c r="I848" s="215"/>
      <c r="L848" s="215"/>
    </row>
    <row r="849" spans="5:12" ht="14.25" customHeight="1">
      <c r="E849" s="214"/>
      <c r="I849" s="215"/>
      <c r="L849" s="215"/>
    </row>
    <row r="850" spans="5:12" ht="14.25" customHeight="1">
      <c r="E850" s="214"/>
      <c r="I850" s="215"/>
      <c r="L850" s="215"/>
    </row>
    <row r="851" spans="5:12" ht="14.25" customHeight="1">
      <c r="E851" s="214"/>
      <c r="I851" s="215"/>
      <c r="L851" s="215"/>
    </row>
    <row r="852" spans="5:12" ht="14.25" customHeight="1">
      <c r="E852" s="214"/>
      <c r="I852" s="215"/>
      <c r="L852" s="215"/>
    </row>
    <row r="853" spans="5:12" ht="14.25" customHeight="1">
      <c r="E853" s="214"/>
      <c r="I853" s="215"/>
      <c r="L853" s="215"/>
    </row>
    <row r="854" spans="5:12" ht="14.25" customHeight="1">
      <c r="E854" s="214"/>
      <c r="I854" s="215"/>
      <c r="L854" s="215"/>
    </row>
    <row r="855" spans="5:12" ht="14.25" customHeight="1">
      <c r="E855" s="214"/>
      <c r="I855" s="215"/>
      <c r="L855" s="215"/>
    </row>
    <row r="856" spans="5:12" ht="14.25" customHeight="1">
      <c r="E856" s="214"/>
      <c r="I856" s="215"/>
      <c r="L856" s="215"/>
    </row>
    <row r="857" spans="5:12" ht="14.25" customHeight="1">
      <c r="E857" s="214"/>
      <c r="I857" s="215"/>
      <c r="L857" s="215"/>
    </row>
    <row r="858" spans="5:12" ht="14.25" customHeight="1">
      <c r="E858" s="214"/>
      <c r="I858" s="215"/>
      <c r="L858" s="215"/>
    </row>
    <row r="859" spans="5:12" ht="14.25" customHeight="1">
      <c r="E859" s="214"/>
      <c r="I859" s="215"/>
      <c r="L859" s="215"/>
    </row>
    <row r="860" spans="5:12" ht="14.25" customHeight="1">
      <c r="E860" s="214"/>
      <c r="I860" s="215"/>
      <c r="L860" s="215"/>
    </row>
    <row r="861" spans="5:12" ht="14.25" customHeight="1">
      <c r="E861" s="214"/>
      <c r="I861" s="215"/>
      <c r="L861" s="215"/>
    </row>
    <row r="862" spans="5:12" ht="14.25" customHeight="1">
      <c r="E862" s="214"/>
      <c r="I862" s="215"/>
      <c r="L862" s="215"/>
    </row>
    <row r="863" spans="5:12" ht="14.25" customHeight="1">
      <c r="E863" s="214"/>
      <c r="I863" s="215"/>
      <c r="L863" s="215"/>
    </row>
    <row r="864" spans="5:12" ht="14.25" customHeight="1">
      <c r="E864" s="214"/>
      <c r="I864" s="215"/>
      <c r="L864" s="215"/>
    </row>
    <row r="865" spans="5:12" ht="14.25" customHeight="1">
      <c r="E865" s="214"/>
      <c r="I865" s="215"/>
      <c r="L865" s="215"/>
    </row>
    <row r="866" spans="5:12" ht="14.25" customHeight="1">
      <c r="E866" s="214"/>
      <c r="I866" s="215"/>
      <c r="L866" s="215"/>
    </row>
    <row r="867" spans="5:12" ht="14.25" customHeight="1">
      <c r="E867" s="214"/>
      <c r="I867" s="215"/>
      <c r="L867" s="215"/>
    </row>
    <row r="868" spans="5:12" ht="14.25" customHeight="1">
      <c r="E868" s="214"/>
      <c r="I868" s="215"/>
      <c r="L868" s="215"/>
    </row>
    <row r="869" spans="5:12" ht="14.25" customHeight="1">
      <c r="E869" s="214"/>
      <c r="I869" s="215"/>
      <c r="L869" s="215"/>
    </row>
    <row r="870" spans="5:12" ht="14.25" customHeight="1">
      <c r="E870" s="214"/>
      <c r="I870" s="215"/>
      <c r="L870" s="215"/>
    </row>
    <row r="871" spans="5:12" ht="14.25" customHeight="1">
      <c r="E871" s="214"/>
      <c r="I871" s="215"/>
      <c r="L871" s="215"/>
    </row>
    <row r="872" spans="5:12" ht="14.25" customHeight="1">
      <c r="E872" s="214"/>
      <c r="I872" s="215"/>
      <c r="L872" s="215"/>
    </row>
    <row r="873" spans="5:12" ht="14.25" customHeight="1">
      <c r="E873" s="214"/>
      <c r="I873" s="215"/>
      <c r="L873" s="215"/>
    </row>
    <row r="874" spans="5:12" ht="14.25" customHeight="1">
      <c r="E874" s="214"/>
      <c r="I874" s="215"/>
      <c r="L874" s="215"/>
    </row>
    <row r="875" spans="5:12" ht="14.25" customHeight="1">
      <c r="E875" s="214"/>
      <c r="I875" s="215"/>
      <c r="L875" s="215"/>
    </row>
    <row r="876" spans="5:12" ht="14.25" customHeight="1">
      <c r="E876" s="214"/>
      <c r="I876" s="215"/>
      <c r="L876" s="215"/>
    </row>
    <row r="877" spans="5:12" ht="14.25" customHeight="1">
      <c r="E877" s="214"/>
      <c r="I877" s="215"/>
      <c r="L877" s="215"/>
    </row>
    <row r="878" spans="5:12" ht="14.25" customHeight="1">
      <c r="E878" s="214"/>
      <c r="I878" s="215"/>
      <c r="L878" s="215"/>
    </row>
    <row r="879" spans="5:12" ht="14.25" customHeight="1">
      <c r="E879" s="214"/>
      <c r="I879" s="215"/>
      <c r="L879" s="215"/>
    </row>
    <row r="880" spans="5:12" ht="14.25" customHeight="1">
      <c r="E880" s="214"/>
      <c r="I880" s="215"/>
      <c r="L880" s="215"/>
    </row>
    <row r="881" spans="5:12" ht="14.25" customHeight="1">
      <c r="E881" s="214"/>
      <c r="I881" s="215"/>
      <c r="L881" s="215"/>
    </row>
    <row r="882" spans="5:12" ht="14.25" customHeight="1">
      <c r="E882" s="214"/>
      <c r="I882" s="215"/>
      <c r="L882" s="215"/>
    </row>
    <row r="883" spans="5:12" ht="14.25" customHeight="1">
      <c r="E883" s="214"/>
      <c r="I883" s="215"/>
      <c r="L883" s="215"/>
    </row>
    <row r="884" spans="5:12" ht="14.25" customHeight="1">
      <c r="E884" s="214"/>
      <c r="I884" s="215"/>
      <c r="L884" s="215"/>
    </row>
    <row r="885" spans="5:12" ht="14.25" customHeight="1">
      <c r="E885" s="214"/>
      <c r="I885" s="215"/>
      <c r="L885" s="215"/>
    </row>
    <row r="886" spans="5:12" ht="14.25" customHeight="1">
      <c r="E886" s="214"/>
      <c r="I886" s="215"/>
      <c r="L886" s="215"/>
    </row>
    <row r="887" spans="5:12" ht="14.25" customHeight="1">
      <c r="E887" s="214"/>
      <c r="I887" s="215"/>
      <c r="L887" s="215"/>
    </row>
    <row r="888" spans="5:12" ht="14.25" customHeight="1">
      <c r="E888" s="214"/>
      <c r="I888" s="215"/>
      <c r="L888" s="215"/>
    </row>
    <row r="889" spans="5:12" ht="14.25" customHeight="1">
      <c r="E889" s="214"/>
      <c r="I889" s="215"/>
      <c r="L889" s="215"/>
    </row>
    <row r="890" spans="5:12" ht="14.25" customHeight="1">
      <c r="E890" s="214"/>
      <c r="I890" s="215"/>
      <c r="L890" s="215"/>
    </row>
    <row r="891" spans="5:12" ht="14.25" customHeight="1">
      <c r="E891" s="214"/>
      <c r="I891" s="215"/>
      <c r="L891" s="215"/>
    </row>
    <row r="892" spans="5:12" ht="14.25" customHeight="1">
      <c r="E892" s="214"/>
      <c r="I892" s="215"/>
      <c r="L892" s="215"/>
    </row>
    <row r="893" spans="5:12" ht="14.25" customHeight="1">
      <c r="E893" s="214"/>
      <c r="I893" s="215"/>
      <c r="L893" s="215"/>
    </row>
    <row r="894" spans="5:12" ht="14.25" customHeight="1">
      <c r="E894" s="214"/>
      <c r="I894" s="215"/>
      <c r="L894" s="215"/>
    </row>
    <row r="895" spans="5:12" ht="14.25" customHeight="1">
      <c r="E895" s="214"/>
      <c r="I895" s="215"/>
      <c r="L895" s="215"/>
    </row>
    <row r="896" spans="5:12" ht="14.25" customHeight="1">
      <c r="E896" s="214"/>
      <c r="I896" s="215"/>
      <c r="L896" s="215"/>
    </row>
    <row r="897" spans="5:12" ht="14.25" customHeight="1">
      <c r="E897" s="214"/>
      <c r="I897" s="215"/>
      <c r="L897" s="215"/>
    </row>
    <row r="898" spans="5:12" ht="14.25" customHeight="1">
      <c r="E898" s="214"/>
      <c r="I898" s="215"/>
      <c r="L898" s="215"/>
    </row>
    <row r="899" spans="5:12" ht="14.25" customHeight="1">
      <c r="E899" s="214"/>
      <c r="I899" s="215"/>
      <c r="L899" s="215"/>
    </row>
    <row r="900" spans="5:12" ht="14.25" customHeight="1">
      <c r="E900" s="214"/>
      <c r="I900" s="215"/>
      <c r="L900" s="215"/>
    </row>
    <row r="901" spans="5:12" ht="14.25" customHeight="1">
      <c r="E901" s="214"/>
      <c r="I901" s="215"/>
      <c r="L901" s="215"/>
    </row>
    <row r="902" spans="5:12" ht="14.25" customHeight="1">
      <c r="E902" s="214"/>
      <c r="I902" s="215"/>
      <c r="L902" s="215"/>
    </row>
    <row r="903" spans="5:12" ht="14.25" customHeight="1">
      <c r="E903" s="214"/>
      <c r="I903" s="215"/>
      <c r="L903" s="215"/>
    </row>
    <row r="904" spans="5:12" ht="14.25" customHeight="1">
      <c r="E904" s="214"/>
      <c r="I904" s="215"/>
      <c r="L904" s="215"/>
    </row>
    <row r="905" spans="5:12" ht="14.25" customHeight="1">
      <c r="E905" s="214"/>
      <c r="I905" s="215"/>
      <c r="L905" s="215"/>
    </row>
    <row r="906" spans="5:12" ht="14.25" customHeight="1">
      <c r="E906" s="214"/>
      <c r="I906" s="215"/>
      <c r="L906" s="215"/>
    </row>
    <row r="907" spans="5:12" ht="14.25" customHeight="1">
      <c r="E907" s="214"/>
      <c r="I907" s="215"/>
      <c r="L907" s="215"/>
    </row>
    <row r="908" spans="5:12" ht="14.25" customHeight="1">
      <c r="E908" s="214"/>
      <c r="I908" s="215"/>
      <c r="L908" s="215"/>
    </row>
    <row r="909" spans="5:12" ht="14.25" customHeight="1">
      <c r="E909" s="214"/>
      <c r="I909" s="215"/>
      <c r="L909" s="215"/>
    </row>
    <row r="910" spans="5:12" ht="14.25" customHeight="1">
      <c r="E910" s="214"/>
      <c r="I910" s="215"/>
      <c r="L910" s="215"/>
    </row>
    <row r="911" spans="5:12" ht="14.25" customHeight="1">
      <c r="E911" s="214"/>
      <c r="I911" s="215"/>
      <c r="L911" s="215"/>
    </row>
    <row r="912" spans="5:12" ht="14.25" customHeight="1">
      <c r="E912" s="214"/>
      <c r="I912" s="215"/>
      <c r="L912" s="215"/>
    </row>
    <row r="913" spans="5:12" ht="14.25" customHeight="1">
      <c r="E913" s="214"/>
      <c r="I913" s="215"/>
      <c r="L913" s="215"/>
    </row>
    <row r="914" spans="5:12" ht="14.25" customHeight="1">
      <c r="E914" s="214"/>
      <c r="I914" s="215"/>
      <c r="L914" s="215"/>
    </row>
    <row r="915" spans="5:12" ht="14.25" customHeight="1">
      <c r="E915" s="214"/>
      <c r="I915" s="215"/>
      <c r="L915" s="215"/>
    </row>
    <row r="916" spans="5:12" ht="14.25" customHeight="1">
      <c r="E916" s="214"/>
      <c r="I916" s="215"/>
      <c r="L916" s="215"/>
    </row>
    <row r="917" spans="5:12" ht="14.25" customHeight="1">
      <c r="E917" s="214"/>
      <c r="I917" s="215"/>
      <c r="L917" s="215"/>
    </row>
    <row r="918" spans="5:12" ht="14.25" customHeight="1">
      <c r="E918" s="214"/>
      <c r="I918" s="215"/>
      <c r="L918" s="215"/>
    </row>
    <row r="919" spans="5:12" ht="14.25" customHeight="1">
      <c r="E919" s="214"/>
      <c r="I919" s="215"/>
      <c r="L919" s="215"/>
    </row>
    <row r="920" spans="5:12" ht="14.25" customHeight="1">
      <c r="E920" s="214"/>
      <c r="I920" s="215"/>
      <c r="L920" s="215"/>
    </row>
    <row r="921" spans="5:12" ht="14.25" customHeight="1">
      <c r="E921" s="214"/>
      <c r="I921" s="215"/>
      <c r="L921" s="215"/>
    </row>
    <row r="922" spans="5:12" ht="14.25" customHeight="1">
      <c r="E922" s="214"/>
      <c r="I922" s="215"/>
      <c r="L922" s="215"/>
    </row>
    <row r="923" spans="5:12" ht="14.25" customHeight="1">
      <c r="E923" s="214"/>
      <c r="I923" s="215"/>
      <c r="L923" s="215"/>
    </row>
    <row r="924" spans="5:12" ht="14.25" customHeight="1">
      <c r="E924" s="214"/>
      <c r="I924" s="215"/>
      <c r="L924" s="215"/>
    </row>
    <row r="925" spans="5:12" ht="14.25" customHeight="1">
      <c r="E925" s="214"/>
      <c r="I925" s="215"/>
      <c r="L925" s="215"/>
    </row>
    <row r="926" spans="5:12" ht="14.25" customHeight="1">
      <c r="E926" s="214"/>
      <c r="I926" s="215"/>
      <c r="L926" s="215"/>
    </row>
    <row r="927" spans="5:12" ht="14.25" customHeight="1">
      <c r="E927" s="214"/>
      <c r="I927" s="215"/>
      <c r="L927" s="215"/>
    </row>
    <row r="928" spans="5:12" ht="14.25" customHeight="1">
      <c r="E928" s="214"/>
      <c r="I928" s="215"/>
      <c r="L928" s="215"/>
    </row>
    <row r="929" spans="5:12" ht="14.25" customHeight="1">
      <c r="E929" s="214"/>
      <c r="I929" s="215"/>
      <c r="L929" s="215"/>
    </row>
    <row r="930" spans="5:12" ht="14.25" customHeight="1">
      <c r="E930" s="214"/>
      <c r="I930" s="215"/>
      <c r="L930" s="215"/>
    </row>
    <row r="931" spans="5:12" ht="14.25" customHeight="1">
      <c r="E931" s="214"/>
      <c r="I931" s="215"/>
      <c r="L931" s="215"/>
    </row>
    <row r="932" spans="5:12" ht="14.25" customHeight="1">
      <c r="E932" s="214"/>
      <c r="I932" s="215"/>
      <c r="L932" s="215"/>
    </row>
    <row r="933" spans="5:12" ht="14.25" customHeight="1">
      <c r="E933" s="214"/>
      <c r="I933" s="215"/>
      <c r="L933" s="215"/>
    </row>
    <row r="934" spans="5:12" ht="14.25" customHeight="1">
      <c r="E934" s="214"/>
      <c r="I934" s="215"/>
      <c r="L934" s="215"/>
    </row>
    <row r="935" spans="5:12" ht="14.25" customHeight="1">
      <c r="E935" s="214"/>
      <c r="I935" s="215"/>
      <c r="L935" s="215"/>
    </row>
    <row r="936" spans="5:12" ht="14.25" customHeight="1">
      <c r="E936" s="214"/>
      <c r="I936" s="215"/>
      <c r="L936" s="215"/>
    </row>
    <row r="937" spans="5:12" ht="14.25" customHeight="1">
      <c r="E937" s="214"/>
      <c r="I937" s="215"/>
      <c r="L937" s="215"/>
    </row>
    <row r="938" spans="5:12" ht="14.25" customHeight="1">
      <c r="E938" s="214"/>
      <c r="I938" s="215"/>
      <c r="L938" s="215"/>
    </row>
    <row r="939" spans="5:12" ht="14.25" customHeight="1">
      <c r="E939" s="214"/>
      <c r="I939" s="215"/>
      <c r="L939" s="215"/>
    </row>
    <row r="940" spans="5:12" ht="14.25" customHeight="1">
      <c r="E940" s="214"/>
      <c r="I940" s="215"/>
      <c r="L940" s="215"/>
    </row>
    <row r="941" spans="5:12" ht="14.25" customHeight="1">
      <c r="E941" s="214"/>
      <c r="I941" s="215"/>
      <c r="L941" s="215"/>
    </row>
    <row r="942" spans="5:12" ht="14.25" customHeight="1">
      <c r="E942" s="214"/>
      <c r="I942" s="215"/>
      <c r="L942" s="215"/>
    </row>
    <row r="943" spans="5:12" ht="14.25" customHeight="1">
      <c r="E943" s="214"/>
      <c r="I943" s="215"/>
      <c r="L943" s="215"/>
    </row>
    <row r="944" spans="5:12" ht="14.25" customHeight="1">
      <c r="E944" s="214"/>
      <c r="I944" s="215"/>
      <c r="L944" s="215"/>
    </row>
    <row r="945" spans="5:12" ht="14.25" customHeight="1">
      <c r="E945" s="214"/>
      <c r="I945" s="215"/>
      <c r="L945" s="215"/>
    </row>
    <row r="946" spans="5:12" ht="14.25" customHeight="1">
      <c r="E946" s="214"/>
      <c r="I946" s="215"/>
      <c r="L946" s="215"/>
    </row>
    <row r="947" spans="5:12" ht="14.25" customHeight="1">
      <c r="E947" s="214"/>
      <c r="I947" s="215"/>
      <c r="L947" s="215"/>
    </row>
    <row r="948" spans="5:12" ht="14.25" customHeight="1">
      <c r="E948" s="214"/>
      <c r="I948" s="215"/>
      <c r="L948" s="215"/>
    </row>
    <row r="949" spans="5:12" ht="14.25" customHeight="1">
      <c r="E949" s="214"/>
      <c r="I949" s="215"/>
      <c r="L949" s="215"/>
    </row>
    <row r="950" spans="5:12" ht="14.25" customHeight="1">
      <c r="E950" s="214"/>
      <c r="I950" s="215"/>
      <c r="L950" s="215"/>
    </row>
    <row r="951" spans="5:12" ht="14.25" customHeight="1">
      <c r="E951" s="214"/>
      <c r="I951" s="215"/>
      <c r="L951" s="215"/>
    </row>
    <row r="952" spans="5:12" ht="14.25" customHeight="1">
      <c r="E952" s="214"/>
      <c r="I952" s="215"/>
      <c r="L952" s="215"/>
    </row>
    <row r="953" spans="5:12" ht="14.25" customHeight="1">
      <c r="E953" s="214"/>
      <c r="I953" s="215"/>
      <c r="L953" s="215"/>
    </row>
    <row r="954" spans="5:12" ht="14.25" customHeight="1">
      <c r="E954" s="214"/>
      <c r="I954" s="215"/>
      <c r="L954" s="215"/>
    </row>
    <row r="955" spans="5:12" ht="14.25" customHeight="1">
      <c r="E955" s="214"/>
      <c r="I955" s="215"/>
      <c r="L955" s="215"/>
    </row>
    <row r="956" spans="5:12" ht="14.25" customHeight="1">
      <c r="E956" s="214"/>
      <c r="I956" s="215"/>
      <c r="L956" s="215"/>
    </row>
    <row r="957" spans="5:12" ht="14.25" customHeight="1">
      <c r="E957" s="214"/>
      <c r="I957" s="215"/>
      <c r="L957" s="215"/>
    </row>
    <row r="958" spans="5:12" ht="14.25" customHeight="1">
      <c r="E958" s="214"/>
      <c r="I958" s="215"/>
      <c r="L958" s="215"/>
    </row>
    <row r="959" spans="5:12" ht="14.25" customHeight="1">
      <c r="E959" s="214"/>
      <c r="I959" s="215"/>
      <c r="L959" s="215"/>
    </row>
    <row r="960" spans="5:12" ht="14.25" customHeight="1">
      <c r="E960" s="214"/>
      <c r="I960" s="215"/>
      <c r="L960" s="215"/>
    </row>
    <row r="961" spans="5:12" ht="14.25" customHeight="1">
      <c r="E961" s="214"/>
      <c r="I961" s="215"/>
      <c r="L961" s="215"/>
    </row>
    <row r="962" spans="5:12" ht="14.25" customHeight="1">
      <c r="E962" s="214"/>
      <c r="I962" s="215"/>
      <c r="L962" s="215"/>
    </row>
    <row r="963" spans="5:12" ht="14.25" customHeight="1">
      <c r="E963" s="214"/>
      <c r="I963" s="215"/>
      <c r="L963" s="215"/>
    </row>
    <row r="964" spans="5:12" ht="14.25" customHeight="1">
      <c r="E964" s="214"/>
      <c r="I964" s="215"/>
      <c r="L964" s="215"/>
    </row>
    <row r="965" spans="5:12" ht="14.25" customHeight="1">
      <c r="E965" s="214"/>
      <c r="I965" s="215"/>
      <c r="L965" s="215"/>
    </row>
    <row r="966" spans="5:12" ht="14.25" customHeight="1">
      <c r="E966" s="214"/>
      <c r="I966" s="215"/>
      <c r="L966" s="215"/>
    </row>
    <row r="967" spans="5:12" ht="14.25" customHeight="1">
      <c r="E967" s="214"/>
      <c r="I967" s="215"/>
      <c r="L967" s="215"/>
    </row>
    <row r="968" spans="5:12" ht="14.25" customHeight="1">
      <c r="E968" s="214"/>
      <c r="I968" s="215"/>
      <c r="L968" s="215"/>
    </row>
    <row r="969" spans="5:12" ht="14.25" customHeight="1">
      <c r="E969" s="214"/>
      <c r="I969" s="215"/>
      <c r="L969" s="215"/>
    </row>
    <row r="970" spans="5:12" ht="14.25" customHeight="1">
      <c r="E970" s="214"/>
      <c r="I970" s="215"/>
      <c r="L970" s="215"/>
    </row>
    <row r="971" spans="5:12" ht="14.25" customHeight="1">
      <c r="E971" s="214"/>
      <c r="I971" s="215"/>
      <c r="L971" s="215"/>
    </row>
    <row r="972" spans="5:12" ht="14.25" customHeight="1">
      <c r="E972" s="214"/>
      <c r="I972" s="215"/>
      <c r="L972" s="215"/>
    </row>
    <row r="973" spans="5:12" ht="14.25" customHeight="1">
      <c r="E973" s="214"/>
      <c r="I973" s="215"/>
      <c r="L973" s="215"/>
    </row>
    <row r="974" spans="5:12" ht="14.25" customHeight="1">
      <c r="E974" s="214"/>
      <c r="I974" s="215"/>
      <c r="L974" s="215"/>
    </row>
    <row r="975" spans="5:12" ht="14.25" customHeight="1">
      <c r="E975" s="214"/>
      <c r="I975" s="215"/>
      <c r="L975" s="215"/>
    </row>
    <row r="976" spans="5:12" ht="14.25" customHeight="1">
      <c r="E976" s="214"/>
      <c r="I976" s="215"/>
      <c r="L976" s="215"/>
    </row>
    <row r="977" spans="5:12" ht="14.25" customHeight="1">
      <c r="E977" s="214"/>
      <c r="I977" s="215"/>
      <c r="L977" s="215"/>
    </row>
    <row r="978" spans="5:12" ht="14.25" customHeight="1">
      <c r="E978" s="214"/>
      <c r="I978" s="215"/>
      <c r="L978" s="215"/>
    </row>
    <row r="979" spans="5:12" ht="14.25" customHeight="1">
      <c r="E979" s="214"/>
      <c r="I979" s="215"/>
      <c r="L979" s="215"/>
    </row>
    <row r="980" spans="5:12" ht="14.25" customHeight="1">
      <c r="E980" s="214"/>
      <c r="I980" s="215"/>
      <c r="L980" s="215"/>
    </row>
    <row r="981" spans="5:12" ht="14.25" customHeight="1">
      <c r="E981" s="214"/>
      <c r="I981" s="215"/>
      <c r="L981" s="215"/>
    </row>
    <row r="982" spans="5:12" ht="14.25" customHeight="1">
      <c r="E982" s="214"/>
      <c r="I982" s="215"/>
      <c r="L982" s="215"/>
    </row>
    <row r="983" spans="5:12" ht="14.25" customHeight="1">
      <c r="E983" s="214"/>
      <c r="I983" s="215"/>
      <c r="L983" s="215"/>
    </row>
    <row r="984" spans="5:12" ht="14.25" customHeight="1">
      <c r="E984" s="214"/>
      <c r="I984" s="215"/>
      <c r="L984" s="215"/>
    </row>
    <row r="985" spans="5:12" ht="14.25" customHeight="1">
      <c r="E985" s="214"/>
      <c r="I985" s="215"/>
      <c r="L985" s="215"/>
    </row>
    <row r="986" spans="5:12" ht="14.25" customHeight="1">
      <c r="E986" s="214"/>
      <c r="I986" s="215"/>
      <c r="L986" s="215"/>
    </row>
    <row r="987" spans="5:12" ht="14.25" customHeight="1">
      <c r="E987" s="214"/>
      <c r="I987" s="215"/>
      <c r="L987" s="215"/>
    </row>
    <row r="988" spans="5:12" ht="14.25" customHeight="1">
      <c r="E988" s="214"/>
      <c r="I988" s="215"/>
      <c r="L988" s="215"/>
    </row>
    <row r="989" spans="5:12" ht="14.25" customHeight="1">
      <c r="E989" s="214"/>
      <c r="I989" s="215"/>
      <c r="L989" s="215"/>
    </row>
    <row r="990" spans="5:12" ht="14.25" customHeight="1">
      <c r="E990" s="214"/>
      <c r="I990" s="215"/>
      <c r="L990" s="215"/>
    </row>
    <row r="991" spans="5:12" ht="14.25" customHeight="1">
      <c r="E991" s="214"/>
      <c r="I991" s="215"/>
      <c r="L991" s="215"/>
    </row>
    <row r="992" spans="5:12" ht="14.25" customHeight="1">
      <c r="E992" s="214"/>
      <c r="I992" s="215"/>
      <c r="L992" s="215"/>
    </row>
    <row r="993" spans="5:12" ht="14.25" customHeight="1">
      <c r="E993" s="214"/>
      <c r="I993" s="215"/>
      <c r="L993" s="215"/>
    </row>
    <row r="994" spans="5:12" ht="14.25" customHeight="1">
      <c r="E994" s="214"/>
      <c r="I994" s="215"/>
      <c r="L994" s="215"/>
    </row>
    <row r="995" spans="5:12" ht="14.25" customHeight="1">
      <c r="E995" s="214"/>
      <c r="I995" s="215"/>
      <c r="L995" s="215"/>
    </row>
    <row r="996" spans="5:12" ht="14.25" customHeight="1">
      <c r="E996" s="214"/>
      <c r="I996" s="215"/>
      <c r="L996" s="215"/>
    </row>
    <row r="997" spans="5:12" ht="14.25" customHeight="1">
      <c r="E997" s="214"/>
      <c r="I997" s="215"/>
      <c r="L997" s="215"/>
    </row>
    <row r="998" spans="5:12" ht="14.25" customHeight="1">
      <c r="E998" s="214"/>
      <c r="I998" s="215"/>
      <c r="L998" s="215"/>
    </row>
    <row r="999" spans="5:12" ht="14.25" customHeight="1">
      <c r="E999" s="214"/>
      <c r="I999" s="215"/>
      <c r="L999" s="215"/>
    </row>
    <row r="1000" spans="5:12" ht="14.25" customHeight="1">
      <c r="E1000" s="214"/>
      <c r="I1000" s="215"/>
      <c r="L1000" s="215"/>
    </row>
    <row r="1001" spans="5:12" ht="14.25" customHeight="1">
      <c r="E1001" s="214"/>
      <c r="I1001" s="215"/>
      <c r="L1001" s="215"/>
    </row>
    <row r="1002" spans="5:12" ht="14.25" customHeight="1">
      <c r="E1002" s="214"/>
      <c r="I1002" s="215"/>
      <c r="L1002" s="215"/>
    </row>
    <row r="1003" spans="5:12" ht="14.25" customHeight="1">
      <c r="E1003" s="214"/>
      <c r="I1003" s="215"/>
      <c r="L1003" s="215"/>
    </row>
    <row r="1004" spans="5:12" ht="14.25" customHeight="1">
      <c r="E1004" s="214"/>
      <c r="I1004" s="215"/>
      <c r="L1004" s="215"/>
    </row>
    <row r="1005" spans="5:12" ht="14.25" customHeight="1">
      <c r="E1005" s="214"/>
      <c r="I1005" s="215"/>
      <c r="L1005" s="215"/>
    </row>
    <row r="1006" spans="5:12" ht="14.25" customHeight="1">
      <c r="E1006" s="214"/>
      <c r="I1006" s="215"/>
      <c r="L1006" s="215"/>
    </row>
    <row r="1007" spans="5:12" ht="14.25" customHeight="1">
      <c r="E1007" s="214"/>
      <c r="I1007" s="215"/>
      <c r="L1007" s="215"/>
    </row>
    <row r="1008" spans="5:12" ht="14.25" customHeight="1">
      <c r="E1008" s="214"/>
      <c r="I1008" s="215"/>
      <c r="L1008" s="215"/>
    </row>
    <row r="1009" spans="5:12" ht="14.25" customHeight="1">
      <c r="E1009" s="214"/>
      <c r="I1009" s="215"/>
      <c r="L1009" s="215"/>
    </row>
    <row r="1010" spans="5:12" ht="14.25" customHeight="1">
      <c r="E1010" s="214"/>
      <c r="I1010" s="215"/>
      <c r="L1010" s="215"/>
    </row>
    <row r="1011" spans="5:12" ht="14.25" customHeight="1">
      <c r="E1011" s="214"/>
      <c r="I1011" s="215"/>
      <c r="L1011" s="215"/>
    </row>
    <row r="1012" spans="5:12" ht="14.25" customHeight="1">
      <c r="E1012" s="214"/>
      <c r="I1012" s="215"/>
      <c r="L1012" s="215"/>
    </row>
    <row r="1013" spans="5:12" ht="14.25" customHeight="1">
      <c r="E1013" s="214"/>
      <c r="I1013" s="215"/>
      <c r="L1013" s="215"/>
    </row>
    <row r="1014" spans="5:12" ht="14.25" customHeight="1">
      <c r="E1014" s="214"/>
      <c r="I1014" s="215"/>
      <c r="L1014" s="215"/>
    </row>
    <row r="1015" spans="5:12" ht="14.25" customHeight="1">
      <c r="E1015" s="214"/>
      <c r="I1015" s="215"/>
      <c r="L1015" s="215"/>
    </row>
    <row r="1016" spans="5:12" ht="14.25" customHeight="1">
      <c r="E1016" s="214"/>
      <c r="I1016" s="215"/>
      <c r="L1016" s="215"/>
    </row>
    <row r="1017" spans="5:12" ht="14.25" customHeight="1">
      <c r="E1017" s="214"/>
      <c r="I1017" s="215"/>
      <c r="L1017" s="215"/>
    </row>
    <row r="1018" spans="5:12" ht="14.25" customHeight="1">
      <c r="E1018" s="214"/>
      <c r="I1018" s="215"/>
      <c r="L1018" s="215"/>
    </row>
    <row r="1019" spans="5:12" ht="14.25" customHeight="1">
      <c r="E1019" s="214"/>
      <c r="I1019" s="215"/>
      <c r="L1019" s="215"/>
    </row>
    <row r="1020" spans="5:12" ht="14.25" customHeight="1">
      <c r="E1020" s="214"/>
      <c r="I1020" s="215"/>
      <c r="L1020" s="215"/>
    </row>
    <row r="1021" spans="5:12" ht="14.25" customHeight="1">
      <c r="E1021" s="214"/>
      <c r="I1021" s="215"/>
      <c r="L1021" s="215"/>
    </row>
    <row r="1022" spans="5:12" ht="14.25" customHeight="1">
      <c r="E1022" s="214"/>
      <c r="I1022" s="215"/>
      <c r="L1022" s="215"/>
    </row>
    <row r="1023" spans="5:12" ht="14.25" customHeight="1">
      <c r="E1023" s="214"/>
      <c r="I1023" s="215"/>
      <c r="L1023" s="215"/>
    </row>
    <row r="1024" spans="5:12" ht="14.25" customHeight="1">
      <c r="E1024" s="214"/>
      <c r="I1024" s="215"/>
      <c r="L1024" s="215"/>
    </row>
    <row r="1025" spans="5:12" ht="14.25" customHeight="1">
      <c r="E1025" s="214"/>
      <c r="I1025" s="215"/>
      <c r="L1025" s="215"/>
    </row>
    <row r="1026" spans="5:12" ht="14.25" customHeight="1">
      <c r="E1026" s="214"/>
      <c r="I1026" s="215"/>
      <c r="L1026" s="215"/>
    </row>
    <row r="1027" spans="5:12" ht="14.25" customHeight="1">
      <c r="E1027" s="214"/>
      <c r="I1027" s="215"/>
      <c r="L1027" s="215"/>
    </row>
    <row r="1028" spans="5:12" ht="14.25" customHeight="1">
      <c r="E1028" s="214"/>
      <c r="I1028" s="215"/>
      <c r="L1028" s="215"/>
    </row>
    <row r="1029" spans="5:12" ht="14.25" customHeight="1">
      <c r="E1029" s="214"/>
      <c r="I1029" s="215"/>
      <c r="L1029" s="215"/>
    </row>
  </sheetData>
  <autoFilter ref="A5:AL83"/>
  <mergeCells count="6">
    <mergeCell ref="A1:S1"/>
    <mergeCell ref="A2:S2"/>
    <mergeCell ref="A3:S3"/>
    <mergeCell ref="A4:K4"/>
    <mergeCell ref="L4:Q4"/>
    <mergeCell ref="R4:S4"/>
  </mergeCells>
  <phoneticPr fontId="55" type="noConversion"/>
  <conditionalFormatting sqref="S5:S71 S73:S74 S76:S1029">
    <cfRule type="cellIs" dxfId="6" priority="1" operator="lessThanOrEqual">
      <formula>0</formula>
    </cfRule>
  </conditionalFormatting>
  <conditionalFormatting sqref="S7:S71 S73:S74 S76:S83 S85:S89 S91">
    <cfRule type="cellIs" dxfId="5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I1005"/>
  <sheetViews>
    <sheetView workbookViewId="0">
      <pane ySplit="4" topLeftCell="A5" activePane="bottomLeft" state="frozen"/>
      <selection pane="bottomLeft" activeCell="B6" sqref="B6"/>
    </sheetView>
  </sheetViews>
  <sheetFormatPr defaultColWidth="10.109375" defaultRowHeight="15" customHeight="1"/>
  <cols>
    <col min="1" max="1" width="14.33203125" customWidth="1"/>
    <col min="2" max="2" width="15.21875" customWidth="1"/>
    <col min="3" max="4" width="6" customWidth="1"/>
    <col min="5" max="7" width="8.33203125" customWidth="1"/>
    <col min="9" max="9" width="11.6640625" customWidth="1"/>
    <col min="10" max="12" width="8.33203125" customWidth="1"/>
    <col min="13" max="13" width="7.21875" customWidth="1"/>
    <col min="14" max="14" width="11.6640625" customWidth="1"/>
    <col min="15" max="15" width="5.5546875" customWidth="1"/>
    <col min="16" max="16" width="7.77734375" customWidth="1"/>
    <col min="17" max="35" width="6" customWidth="1"/>
  </cols>
  <sheetData>
    <row r="1" spans="1:35" ht="14.25" customHeight="1">
      <c r="A1" s="277" t="s">
        <v>283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customHeight="1">
      <c r="A2" s="288" t="s">
        <v>67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</row>
    <row r="3" spans="1:35" ht="14.25" customHeight="1">
      <c r="A3" s="302" t="s">
        <v>68</v>
      </c>
      <c r="B3" s="290"/>
      <c r="C3" s="290"/>
      <c r="D3" s="290"/>
      <c r="E3" s="290"/>
      <c r="F3" s="290"/>
      <c r="G3" s="290"/>
      <c r="H3" s="291"/>
      <c r="I3" s="303" t="s">
        <v>69</v>
      </c>
      <c r="J3" s="290"/>
      <c r="K3" s="290"/>
      <c r="L3" s="290"/>
      <c r="M3" s="290"/>
      <c r="N3" s="291"/>
      <c r="O3" s="293"/>
      <c r="P3" s="291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 spans="1:35" ht="39">
      <c r="A4" s="170" t="s">
        <v>145</v>
      </c>
      <c r="B4" s="170" t="s">
        <v>72</v>
      </c>
      <c r="C4" s="170" t="s">
        <v>284</v>
      </c>
      <c r="D4" s="170" t="s">
        <v>73</v>
      </c>
      <c r="E4" s="170" t="s">
        <v>75</v>
      </c>
      <c r="F4" s="173" t="s">
        <v>76</v>
      </c>
      <c r="G4" s="170" t="s">
        <v>77</v>
      </c>
      <c r="H4" s="170" t="s">
        <v>78</v>
      </c>
      <c r="I4" s="174" t="s">
        <v>79</v>
      </c>
      <c r="J4" s="175" t="s">
        <v>10</v>
      </c>
      <c r="K4" s="175" t="s">
        <v>12</v>
      </c>
      <c r="L4" s="175" t="s">
        <v>80</v>
      </c>
      <c r="M4" s="175" t="s">
        <v>81</v>
      </c>
      <c r="N4" s="175" t="s">
        <v>82</v>
      </c>
      <c r="O4" s="176" t="s">
        <v>83</v>
      </c>
      <c r="P4" s="176" t="s">
        <v>84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pans="1:35" ht="14.25" customHeight="1">
      <c r="A5" s="80" t="s">
        <v>285</v>
      </c>
      <c r="B5" s="80" t="s">
        <v>286</v>
      </c>
      <c r="C5" s="80">
        <v>4399</v>
      </c>
      <c r="D5" s="80">
        <v>3699</v>
      </c>
      <c r="E5" s="74">
        <f t="shared" ref="E5:E58" si="0">D5/C5</f>
        <v>0.84087292566492389</v>
      </c>
      <c r="F5" s="228">
        <v>2484.89</v>
      </c>
      <c r="G5" s="75">
        <f t="shared" ref="G5:G58" si="1">D5-F5</f>
        <v>1214.1100000000001</v>
      </c>
      <c r="H5" s="76">
        <f t="shared" ref="H5:H58" si="2">G5/D5</f>
        <v>0.32822654771559884</v>
      </c>
      <c r="I5" s="128">
        <v>350</v>
      </c>
      <c r="J5" s="78">
        <f>D5*營業基本資訊!$D$5</f>
        <v>1916.0178840000001</v>
      </c>
      <c r="K5" s="78">
        <f>D5*營業基本資訊!$D$6</f>
        <v>0</v>
      </c>
      <c r="L5" s="78">
        <f>D5*營業基本資訊!$D$7</f>
        <v>0</v>
      </c>
      <c r="M5" s="78">
        <f t="shared" ref="M5:M58" si="3">D5*0.05</f>
        <v>184.95000000000002</v>
      </c>
      <c r="N5" s="128">
        <f t="shared" ref="N5:N58" si="4">SUM(I5:M5)</f>
        <v>2450.9678839999997</v>
      </c>
      <c r="O5" s="75">
        <f t="shared" ref="O5:O58" si="5">G5-N5</f>
        <v>-1236.8578839999996</v>
      </c>
      <c r="P5" s="102">
        <f t="shared" ref="P5:P58" si="6">O5/D5</f>
        <v>-0.33437628656393609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pans="1:35" ht="14.25" customHeight="1">
      <c r="A6" s="80" t="s">
        <v>287</v>
      </c>
      <c r="B6" s="80" t="s">
        <v>288</v>
      </c>
      <c r="C6" s="80">
        <v>1740</v>
      </c>
      <c r="D6" s="80">
        <v>1299</v>
      </c>
      <c r="E6" s="74">
        <f t="shared" si="0"/>
        <v>0.74655172413793103</v>
      </c>
      <c r="F6" s="228">
        <v>1187.44</v>
      </c>
      <c r="G6" s="75">
        <f t="shared" si="1"/>
        <v>111.55999999999995</v>
      </c>
      <c r="H6" s="76">
        <f t="shared" si="2"/>
        <v>8.5881447267128513E-2</v>
      </c>
      <c r="I6" s="128">
        <f>D6*營業基本資訊!$D$8</f>
        <v>0</v>
      </c>
      <c r="J6" s="78">
        <f>D6*營業基本資訊!$D$5</f>
        <v>672.85948400000007</v>
      </c>
      <c r="K6" s="78">
        <f>D6*營業基本資訊!$D$6</f>
        <v>0</v>
      </c>
      <c r="L6" s="78">
        <f>D6*營業基本資訊!$D$7</f>
        <v>0</v>
      </c>
      <c r="M6" s="78">
        <f t="shared" si="3"/>
        <v>64.95</v>
      </c>
      <c r="N6" s="128">
        <f t="shared" si="4"/>
        <v>737.80948400000011</v>
      </c>
      <c r="O6" s="75">
        <f t="shared" si="5"/>
        <v>-626.24948400000017</v>
      </c>
      <c r="P6" s="102">
        <f t="shared" si="6"/>
        <v>-0.48210121939953826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pans="1:35" ht="14.25" customHeight="1">
      <c r="A7" s="80" t="s">
        <v>260</v>
      </c>
      <c r="B7" s="80" t="s">
        <v>261</v>
      </c>
      <c r="C7" s="80">
        <v>2140</v>
      </c>
      <c r="D7" s="80">
        <v>2140</v>
      </c>
      <c r="E7" s="74">
        <f t="shared" si="0"/>
        <v>1</v>
      </c>
      <c r="F7" s="228">
        <v>756.37400000000002</v>
      </c>
      <c r="G7" s="75">
        <f t="shared" si="1"/>
        <v>1383.626</v>
      </c>
      <c r="H7" s="76">
        <f t="shared" si="2"/>
        <v>0.64655420560747667</v>
      </c>
      <c r="I7" s="128">
        <f>D7*營業基本資訊!$D$8</f>
        <v>0</v>
      </c>
      <c r="J7" s="78">
        <f>D7*營業基本資訊!$D$5</f>
        <v>1108.4829066666668</v>
      </c>
      <c r="K7" s="78">
        <f>D7*營業基本資訊!$D$6</f>
        <v>0</v>
      </c>
      <c r="L7" s="78">
        <f>D7*營業基本資訊!$D$7</f>
        <v>0</v>
      </c>
      <c r="M7" s="78">
        <f t="shared" si="3"/>
        <v>107</v>
      </c>
      <c r="N7" s="128">
        <f t="shared" si="4"/>
        <v>1215.4829066666668</v>
      </c>
      <c r="O7" s="75">
        <f t="shared" si="5"/>
        <v>168.14309333333313</v>
      </c>
      <c r="P7" s="102">
        <f t="shared" si="6"/>
        <v>7.8571538940809871E-2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1:35" ht="14.25" customHeight="1">
      <c r="A8" s="80" t="s">
        <v>262</v>
      </c>
      <c r="B8" s="80" t="s">
        <v>263</v>
      </c>
      <c r="C8" s="80">
        <v>2080</v>
      </c>
      <c r="D8" s="80">
        <v>2080</v>
      </c>
      <c r="E8" s="74">
        <f t="shared" si="0"/>
        <v>1</v>
      </c>
      <c r="F8" s="228">
        <v>683.22850000000005</v>
      </c>
      <c r="G8" s="75">
        <f t="shared" si="1"/>
        <v>1396.7714999999998</v>
      </c>
      <c r="H8" s="76">
        <f t="shared" si="2"/>
        <v>0.67152475961538449</v>
      </c>
      <c r="I8" s="128">
        <f>D8*營業基本資訊!$D$8</f>
        <v>0</v>
      </c>
      <c r="J8" s="78">
        <f>D8*營業基本資訊!$D$5</f>
        <v>1077.4039466666668</v>
      </c>
      <c r="K8" s="78">
        <f>D8*營業基本資訊!$D$6</f>
        <v>0</v>
      </c>
      <c r="L8" s="78">
        <f>D8*營業基本資訊!$D$7</f>
        <v>0</v>
      </c>
      <c r="M8" s="78">
        <f t="shared" si="3"/>
        <v>104</v>
      </c>
      <c r="N8" s="128">
        <f t="shared" si="4"/>
        <v>1181.4039466666668</v>
      </c>
      <c r="O8" s="75">
        <f t="shared" si="5"/>
        <v>215.36755333333303</v>
      </c>
      <c r="P8" s="102">
        <f t="shared" si="6"/>
        <v>0.1035420929487178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pans="1:35" ht="14.25" customHeight="1">
      <c r="A9" s="80" t="s">
        <v>151</v>
      </c>
      <c r="B9" s="80" t="s">
        <v>152</v>
      </c>
      <c r="C9" s="80">
        <v>980</v>
      </c>
      <c r="D9" s="80">
        <v>980</v>
      </c>
      <c r="E9" s="74">
        <f t="shared" si="0"/>
        <v>1</v>
      </c>
      <c r="F9" s="228">
        <v>354.8</v>
      </c>
      <c r="G9" s="75">
        <f t="shared" si="1"/>
        <v>625.20000000000005</v>
      </c>
      <c r="H9" s="76">
        <f t="shared" si="2"/>
        <v>0.63795918367346949</v>
      </c>
      <c r="I9" s="128">
        <f>D9*營業基本資訊!$D$8</f>
        <v>0</v>
      </c>
      <c r="J9" s="78">
        <f>D9*營業基本資訊!$D$5</f>
        <v>507.62301333333335</v>
      </c>
      <c r="K9" s="78">
        <f>D9*營業基本資訊!$D$6</f>
        <v>0</v>
      </c>
      <c r="L9" s="78">
        <f>D9*營業基本資訊!$D$7</f>
        <v>0</v>
      </c>
      <c r="M9" s="78">
        <f t="shared" si="3"/>
        <v>49</v>
      </c>
      <c r="N9" s="128">
        <f t="shared" si="4"/>
        <v>556.62301333333335</v>
      </c>
      <c r="O9" s="75">
        <f t="shared" si="5"/>
        <v>68.576986666666699</v>
      </c>
      <c r="P9" s="102">
        <f t="shared" si="6"/>
        <v>6.9976517006802755E-2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pans="1:35" ht="14.25" customHeight="1">
      <c r="A10" s="80" t="s">
        <v>153</v>
      </c>
      <c r="B10" s="80" t="s">
        <v>154</v>
      </c>
      <c r="C10" s="80">
        <v>980</v>
      </c>
      <c r="D10" s="80">
        <v>980</v>
      </c>
      <c r="E10" s="74">
        <f t="shared" si="0"/>
        <v>1</v>
      </c>
      <c r="F10" s="228">
        <v>412.77</v>
      </c>
      <c r="G10" s="75">
        <f t="shared" si="1"/>
        <v>567.23</v>
      </c>
      <c r="H10" s="76">
        <f t="shared" si="2"/>
        <v>0.57880612244897967</v>
      </c>
      <c r="I10" s="128">
        <f>D10*營業基本資訊!$D$8</f>
        <v>0</v>
      </c>
      <c r="J10" s="78">
        <f>D10*營業基本資訊!$D$5</f>
        <v>507.62301333333335</v>
      </c>
      <c r="K10" s="78">
        <f>D10*營業基本資訊!$D$6</f>
        <v>0</v>
      </c>
      <c r="L10" s="78">
        <f>D10*營業基本資訊!$D$7</f>
        <v>0</v>
      </c>
      <c r="M10" s="78">
        <f t="shared" si="3"/>
        <v>49</v>
      </c>
      <c r="N10" s="128">
        <f t="shared" si="4"/>
        <v>556.62301333333335</v>
      </c>
      <c r="O10" s="88">
        <f t="shared" si="5"/>
        <v>10.606986666666671</v>
      </c>
      <c r="P10" s="102">
        <f t="shared" si="6"/>
        <v>1.0823455782312931E-2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pans="1:35" ht="14.25" customHeight="1">
      <c r="A11" s="80" t="s">
        <v>163</v>
      </c>
      <c r="B11" s="80" t="s">
        <v>289</v>
      </c>
      <c r="C11" s="80">
        <v>699</v>
      </c>
      <c r="D11" s="80">
        <v>699</v>
      </c>
      <c r="E11" s="74">
        <f t="shared" si="0"/>
        <v>1</v>
      </c>
      <c r="F11" s="228">
        <v>266.59730000000002</v>
      </c>
      <c r="G11" s="75">
        <f t="shared" si="1"/>
        <v>432.40269999999998</v>
      </c>
      <c r="H11" s="76">
        <f t="shared" si="2"/>
        <v>0.61860185979971383</v>
      </c>
      <c r="I11" s="128">
        <f>D11*營業基本資訊!$D$8</f>
        <v>0</v>
      </c>
      <c r="J11" s="78">
        <f>D11*營業基本資訊!$D$5</f>
        <v>362.069884</v>
      </c>
      <c r="K11" s="78">
        <f>D11*營業基本資訊!$D$6</f>
        <v>0</v>
      </c>
      <c r="L11" s="78">
        <f>D11*營業基本資訊!$D$7</f>
        <v>0</v>
      </c>
      <c r="M11" s="78">
        <f t="shared" si="3"/>
        <v>34.950000000000003</v>
      </c>
      <c r="N11" s="128">
        <f t="shared" si="4"/>
        <v>397.01988399999999</v>
      </c>
      <c r="O11" s="88">
        <f t="shared" si="5"/>
        <v>35.382815999999991</v>
      </c>
      <c r="P11" s="102">
        <f t="shared" si="6"/>
        <v>5.0619193133047198E-2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1:35" ht="14.25" customHeight="1">
      <c r="A12" s="80" t="s">
        <v>257</v>
      </c>
      <c r="B12" s="80" t="s">
        <v>258</v>
      </c>
      <c r="C12" s="80">
        <v>15</v>
      </c>
      <c r="D12" s="80">
        <v>15</v>
      </c>
      <c r="E12" s="74">
        <f t="shared" si="0"/>
        <v>1</v>
      </c>
      <c r="F12" s="228">
        <v>11.69</v>
      </c>
      <c r="G12" s="75">
        <f t="shared" si="1"/>
        <v>3.3100000000000005</v>
      </c>
      <c r="H12" s="76">
        <f t="shared" si="2"/>
        <v>0.22066666666666671</v>
      </c>
      <c r="I12" s="128">
        <f>D12*營業基本資訊!$D$8</f>
        <v>0</v>
      </c>
      <c r="J12" s="78">
        <f>D12*營業基本資訊!$D$5</f>
        <v>7.7697400000000005</v>
      </c>
      <c r="K12" s="78">
        <f>D12*營業基本資訊!$D$6</f>
        <v>0</v>
      </c>
      <c r="L12" s="78">
        <f>D12*營業基本資訊!$D$7</f>
        <v>0</v>
      </c>
      <c r="M12" s="78">
        <f t="shared" si="3"/>
        <v>0.75</v>
      </c>
      <c r="N12" s="128">
        <f t="shared" si="4"/>
        <v>8.5197400000000005</v>
      </c>
      <c r="O12" s="88">
        <f t="shared" si="5"/>
        <v>-5.20974</v>
      </c>
      <c r="P12" s="102">
        <f t="shared" si="6"/>
        <v>-0.34731600000000001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1:35" ht="14.25" customHeight="1">
      <c r="A13" s="80" t="s">
        <v>197</v>
      </c>
      <c r="B13" s="80" t="s">
        <v>200</v>
      </c>
      <c r="C13" s="80">
        <v>480</v>
      </c>
      <c r="D13" s="80">
        <v>480</v>
      </c>
      <c r="E13" s="74">
        <f t="shared" si="0"/>
        <v>1</v>
      </c>
      <c r="F13" s="228">
        <v>135.86689999999999</v>
      </c>
      <c r="G13" s="75">
        <f t="shared" si="1"/>
        <v>344.13310000000001</v>
      </c>
      <c r="H13" s="76">
        <f t="shared" si="2"/>
        <v>0.71694395833333335</v>
      </c>
      <c r="I13" s="128">
        <f>D13*營業基本資訊!$D$8</f>
        <v>0</v>
      </c>
      <c r="J13" s="78">
        <f>D13*營業基本資訊!$D$5</f>
        <v>248.63168000000002</v>
      </c>
      <c r="K13" s="78">
        <f>D13*營業基本資訊!$D$6</f>
        <v>0</v>
      </c>
      <c r="L13" s="78">
        <f>D13*營業基本資訊!$D$7</f>
        <v>0</v>
      </c>
      <c r="M13" s="78">
        <f t="shared" si="3"/>
        <v>24</v>
      </c>
      <c r="N13" s="128">
        <f t="shared" si="4"/>
        <v>272.63168000000002</v>
      </c>
      <c r="O13" s="88">
        <f t="shared" si="5"/>
        <v>71.501419999999996</v>
      </c>
      <c r="P13" s="102">
        <f t="shared" si="6"/>
        <v>0.14896129166666666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pans="1:35" ht="14.25" customHeight="1">
      <c r="A14" s="80" t="s">
        <v>199</v>
      </c>
      <c r="B14" s="80" t="s">
        <v>198</v>
      </c>
      <c r="C14" s="80">
        <v>380</v>
      </c>
      <c r="D14" s="80">
        <v>380</v>
      </c>
      <c r="E14" s="74">
        <f t="shared" si="0"/>
        <v>1</v>
      </c>
      <c r="F14" s="228">
        <v>121.7067</v>
      </c>
      <c r="G14" s="75">
        <f t="shared" si="1"/>
        <v>258.29329999999999</v>
      </c>
      <c r="H14" s="76">
        <f t="shared" si="2"/>
        <v>0.67971921052631579</v>
      </c>
      <c r="I14" s="128">
        <f>D14*營業基本資訊!$D$8</f>
        <v>0</v>
      </c>
      <c r="J14" s="78">
        <f>D14*營業基本資訊!$D$5</f>
        <v>196.83341333333334</v>
      </c>
      <c r="K14" s="78">
        <f>D14*營業基本資訊!$D$6</f>
        <v>0</v>
      </c>
      <c r="L14" s="78">
        <f>D14*營業基本資訊!$D$7</f>
        <v>0</v>
      </c>
      <c r="M14" s="78">
        <f t="shared" si="3"/>
        <v>19</v>
      </c>
      <c r="N14" s="128">
        <f t="shared" si="4"/>
        <v>215.83341333333334</v>
      </c>
      <c r="O14" s="88">
        <f t="shared" si="5"/>
        <v>42.459886666666648</v>
      </c>
      <c r="P14" s="102">
        <f t="shared" si="6"/>
        <v>0.11173654385964907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pans="1:35" ht="14.25" customHeight="1">
      <c r="A15" s="229"/>
      <c r="B15" s="229" t="s">
        <v>290</v>
      </c>
      <c r="C15" s="230">
        <f>(C13+C14)*2</f>
        <v>1720</v>
      </c>
      <c r="D15" s="229">
        <v>1550</v>
      </c>
      <c r="E15" s="231">
        <f t="shared" si="0"/>
        <v>0.90116279069767447</v>
      </c>
      <c r="F15" s="230">
        <f>(F13+F14)*2</f>
        <v>515.1472</v>
      </c>
      <c r="G15" s="232">
        <f t="shared" si="1"/>
        <v>1034.8528000000001</v>
      </c>
      <c r="H15" s="233">
        <f t="shared" si="2"/>
        <v>0.66764696774193555</v>
      </c>
      <c r="I15" s="234">
        <v>350</v>
      </c>
      <c r="J15" s="235">
        <f>D15*營業基本資訊!$D$5</f>
        <v>802.87313333333339</v>
      </c>
      <c r="K15" s="235">
        <f>D15*營業基本資訊!$D$6</f>
        <v>0</v>
      </c>
      <c r="L15" s="235">
        <f>D15*營業基本資訊!$D$7</f>
        <v>0</v>
      </c>
      <c r="M15" s="235">
        <f t="shared" si="3"/>
        <v>77.5</v>
      </c>
      <c r="N15" s="234">
        <f t="shared" si="4"/>
        <v>1230.3731333333335</v>
      </c>
      <c r="O15" s="236">
        <f t="shared" si="5"/>
        <v>-195.52033333333338</v>
      </c>
      <c r="P15" s="233">
        <f t="shared" si="6"/>
        <v>-0.12614215053763445</v>
      </c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</row>
    <row r="16" spans="1:35" ht="14.25" customHeight="1">
      <c r="A16" s="229"/>
      <c r="B16" s="229" t="s">
        <v>291</v>
      </c>
      <c r="C16" s="230">
        <v>1350</v>
      </c>
      <c r="D16" s="229">
        <v>1200</v>
      </c>
      <c r="E16" s="231">
        <f t="shared" si="0"/>
        <v>0.88888888888888884</v>
      </c>
      <c r="F16" s="230">
        <f>(65+60)*2</f>
        <v>250</v>
      </c>
      <c r="G16" s="232">
        <f t="shared" si="1"/>
        <v>950</v>
      </c>
      <c r="H16" s="233">
        <f t="shared" si="2"/>
        <v>0.79166666666666663</v>
      </c>
      <c r="I16" s="234">
        <v>350</v>
      </c>
      <c r="J16" s="235">
        <f>D16*營業基本資訊!$D$5</f>
        <v>621.57920000000001</v>
      </c>
      <c r="K16" s="235">
        <f>D16*營業基本資訊!$D$6</f>
        <v>0</v>
      </c>
      <c r="L16" s="235">
        <f>D16*營業基本資訊!$D$7</f>
        <v>0</v>
      </c>
      <c r="M16" s="235">
        <f t="shared" si="3"/>
        <v>60</v>
      </c>
      <c r="N16" s="234">
        <f t="shared" si="4"/>
        <v>1031.5792000000001</v>
      </c>
      <c r="O16" s="236">
        <f t="shared" si="5"/>
        <v>-81.579200000000128</v>
      </c>
      <c r="P16" s="233">
        <f t="shared" si="6"/>
        <v>-6.7982666666666774E-2</v>
      </c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</row>
    <row r="17" spans="1:35" ht="14.25" customHeight="1">
      <c r="A17" s="80" t="s">
        <v>195</v>
      </c>
      <c r="B17" s="80" t="s">
        <v>196</v>
      </c>
      <c r="C17" s="80">
        <v>200</v>
      </c>
      <c r="D17" s="80">
        <v>200</v>
      </c>
      <c r="E17" s="74">
        <f t="shared" si="0"/>
        <v>1</v>
      </c>
      <c r="F17" s="228">
        <v>125.6733</v>
      </c>
      <c r="G17" s="75">
        <f t="shared" si="1"/>
        <v>74.326700000000002</v>
      </c>
      <c r="H17" s="76">
        <f t="shared" si="2"/>
        <v>0.37163350000000001</v>
      </c>
      <c r="I17" s="128">
        <f>D17*營業基本資訊!$D$8</f>
        <v>0</v>
      </c>
      <c r="J17" s="78">
        <f>D17*營業基本資訊!$D$5</f>
        <v>103.59653333333334</v>
      </c>
      <c r="K17" s="78">
        <f>D17*營業基本資訊!$D$6</f>
        <v>0</v>
      </c>
      <c r="L17" s="78">
        <f>D17*營業基本資訊!$D$7</f>
        <v>0</v>
      </c>
      <c r="M17" s="78">
        <f t="shared" si="3"/>
        <v>10</v>
      </c>
      <c r="N17" s="128">
        <f t="shared" si="4"/>
        <v>113.59653333333334</v>
      </c>
      <c r="O17" s="88">
        <f t="shared" si="5"/>
        <v>-39.269833333333338</v>
      </c>
      <c r="P17" s="102">
        <f t="shared" si="6"/>
        <v>-0.19634916666666669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pans="1:35" ht="14.25" customHeight="1">
      <c r="A18" s="80" t="s">
        <v>254</v>
      </c>
      <c r="B18" s="80" t="s">
        <v>255</v>
      </c>
      <c r="C18" s="80">
        <v>65</v>
      </c>
      <c r="D18" s="80">
        <v>65</v>
      </c>
      <c r="E18" s="74">
        <f t="shared" si="0"/>
        <v>1</v>
      </c>
      <c r="F18" s="228">
        <v>55.79</v>
      </c>
      <c r="G18" s="75">
        <f t="shared" si="1"/>
        <v>9.2100000000000009</v>
      </c>
      <c r="H18" s="76">
        <f t="shared" si="2"/>
        <v>0.1416923076923077</v>
      </c>
      <c r="I18" s="128">
        <f>D18*營業基本資訊!$D$8</f>
        <v>0</v>
      </c>
      <c r="J18" s="78">
        <f>D18*營業基本資訊!$D$5</f>
        <v>33.668873333333337</v>
      </c>
      <c r="K18" s="78">
        <f>D18*營業基本資訊!$D$6</f>
        <v>0</v>
      </c>
      <c r="L18" s="78">
        <f>D18*營業基本資訊!$D$7</f>
        <v>0</v>
      </c>
      <c r="M18" s="78">
        <f t="shared" si="3"/>
        <v>3.25</v>
      </c>
      <c r="N18" s="128">
        <f t="shared" si="4"/>
        <v>36.918873333333337</v>
      </c>
      <c r="O18" s="88">
        <f t="shared" si="5"/>
        <v>-27.708873333333337</v>
      </c>
      <c r="P18" s="102">
        <f t="shared" si="6"/>
        <v>-0.42629035897435902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pans="1:35" ht="14.25" customHeight="1">
      <c r="A19" s="80" t="s">
        <v>172</v>
      </c>
      <c r="B19" s="80" t="s">
        <v>173</v>
      </c>
      <c r="C19" s="80">
        <v>130</v>
      </c>
      <c r="D19" s="80">
        <v>130</v>
      </c>
      <c r="E19" s="74">
        <f t="shared" si="0"/>
        <v>1</v>
      </c>
      <c r="F19" s="228">
        <v>60.426000000000002</v>
      </c>
      <c r="G19" s="75">
        <f t="shared" si="1"/>
        <v>69.573999999999998</v>
      </c>
      <c r="H19" s="76">
        <f t="shared" si="2"/>
        <v>0.53518461538461537</v>
      </c>
      <c r="I19" s="128">
        <f>D19*營業基本資訊!$D$8</f>
        <v>0</v>
      </c>
      <c r="J19" s="78">
        <f>D19*營業基本資訊!$D$5</f>
        <v>67.337746666666675</v>
      </c>
      <c r="K19" s="78">
        <f>D19*營業基本資訊!$D$6</f>
        <v>0</v>
      </c>
      <c r="L19" s="78">
        <f>D19*營業基本資訊!$D$7</f>
        <v>0</v>
      </c>
      <c r="M19" s="78">
        <f t="shared" si="3"/>
        <v>6.5</v>
      </c>
      <c r="N19" s="128">
        <f t="shared" si="4"/>
        <v>73.837746666666675</v>
      </c>
      <c r="O19" s="88">
        <f t="shared" si="5"/>
        <v>-4.2637466666666768</v>
      </c>
      <c r="P19" s="102">
        <f t="shared" si="6"/>
        <v>-3.2798051282051363E-2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pans="1:35" ht="14.25" customHeight="1">
      <c r="A20" s="80" t="s">
        <v>167</v>
      </c>
      <c r="B20" s="238" t="s">
        <v>292</v>
      </c>
      <c r="C20" s="80">
        <v>230</v>
      </c>
      <c r="D20" s="80">
        <v>230</v>
      </c>
      <c r="E20" s="74">
        <f t="shared" si="0"/>
        <v>1</v>
      </c>
      <c r="F20" s="228">
        <v>60</v>
      </c>
      <c r="G20" s="75">
        <f t="shared" si="1"/>
        <v>170</v>
      </c>
      <c r="H20" s="76">
        <f t="shared" si="2"/>
        <v>0.73913043478260865</v>
      </c>
      <c r="I20" s="128">
        <f>D20*營業基本資訊!$D$8</f>
        <v>0</v>
      </c>
      <c r="J20" s="78">
        <f>D20*營業基本資訊!$D$5</f>
        <v>119.13601333333334</v>
      </c>
      <c r="K20" s="78">
        <f>D20*營業基本資訊!$D$6</f>
        <v>0</v>
      </c>
      <c r="L20" s="78">
        <f>D20*營業基本資訊!$D$7</f>
        <v>0</v>
      </c>
      <c r="M20" s="78">
        <f t="shared" si="3"/>
        <v>11.5</v>
      </c>
      <c r="N20" s="128">
        <f t="shared" si="4"/>
        <v>130.63601333333332</v>
      </c>
      <c r="O20" s="88">
        <f t="shared" si="5"/>
        <v>39.363986666666676</v>
      </c>
      <c r="P20" s="102">
        <f t="shared" si="6"/>
        <v>0.17114776811594207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 spans="1:35" ht="14.25" customHeight="1">
      <c r="A21" s="229"/>
      <c r="B21" s="229" t="s">
        <v>293</v>
      </c>
      <c r="C21" s="229">
        <v>250</v>
      </c>
      <c r="D21" s="229">
        <v>250</v>
      </c>
      <c r="E21" s="231">
        <f t="shared" si="0"/>
        <v>1</v>
      </c>
      <c r="F21" s="230">
        <v>72</v>
      </c>
      <c r="G21" s="232">
        <f t="shared" si="1"/>
        <v>178</v>
      </c>
      <c r="H21" s="233">
        <f t="shared" si="2"/>
        <v>0.71199999999999997</v>
      </c>
      <c r="I21" s="234">
        <f>D21*營業基本資訊!$D$8</f>
        <v>0</v>
      </c>
      <c r="J21" s="235">
        <f>D21*營業基本資訊!$D$5</f>
        <v>129.49566666666666</v>
      </c>
      <c r="K21" s="235">
        <f>D21*營業基本資訊!$D$6</f>
        <v>0</v>
      </c>
      <c r="L21" s="235">
        <f>D21*營業基本資訊!$D$7</f>
        <v>0</v>
      </c>
      <c r="M21" s="235">
        <f t="shared" si="3"/>
        <v>12.5</v>
      </c>
      <c r="N21" s="234">
        <f t="shared" si="4"/>
        <v>141.99566666666666</v>
      </c>
      <c r="O21" s="236">
        <f t="shared" si="5"/>
        <v>36.004333333333335</v>
      </c>
      <c r="P21" s="233">
        <f t="shared" si="6"/>
        <v>0.14401733333333333</v>
      </c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</row>
    <row r="22" spans="1:35" ht="14.25" customHeight="1">
      <c r="A22" s="80"/>
      <c r="B22" s="229" t="s">
        <v>294</v>
      </c>
      <c r="C22" s="80">
        <f>C21*10</f>
        <v>2500</v>
      </c>
      <c r="D22" s="80">
        <v>2260</v>
      </c>
      <c r="E22" s="231">
        <f t="shared" si="0"/>
        <v>0.90400000000000003</v>
      </c>
      <c r="F22" s="80">
        <f>F21*10</f>
        <v>720</v>
      </c>
      <c r="G22" s="232">
        <f t="shared" si="1"/>
        <v>1540</v>
      </c>
      <c r="H22" s="233">
        <f t="shared" si="2"/>
        <v>0.68141592920353977</v>
      </c>
      <c r="I22" s="234">
        <v>350</v>
      </c>
      <c r="J22" s="235">
        <f>D22*營業基本資訊!$D$5</f>
        <v>1170.6408266666667</v>
      </c>
      <c r="K22" s="235">
        <f>D22*營業基本資訊!$D$6</f>
        <v>0</v>
      </c>
      <c r="L22" s="235">
        <f>D22*營業基本資訊!$D$7</f>
        <v>0</v>
      </c>
      <c r="M22" s="235">
        <f t="shared" si="3"/>
        <v>113</v>
      </c>
      <c r="N22" s="234">
        <f t="shared" si="4"/>
        <v>1633.6408266666667</v>
      </c>
      <c r="O22" s="236">
        <f t="shared" si="5"/>
        <v>-93.640826666666726</v>
      </c>
      <c r="P22" s="233">
        <f t="shared" si="6"/>
        <v>-4.143399410029501E-2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pans="1:35" ht="14.25" customHeight="1">
      <c r="A23" s="80" t="s">
        <v>177</v>
      </c>
      <c r="B23" s="80" t="s">
        <v>178</v>
      </c>
      <c r="C23" s="80">
        <v>200</v>
      </c>
      <c r="D23" s="80">
        <v>200</v>
      </c>
      <c r="E23" s="74">
        <f t="shared" si="0"/>
        <v>1</v>
      </c>
      <c r="F23" s="228">
        <v>64.876000000000005</v>
      </c>
      <c r="G23" s="75">
        <f t="shared" si="1"/>
        <v>135.124</v>
      </c>
      <c r="H23" s="76">
        <f t="shared" si="2"/>
        <v>0.67562</v>
      </c>
      <c r="I23" s="128">
        <f>D23*營業基本資訊!$D$8</f>
        <v>0</v>
      </c>
      <c r="J23" s="78">
        <f>D23*營業基本資訊!$D$5</f>
        <v>103.59653333333334</v>
      </c>
      <c r="K23" s="78">
        <f>D23*營業基本資訊!$D$6</f>
        <v>0</v>
      </c>
      <c r="L23" s="78">
        <f>D23*營業基本資訊!$D$7</f>
        <v>0</v>
      </c>
      <c r="M23" s="78">
        <f t="shared" si="3"/>
        <v>10</v>
      </c>
      <c r="N23" s="128">
        <f t="shared" si="4"/>
        <v>113.59653333333334</v>
      </c>
      <c r="O23" s="88">
        <f t="shared" si="5"/>
        <v>21.527466666666655</v>
      </c>
      <c r="P23" s="102">
        <f t="shared" si="6"/>
        <v>0.10763733333333328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pans="1:35" ht="14.25" customHeight="1">
      <c r="A24" s="80" t="s">
        <v>182</v>
      </c>
      <c r="B24" s="238" t="s">
        <v>183</v>
      </c>
      <c r="C24" s="80">
        <v>150</v>
      </c>
      <c r="D24" s="80">
        <v>150</v>
      </c>
      <c r="E24" s="74">
        <f t="shared" si="0"/>
        <v>1</v>
      </c>
      <c r="F24" s="228">
        <v>65</v>
      </c>
      <c r="G24" s="75">
        <f t="shared" si="1"/>
        <v>85</v>
      </c>
      <c r="H24" s="76">
        <f t="shared" si="2"/>
        <v>0.56666666666666665</v>
      </c>
      <c r="I24" s="128">
        <f>D24*營業基本資訊!$D$8</f>
        <v>0</v>
      </c>
      <c r="J24" s="78">
        <f>D24*營業基本資訊!$D$5</f>
        <v>77.697400000000002</v>
      </c>
      <c r="K24" s="78">
        <f>D24*營業基本資訊!$D$6</f>
        <v>0</v>
      </c>
      <c r="L24" s="78">
        <f>D24*營業基本資訊!$D$7</f>
        <v>0</v>
      </c>
      <c r="M24" s="78">
        <f t="shared" si="3"/>
        <v>7.5</v>
      </c>
      <c r="N24" s="128">
        <f t="shared" si="4"/>
        <v>85.197400000000002</v>
      </c>
      <c r="O24" s="88">
        <f t="shared" si="5"/>
        <v>-0.1974000000000018</v>
      </c>
      <c r="P24" s="102">
        <f t="shared" si="6"/>
        <v>-1.316000000000012E-3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pans="1:35" ht="15.75" customHeight="1">
      <c r="A25" s="229"/>
      <c r="B25" s="229" t="s">
        <v>295</v>
      </c>
      <c r="C25" s="229">
        <v>250</v>
      </c>
      <c r="D25" s="229">
        <v>250</v>
      </c>
      <c r="E25" s="231">
        <f t="shared" si="0"/>
        <v>1</v>
      </c>
      <c r="F25" s="230">
        <v>72</v>
      </c>
      <c r="G25" s="232">
        <f t="shared" si="1"/>
        <v>178</v>
      </c>
      <c r="H25" s="233">
        <f t="shared" si="2"/>
        <v>0.71199999999999997</v>
      </c>
      <c r="I25" s="234">
        <f>D25*營業基本資訊!$D$8</f>
        <v>0</v>
      </c>
      <c r="J25" s="235">
        <f>D25*營業基本資訊!$D$5</f>
        <v>129.49566666666666</v>
      </c>
      <c r="K25" s="235">
        <f>D25*營業基本資訊!$D$6</f>
        <v>0</v>
      </c>
      <c r="L25" s="235">
        <f>D25*營業基本資訊!$D$7</f>
        <v>0</v>
      </c>
      <c r="M25" s="235">
        <f t="shared" si="3"/>
        <v>12.5</v>
      </c>
      <c r="N25" s="234">
        <f t="shared" si="4"/>
        <v>141.99566666666666</v>
      </c>
      <c r="O25" s="236">
        <f t="shared" si="5"/>
        <v>36.004333333333335</v>
      </c>
      <c r="P25" s="233">
        <f t="shared" si="6"/>
        <v>0.14401733333333333</v>
      </c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</row>
    <row r="26" spans="1:35" ht="15.75" customHeight="1">
      <c r="A26" s="80" t="s">
        <v>246</v>
      </c>
      <c r="B26" s="80" t="s">
        <v>247</v>
      </c>
      <c r="C26" s="80">
        <v>150</v>
      </c>
      <c r="D26" s="80">
        <v>150</v>
      </c>
      <c r="E26" s="74">
        <f t="shared" si="0"/>
        <v>1</v>
      </c>
      <c r="F26" s="228">
        <v>34.802500000000002</v>
      </c>
      <c r="G26" s="75">
        <f t="shared" si="1"/>
        <v>115.19749999999999</v>
      </c>
      <c r="H26" s="76">
        <f t="shared" si="2"/>
        <v>0.76798333333333324</v>
      </c>
      <c r="I26" s="128">
        <f>D26*營業基本資訊!$D$8</f>
        <v>0</v>
      </c>
      <c r="J26" s="78">
        <f>D26*營業基本資訊!$D$5</f>
        <v>77.697400000000002</v>
      </c>
      <c r="K26" s="78">
        <f>D26*營業基本資訊!$D$6</f>
        <v>0</v>
      </c>
      <c r="L26" s="78">
        <f>D26*營業基本資訊!$D$7</f>
        <v>0</v>
      </c>
      <c r="M26" s="78">
        <f t="shared" si="3"/>
        <v>7.5</v>
      </c>
      <c r="N26" s="128">
        <f t="shared" si="4"/>
        <v>85.197400000000002</v>
      </c>
      <c r="O26" s="88">
        <f t="shared" si="5"/>
        <v>30.000099999999989</v>
      </c>
      <c r="P26" s="102">
        <f t="shared" si="6"/>
        <v>0.2000006666666666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pans="1:35" ht="15.75" customHeight="1">
      <c r="A27" s="80" t="s">
        <v>244</v>
      </c>
      <c r="B27" s="80" t="s">
        <v>245</v>
      </c>
      <c r="C27" s="80">
        <v>180</v>
      </c>
      <c r="D27" s="80">
        <v>180</v>
      </c>
      <c r="E27" s="74">
        <f t="shared" si="0"/>
        <v>1</v>
      </c>
      <c r="F27" s="228">
        <v>30.745560000000001</v>
      </c>
      <c r="G27" s="75">
        <f t="shared" si="1"/>
        <v>149.25443999999999</v>
      </c>
      <c r="H27" s="76">
        <f t="shared" si="2"/>
        <v>0.82919133333333328</v>
      </c>
      <c r="I27" s="128">
        <f>D27*營業基本資訊!$D$8</f>
        <v>0</v>
      </c>
      <c r="J27" s="78">
        <f>D27*營業基本資訊!$D$5</f>
        <v>93.236880000000014</v>
      </c>
      <c r="K27" s="78">
        <f>D27*營業基本資訊!$D$6</f>
        <v>0</v>
      </c>
      <c r="L27" s="78">
        <f>D27*營業基本資訊!$D$7</f>
        <v>0</v>
      </c>
      <c r="M27" s="78">
        <f t="shared" si="3"/>
        <v>9</v>
      </c>
      <c r="N27" s="128">
        <f t="shared" si="4"/>
        <v>102.23688000000001</v>
      </c>
      <c r="O27" s="88">
        <f t="shared" si="5"/>
        <v>47.017559999999975</v>
      </c>
      <c r="P27" s="102">
        <f t="shared" si="6"/>
        <v>0.26120866666666653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pans="1:35" ht="15.75" customHeight="1">
      <c r="A28" s="80" t="s">
        <v>155</v>
      </c>
      <c r="B28" s="80" t="s">
        <v>156</v>
      </c>
      <c r="C28" s="80">
        <v>150</v>
      </c>
      <c r="D28" s="80">
        <v>150</v>
      </c>
      <c r="E28" s="74">
        <f t="shared" si="0"/>
        <v>1</v>
      </c>
      <c r="F28" s="228">
        <v>53.76</v>
      </c>
      <c r="G28" s="75">
        <f t="shared" si="1"/>
        <v>96.240000000000009</v>
      </c>
      <c r="H28" s="76">
        <f t="shared" si="2"/>
        <v>0.64160000000000006</v>
      </c>
      <c r="I28" s="128">
        <f>D28*營業基本資訊!$D$8</f>
        <v>0</v>
      </c>
      <c r="J28" s="78">
        <f>D28*營業基本資訊!$D$5</f>
        <v>77.697400000000002</v>
      </c>
      <c r="K28" s="78">
        <f>D28*營業基本資訊!$D$6</f>
        <v>0</v>
      </c>
      <c r="L28" s="78">
        <f>D28*營業基本資訊!$D$7</f>
        <v>0</v>
      </c>
      <c r="M28" s="78">
        <f t="shared" si="3"/>
        <v>7.5</v>
      </c>
      <c r="N28" s="128">
        <f t="shared" si="4"/>
        <v>85.197400000000002</v>
      </c>
      <c r="O28" s="88">
        <f t="shared" si="5"/>
        <v>11.042600000000007</v>
      </c>
      <c r="P28" s="102">
        <f t="shared" si="6"/>
        <v>7.3617333333333382E-2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pans="1:35" ht="15.75" customHeight="1">
      <c r="A29" s="80" t="s">
        <v>158</v>
      </c>
      <c r="B29" s="80" t="s">
        <v>159</v>
      </c>
      <c r="C29" s="80">
        <v>150</v>
      </c>
      <c r="D29" s="80">
        <v>150</v>
      </c>
      <c r="E29" s="74">
        <f t="shared" si="0"/>
        <v>1</v>
      </c>
      <c r="F29" s="228">
        <v>54.058</v>
      </c>
      <c r="G29" s="75">
        <f t="shared" si="1"/>
        <v>95.942000000000007</v>
      </c>
      <c r="H29" s="76">
        <f t="shared" si="2"/>
        <v>0.63961333333333337</v>
      </c>
      <c r="I29" s="128">
        <f>D29*營業基本資訊!$D$8</f>
        <v>0</v>
      </c>
      <c r="J29" s="78">
        <f>D29*營業基本資訊!$D$5</f>
        <v>77.697400000000002</v>
      </c>
      <c r="K29" s="78">
        <f>D29*營業基本資訊!$D$6</f>
        <v>0</v>
      </c>
      <c r="L29" s="78">
        <f>D29*營業基本資訊!$D$7</f>
        <v>0</v>
      </c>
      <c r="M29" s="78">
        <f t="shared" si="3"/>
        <v>7.5</v>
      </c>
      <c r="N29" s="128">
        <f t="shared" si="4"/>
        <v>85.197400000000002</v>
      </c>
      <c r="O29" s="88">
        <f t="shared" si="5"/>
        <v>10.744600000000005</v>
      </c>
      <c r="P29" s="102">
        <f t="shared" si="6"/>
        <v>7.1630666666666704E-2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pans="1:35" ht="15.75" customHeight="1">
      <c r="A30" s="80" t="s">
        <v>161</v>
      </c>
      <c r="B30" s="80" t="s">
        <v>264</v>
      </c>
      <c r="C30" s="80">
        <v>220</v>
      </c>
      <c r="D30" s="80">
        <v>220</v>
      </c>
      <c r="E30" s="74">
        <f t="shared" si="0"/>
        <v>1</v>
      </c>
      <c r="F30" s="228">
        <v>65.121250000000003</v>
      </c>
      <c r="G30" s="75">
        <f t="shared" si="1"/>
        <v>154.87875</v>
      </c>
      <c r="H30" s="76">
        <f t="shared" si="2"/>
        <v>0.70399431818181812</v>
      </c>
      <c r="I30" s="128">
        <f>D30*營業基本資訊!$D$8</f>
        <v>0</v>
      </c>
      <c r="J30" s="78">
        <f>D30*營業基本資訊!$D$5</f>
        <v>113.95618666666667</v>
      </c>
      <c r="K30" s="78">
        <f>D30*營業基本資訊!$D$6</f>
        <v>0</v>
      </c>
      <c r="L30" s="78">
        <f>D30*營業基本資訊!$D$7</f>
        <v>0</v>
      </c>
      <c r="M30" s="78">
        <f t="shared" si="3"/>
        <v>11</v>
      </c>
      <c r="N30" s="128">
        <f t="shared" si="4"/>
        <v>124.95618666666667</v>
      </c>
      <c r="O30" s="88">
        <f t="shared" si="5"/>
        <v>29.922563333333329</v>
      </c>
      <c r="P30" s="102">
        <f t="shared" si="6"/>
        <v>0.13601165151515149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 spans="1:35" ht="15.75" customHeight="1">
      <c r="A31" s="80" t="s">
        <v>256</v>
      </c>
      <c r="B31" s="80" t="s">
        <v>179</v>
      </c>
      <c r="C31" s="80">
        <v>180</v>
      </c>
      <c r="D31" s="80">
        <v>180</v>
      </c>
      <c r="E31" s="74">
        <f t="shared" si="0"/>
        <v>1</v>
      </c>
      <c r="F31" s="228">
        <v>72.766000000000005</v>
      </c>
      <c r="G31" s="75">
        <f t="shared" si="1"/>
        <v>107.23399999999999</v>
      </c>
      <c r="H31" s="76">
        <f t="shared" si="2"/>
        <v>0.59574444444444441</v>
      </c>
      <c r="I31" s="128">
        <f>D31*營業基本資訊!$D$8</f>
        <v>0</v>
      </c>
      <c r="J31" s="78">
        <f>D31*營業基本資訊!$D$5</f>
        <v>93.236880000000014</v>
      </c>
      <c r="K31" s="78">
        <f>D31*營業基本資訊!$D$6</f>
        <v>0</v>
      </c>
      <c r="L31" s="78">
        <f>D31*營業基本資訊!$D$7</f>
        <v>0</v>
      </c>
      <c r="M31" s="78">
        <f t="shared" si="3"/>
        <v>9</v>
      </c>
      <c r="N31" s="128">
        <f t="shared" si="4"/>
        <v>102.23688000000001</v>
      </c>
      <c r="O31" s="88">
        <f t="shared" si="5"/>
        <v>4.9971199999999811</v>
      </c>
      <c r="P31" s="102">
        <f t="shared" si="6"/>
        <v>2.7761777777777673E-2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pans="1:35" ht="15.75" customHeight="1">
      <c r="A32" s="80" t="s">
        <v>252</v>
      </c>
      <c r="B32" s="80" t="s">
        <v>253</v>
      </c>
      <c r="C32" s="80">
        <v>280</v>
      </c>
      <c r="D32" s="80">
        <v>280</v>
      </c>
      <c r="E32" s="74">
        <f t="shared" si="0"/>
        <v>1</v>
      </c>
      <c r="F32" s="228">
        <v>69.489999999999995</v>
      </c>
      <c r="G32" s="75">
        <f t="shared" si="1"/>
        <v>210.51</v>
      </c>
      <c r="H32" s="76">
        <f t="shared" si="2"/>
        <v>0.75182142857142853</v>
      </c>
      <c r="I32" s="128">
        <f>D32*營業基本資訊!$D$8</f>
        <v>0</v>
      </c>
      <c r="J32" s="78">
        <f>D32*營業基本資訊!$D$5</f>
        <v>145.03514666666666</v>
      </c>
      <c r="K32" s="78">
        <f>D32*營業基本資訊!$D$6</f>
        <v>0</v>
      </c>
      <c r="L32" s="78">
        <f>D32*營業基本資訊!$D$7</f>
        <v>0</v>
      </c>
      <c r="M32" s="78">
        <f t="shared" si="3"/>
        <v>14</v>
      </c>
      <c r="N32" s="128">
        <f t="shared" si="4"/>
        <v>159.03514666666666</v>
      </c>
      <c r="O32" s="88">
        <f t="shared" si="5"/>
        <v>51.474853333333328</v>
      </c>
      <c r="P32" s="102">
        <f t="shared" si="6"/>
        <v>0.18383876190476189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pans="1:35" ht="15.75" customHeight="1">
      <c r="A33" s="80" t="s">
        <v>250</v>
      </c>
      <c r="B33" s="80" t="s">
        <v>251</v>
      </c>
      <c r="C33" s="80">
        <v>320</v>
      </c>
      <c r="D33" s="80">
        <v>320</v>
      </c>
      <c r="E33" s="74">
        <f t="shared" si="0"/>
        <v>1</v>
      </c>
      <c r="F33" s="228">
        <v>88.234440000000006</v>
      </c>
      <c r="G33" s="75">
        <f t="shared" si="1"/>
        <v>231.76555999999999</v>
      </c>
      <c r="H33" s="76">
        <f t="shared" si="2"/>
        <v>0.72426737499999994</v>
      </c>
      <c r="I33" s="128">
        <f>D33*營業基本資訊!$D$8</f>
        <v>0</v>
      </c>
      <c r="J33" s="78">
        <f>D33*營業基本資訊!$D$5</f>
        <v>165.75445333333334</v>
      </c>
      <c r="K33" s="78">
        <f>D33*營業基本資訊!$D$6</f>
        <v>0</v>
      </c>
      <c r="L33" s="78">
        <f>D33*營業基本資訊!$D$7</f>
        <v>0</v>
      </c>
      <c r="M33" s="78">
        <f t="shared" si="3"/>
        <v>16</v>
      </c>
      <c r="N33" s="128">
        <f t="shared" si="4"/>
        <v>181.75445333333334</v>
      </c>
      <c r="O33" s="88">
        <f t="shared" si="5"/>
        <v>50.011106666666649</v>
      </c>
      <c r="P33" s="102">
        <f t="shared" si="6"/>
        <v>0.15628470833333327</v>
      </c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pans="1:35" ht="15.75" customHeight="1">
      <c r="A34" s="80" t="s">
        <v>248</v>
      </c>
      <c r="B34" s="80" t="s">
        <v>249</v>
      </c>
      <c r="C34" s="80">
        <v>70</v>
      </c>
      <c r="D34" s="80">
        <v>70</v>
      </c>
      <c r="E34" s="74">
        <f t="shared" si="0"/>
        <v>1</v>
      </c>
      <c r="F34" s="228">
        <v>30.977499999999999</v>
      </c>
      <c r="G34" s="75">
        <f t="shared" si="1"/>
        <v>39.022500000000001</v>
      </c>
      <c r="H34" s="76">
        <f t="shared" si="2"/>
        <v>0.55746428571428575</v>
      </c>
      <c r="I34" s="128">
        <f>D34*營業基本資訊!$D$8</f>
        <v>0</v>
      </c>
      <c r="J34" s="78">
        <f>D34*營業基本資訊!$D$5</f>
        <v>36.258786666666666</v>
      </c>
      <c r="K34" s="78">
        <f>D34*營業基本資訊!$D$6</f>
        <v>0</v>
      </c>
      <c r="L34" s="78">
        <f>D34*營業基本資訊!$D$7</f>
        <v>0</v>
      </c>
      <c r="M34" s="78">
        <f t="shared" si="3"/>
        <v>3.5</v>
      </c>
      <c r="N34" s="128">
        <f t="shared" si="4"/>
        <v>39.758786666666666</v>
      </c>
      <c r="O34" s="88">
        <f t="shared" si="5"/>
        <v>-0.73628666666666476</v>
      </c>
      <c r="P34" s="102">
        <f t="shared" si="6"/>
        <v>-1.0518380952380925E-2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pans="1:35" ht="15.75" customHeight="1">
      <c r="A35" s="80" t="s">
        <v>204</v>
      </c>
      <c r="B35" s="80" t="s">
        <v>203</v>
      </c>
      <c r="C35" s="80">
        <v>180</v>
      </c>
      <c r="D35" s="80">
        <v>180</v>
      </c>
      <c r="E35" s="74">
        <f t="shared" si="0"/>
        <v>1</v>
      </c>
      <c r="F35" s="228">
        <v>51.8</v>
      </c>
      <c r="G35" s="75">
        <f t="shared" si="1"/>
        <v>128.19999999999999</v>
      </c>
      <c r="H35" s="76">
        <f t="shared" si="2"/>
        <v>0.7122222222222222</v>
      </c>
      <c r="I35" s="128">
        <f>D35*營業基本資訊!$D$8</f>
        <v>0</v>
      </c>
      <c r="J35" s="78">
        <f>D35*營業基本資訊!$D$5</f>
        <v>93.236880000000014</v>
      </c>
      <c r="K35" s="78">
        <f>D35*營業基本資訊!$D$6</f>
        <v>0</v>
      </c>
      <c r="L35" s="78">
        <f>D35*營業基本資訊!$D$7</f>
        <v>0</v>
      </c>
      <c r="M35" s="78">
        <f t="shared" si="3"/>
        <v>9</v>
      </c>
      <c r="N35" s="128">
        <f t="shared" si="4"/>
        <v>102.23688000000001</v>
      </c>
      <c r="O35" s="88">
        <f t="shared" si="5"/>
        <v>25.963119999999975</v>
      </c>
      <c r="P35" s="102">
        <f t="shared" si="6"/>
        <v>0.14423955555555543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pans="1:35" ht="15.75" customHeight="1">
      <c r="A36" s="80" t="s">
        <v>201</v>
      </c>
      <c r="B36" s="80" t="s">
        <v>202</v>
      </c>
      <c r="C36" s="80">
        <v>100</v>
      </c>
      <c r="D36" s="80">
        <v>100</v>
      </c>
      <c r="E36" s="74">
        <f t="shared" si="0"/>
        <v>1</v>
      </c>
      <c r="F36" s="228">
        <v>43.8</v>
      </c>
      <c r="G36" s="75">
        <f t="shared" si="1"/>
        <v>56.2</v>
      </c>
      <c r="H36" s="76">
        <f t="shared" si="2"/>
        <v>0.56200000000000006</v>
      </c>
      <c r="I36" s="128">
        <f>D36*營業基本資訊!$D$8</f>
        <v>0</v>
      </c>
      <c r="J36" s="78">
        <f>D36*營業基本資訊!$D$5</f>
        <v>51.79826666666667</v>
      </c>
      <c r="K36" s="78">
        <f>D36*營業基本資訊!$D$6</f>
        <v>0</v>
      </c>
      <c r="L36" s="78">
        <f>D36*營業基本資訊!$D$7</f>
        <v>0</v>
      </c>
      <c r="M36" s="78">
        <f t="shared" si="3"/>
        <v>5</v>
      </c>
      <c r="N36" s="128">
        <f t="shared" si="4"/>
        <v>56.79826666666667</v>
      </c>
      <c r="O36" s="88">
        <f t="shared" si="5"/>
        <v>-0.59826666666666739</v>
      </c>
      <c r="P36" s="102">
        <f t="shared" si="6"/>
        <v>-5.9826666666666743E-3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pans="1:35" ht="15.75" customHeight="1">
      <c r="A37" s="80" t="s">
        <v>192</v>
      </c>
      <c r="B37" s="80" t="s">
        <v>194</v>
      </c>
      <c r="C37" s="80">
        <v>80</v>
      </c>
      <c r="D37" s="80">
        <v>80</v>
      </c>
      <c r="E37" s="74">
        <f t="shared" si="0"/>
        <v>1</v>
      </c>
      <c r="F37" s="228">
        <v>33.799999999999997</v>
      </c>
      <c r="G37" s="75">
        <f t="shared" si="1"/>
        <v>46.2</v>
      </c>
      <c r="H37" s="76">
        <f t="shared" si="2"/>
        <v>0.57750000000000001</v>
      </c>
      <c r="I37" s="128">
        <f>D37*營業基本資訊!$D$8</f>
        <v>0</v>
      </c>
      <c r="J37" s="78">
        <f>D37*營業基本資訊!$D$5</f>
        <v>41.438613333333336</v>
      </c>
      <c r="K37" s="78">
        <f>D37*營業基本資訊!$D$6</f>
        <v>0</v>
      </c>
      <c r="L37" s="78">
        <f>D37*營業基本資訊!$D$7</f>
        <v>0</v>
      </c>
      <c r="M37" s="78">
        <f t="shared" si="3"/>
        <v>4</v>
      </c>
      <c r="N37" s="128">
        <f t="shared" si="4"/>
        <v>45.438613333333336</v>
      </c>
      <c r="O37" s="88">
        <f t="shared" si="5"/>
        <v>0.76138666666666666</v>
      </c>
      <c r="P37" s="102">
        <f t="shared" si="6"/>
        <v>9.5173333333333325E-3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 spans="1:35" ht="15.75" customHeight="1">
      <c r="A38" s="80" t="s">
        <v>214</v>
      </c>
      <c r="B38" s="80" t="s">
        <v>215</v>
      </c>
      <c r="C38" s="80">
        <v>360</v>
      </c>
      <c r="D38" s="80">
        <v>360</v>
      </c>
      <c r="E38" s="74">
        <f t="shared" si="0"/>
        <v>1</v>
      </c>
      <c r="F38" s="228">
        <v>291.79000000000002</v>
      </c>
      <c r="G38" s="75">
        <f t="shared" si="1"/>
        <v>68.20999999999998</v>
      </c>
      <c r="H38" s="76">
        <f t="shared" si="2"/>
        <v>0.18947222222222215</v>
      </c>
      <c r="I38" s="128">
        <f>D38*營業基本資訊!$D$8</f>
        <v>0</v>
      </c>
      <c r="J38" s="78">
        <f>D38*營業基本資訊!$D$5</f>
        <v>186.47376000000003</v>
      </c>
      <c r="K38" s="78">
        <f>D38*營業基本資訊!$D$6</f>
        <v>0</v>
      </c>
      <c r="L38" s="78">
        <f>D38*營業基本資訊!$D$7</f>
        <v>0</v>
      </c>
      <c r="M38" s="78">
        <f t="shared" si="3"/>
        <v>18</v>
      </c>
      <c r="N38" s="128">
        <f t="shared" si="4"/>
        <v>204.47376000000003</v>
      </c>
      <c r="O38" s="88">
        <f t="shared" si="5"/>
        <v>-136.26376000000005</v>
      </c>
      <c r="P38" s="102">
        <f t="shared" si="6"/>
        <v>-0.37851044444444459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 spans="1:35" ht="15.75" customHeight="1">
      <c r="A39" s="80" t="s">
        <v>216</v>
      </c>
      <c r="B39" s="80" t="s">
        <v>217</v>
      </c>
      <c r="C39" s="80">
        <v>360</v>
      </c>
      <c r="D39" s="80">
        <v>360</v>
      </c>
      <c r="E39" s="74">
        <f t="shared" si="0"/>
        <v>1</v>
      </c>
      <c r="F39" s="228">
        <v>291.79000000000002</v>
      </c>
      <c r="G39" s="75">
        <f t="shared" si="1"/>
        <v>68.20999999999998</v>
      </c>
      <c r="H39" s="76">
        <f t="shared" si="2"/>
        <v>0.18947222222222215</v>
      </c>
      <c r="I39" s="128">
        <f>D39*營業基本資訊!$D$8</f>
        <v>0</v>
      </c>
      <c r="J39" s="78">
        <f>D39*營業基本資訊!$D$5</f>
        <v>186.47376000000003</v>
      </c>
      <c r="K39" s="78">
        <f>D39*營業基本資訊!$D$6</f>
        <v>0</v>
      </c>
      <c r="L39" s="78">
        <f>D39*營業基本資訊!$D$7</f>
        <v>0</v>
      </c>
      <c r="M39" s="78">
        <f t="shared" si="3"/>
        <v>18</v>
      </c>
      <c r="N39" s="128">
        <f t="shared" si="4"/>
        <v>204.47376000000003</v>
      </c>
      <c r="O39" s="88">
        <f t="shared" si="5"/>
        <v>-136.26376000000005</v>
      </c>
      <c r="P39" s="102">
        <f t="shared" si="6"/>
        <v>-0.37851044444444459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pans="1:35" ht="15.75" customHeight="1">
      <c r="A40" s="80" t="s">
        <v>218</v>
      </c>
      <c r="B40" s="80" t="s">
        <v>219</v>
      </c>
      <c r="C40" s="80">
        <v>360</v>
      </c>
      <c r="D40" s="80">
        <v>360</v>
      </c>
      <c r="E40" s="74">
        <f t="shared" si="0"/>
        <v>1</v>
      </c>
      <c r="F40" s="228">
        <v>291.79000000000002</v>
      </c>
      <c r="G40" s="75">
        <f t="shared" si="1"/>
        <v>68.20999999999998</v>
      </c>
      <c r="H40" s="76">
        <f t="shared" si="2"/>
        <v>0.18947222222222215</v>
      </c>
      <c r="I40" s="128">
        <f>D40*營業基本資訊!$D$8</f>
        <v>0</v>
      </c>
      <c r="J40" s="78">
        <f>D40*營業基本資訊!$D$5</f>
        <v>186.47376000000003</v>
      </c>
      <c r="K40" s="78">
        <f>D40*營業基本資訊!$D$6</f>
        <v>0</v>
      </c>
      <c r="L40" s="78">
        <f>D40*營業基本資訊!$D$7</f>
        <v>0</v>
      </c>
      <c r="M40" s="78">
        <f t="shared" si="3"/>
        <v>18</v>
      </c>
      <c r="N40" s="128">
        <f t="shared" si="4"/>
        <v>204.47376000000003</v>
      </c>
      <c r="O40" s="88">
        <f t="shared" si="5"/>
        <v>-136.26376000000005</v>
      </c>
      <c r="P40" s="102">
        <f t="shared" si="6"/>
        <v>-0.37851044444444459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pans="1:35" ht="15.75" customHeight="1">
      <c r="A41" s="80" t="s">
        <v>220</v>
      </c>
      <c r="B41" s="80" t="s">
        <v>221</v>
      </c>
      <c r="C41" s="80">
        <v>360</v>
      </c>
      <c r="D41" s="80">
        <v>360</v>
      </c>
      <c r="E41" s="74">
        <f t="shared" si="0"/>
        <v>1</v>
      </c>
      <c r="F41" s="228">
        <v>291.79000000000002</v>
      </c>
      <c r="G41" s="75">
        <f t="shared" si="1"/>
        <v>68.20999999999998</v>
      </c>
      <c r="H41" s="76">
        <f t="shared" si="2"/>
        <v>0.18947222222222215</v>
      </c>
      <c r="I41" s="128">
        <f>D41*營業基本資訊!$D$8</f>
        <v>0</v>
      </c>
      <c r="J41" s="78">
        <f>D41*營業基本資訊!$D$5</f>
        <v>186.47376000000003</v>
      </c>
      <c r="K41" s="78">
        <f>D41*營業基本資訊!$D$6</f>
        <v>0</v>
      </c>
      <c r="L41" s="78">
        <f>D41*營業基本資訊!$D$7</f>
        <v>0</v>
      </c>
      <c r="M41" s="78">
        <f t="shared" si="3"/>
        <v>18</v>
      </c>
      <c r="N41" s="128">
        <f t="shared" si="4"/>
        <v>204.47376000000003</v>
      </c>
      <c r="O41" s="88">
        <f t="shared" si="5"/>
        <v>-136.26376000000005</v>
      </c>
      <c r="P41" s="102">
        <f t="shared" si="6"/>
        <v>-0.37851044444444459</v>
      </c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pans="1:35" ht="15.75" customHeight="1">
      <c r="A42" s="80" t="s">
        <v>222</v>
      </c>
      <c r="B42" s="80" t="s">
        <v>223</v>
      </c>
      <c r="C42" s="80">
        <v>360</v>
      </c>
      <c r="D42" s="80">
        <v>360</v>
      </c>
      <c r="E42" s="74">
        <f t="shared" si="0"/>
        <v>1</v>
      </c>
      <c r="F42" s="228">
        <v>297.79000000000002</v>
      </c>
      <c r="G42" s="75">
        <f t="shared" si="1"/>
        <v>62.20999999999998</v>
      </c>
      <c r="H42" s="76">
        <f t="shared" si="2"/>
        <v>0.17280555555555549</v>
      </c>
      <c r="I42" s="128">
        <f>D42*營業基本資訊!$D$8</f>
        <v>0</v>
      </c>
      <c r="J42" s="78">
        <f>D42*營業基本資訊!$D$5</f>
        <v>186.47376000000003</v>
      </c>
      <c r="K42" s="78">
        <f>D42*營業基本資訊!$D$6</f>
        <v>0</v>
      </c>
      <c r="L42" s="78">
        <f>D42*營業基本資訊!$D$7</f>
        <v>0</v>
      </c>
      <c r="M42" s="78">
        <f t="shared" si="3"/>
        <v>18</v>
      </c>
      <c r="N42" s="128">
        <f t="shared" si="4"/>
        <v>204.47376000000003</v>
      </c>
      <c r="O42" s="88">
        <f t="shared" si="5"/>
        <v>-142.26376000000005</v>
      </c>
      <c r="P42" s="102">
        <f t="shared" si="6"/>
        <v>-0.39517711111111126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pans="1:35" ht="15.75" customHeight="1">
      <c r="A43" s="80" t="s">
        <v>206</v>
      </c>
      <c r="B43" s="80" t="s">
        <v>207</v>
      </c>
      <c r="C43" s="80">
        <v>420</v>
      </c>
      <c r="D43" s="80">
        <v>420</v>
      </c>
      <c r="E43" s="74">
        <f t="shared" si="0"/>
        <v>1</v>
      </c>
      <c r="F43" s="228">
        <v>235.88</v>
      </c>
      <c r="G43" s="75">
        <f t="shared" si="1"/>
        <v>184.12</v>
      </c>
      <c r="H43" s="76">
        <f t="shared" si="2"/>
        <v>0.43838095238095237</v>
      </c>
      <c r="I43" s="128">
        <f>D43*營業基本資訊!$D$8</f>
        <v>0</v>
      </c>
      <c r="J43" s="78">
        <f>D43*營業基本資訊!$D$5</f>
        <v>217.55272000000002</v>
      </c>
      <c r="K43" s="78">
        <f>D43*營業基本資訊!$D$6</f>
        <v>0</v>
      </c>
      <c r="L43" s="78">
        <f>D43*營業基本資訊!$D$7</f>
        <v>0</v>
      </c>
      <c r="M43" s="78">
        <f t="shared" si="3"/>
        <v>21</v>
      </c>
      <c r="N43" s="128">
        <f t="shared" si="4"/>
        <v>238.55272000000002</v>
      </c>
      <c r="O43" s="88">
        <f t="shared" si="5"/>
        <v>-54.432720000000018</v>
      </c>
      <c r="P43" s="102">
        <f t="shared" si="6"/>
        <v>-0.12960171428571432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pans="1:35" ht="15.75" customHeight="1">
      <c r="A44" s="80" t="s">
        <v>208</v>
      </c>
      <c r="B44" s="80" t="s">
        <v>209</v>
      </c>
      <c r="C44" s="80">
        <v>420</v>
      </c>
      <c r="D44" s="80">
        <v>420</v>
      </c>
      <c r="E44" s="74">
        <f t="shared" si="0"/>
        <v>1</v>
      </c>
      <c r="F44" s="228">
        <v>235.88</v>
      </c>
      <c r="G44" s="75">
        <f t="shared" si="1"/>
        <v>184.12</v>
      </c>
      <c r="H44" s="76">
        <f t="shared" si="2"/>
        <v>0.43838095238095237</v>
      </c>
      <c r="I44" s="128">
        <f>D44*營業基本資訊!$D$8</f>
        <v>0</v>
      </c>
      <c r="J44" s="78">
        <f>D44*營業基本資訊!$D$5</f>
        <v>217.55272000000002</v>
      </c>
      <c r="K44" s="78">
        <f>D44*營業基本資訊!$D$6</f>
        <v>0</v>
      </c>
      <c r="L44" s="78">
        <f>D44*營業基本資訊!$D$7</f>
        <v>0</v>
      </c>
      <c r="M44" s="78">
        <f t="shared" si="3"/>
        <v>21</v>
      </c>
      <c r="N44" s="128">
        <f t="shared" si="4"/>
        <v>238.55272000000002</v>
      </c>
      <c r="O44" s="88">
        <f t="shared" si="5"/>
        <v>-54.432720000000018</v>
      </c>
      <c r="P44" s="102">
        <f t="shared" si="6"/>
        <v>-0.12960171428571432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pans="1:35" ht="15.75" customHeight="1">
      <c r="A45" s="80" t="s">
        <v>210</v>
      </c>
      <c r="B45" s="80" t="s">
        <v>211</v>
      </c>
      <c r="C45" s="80">
        <v>420</v>
      </c>
      <c r="D45" s="80">
        <v>420</v>
      </c>
      <c r="E45" s="74">
        <f t="shared" si="0"/>
        <v>1</v>
      </c>
      <c r="F45" s="228">
        <v>235.18</v>
      </c>
      <c r="G45" s="75">
        <f t="shared" si="1"/>
        <v>184.82</v>
      </c>
      <c r="H45" s="76">
        <f t="shared" si="2"/>
        <v>0.44004761904761902</v>
      </c>
      <c r="I45" s="128">
        <f>D45*營業基本資訊!$D$8</f>
        <v>0</v>
      </c>
      <c r="J45" s="78">
        <f>D45*營業基本資訊!$D$5</f>
        <v>217.55272000000002</v>
      </c>
      <c r="K45" s="78">
        <f>D45*營業基本資訊!$D$6</f>
        <v>0</v>
      </c>
      <c r="L45" s="78">
        <f>D45*營業基本資訊!$D$7</f>
        <v>0</v>
      </c>
      <c r="M45" s="78">
        <f t="shared" si="3"/>
        <v>21</v>
      </c>
      <c r="N45" s="128">
        <f t="shared" si="4"/>
        <v>238.55272000000002</v>
      </c>
      <c r="O45" s="88">
        <f t="shared" si="5"/>
        <v>-53.732720000000029</v>
      </c>
      <c r="P45" s="102">
        <f t="shared" si="6"/>
        <v>-0.1279350476190477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spans="1:35" ht="15.75" customHeight="1">
      <c r="A46" s="80" t="s">
        <v>212</v>
      </c>
      <c r="B46" s="80" t="s">
        <v>213</v>
      </c>
      <c r="C46" s="80">
        <v>420</v>
      </c>
      <c r="D46" s="80">
        <v>420</v>
      </c>
      <c r="E46" s="74">
        <f t="shared" si="0"/>
        <v>1</v>
      </c>
      <c r="F46" s="228">
        <v>248.43</v>
      </c>
      <c r="G46" s="75">
        <f t="shared" si="1"/>
        <v>171.57</v>
      </c>
      <c r="H46" s="76">
        <f t="shared" si="2"/>
        <v>0.40849999999999997</v>
      </c>
      <c r="I46" s="128">
        <f>D46*營業基本資訊!$D$8</f>
        <v>0</v>
      </c>
      <c r="J46" s="78">
        <f>D46*營業基本資訊!$D$5</f>
        <v>217.55272000000002</v>
      </c>
      <c r="K46" s="78">
        <f>D46*營業基本資訊!$D$6</f>
        <v>0</v>
      </c>
      <c r="L46" s="78">
        <f>D46*營業基本資訊!$D$7</f>
        <v>0</v>
      </c>
      <c r="M46" s="78">
        <f t="shared" si="3"/>
        <v>21</v>
      </c>
      <c r="N46" s="128">
        <f t="shared" si="4"/>
        <v>238.55272000000002</v>
      </c>
      <c r="O46" s="88">
        <f t="shared" si="5"/>
        <v>-66.982720000000029</v>
      </c>
      <c r="P46" s="102">
        <f t="shared" si="6"/>
        <v>-0.15948266666666674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pans="1:35" ht="15.75" customHeight="1">
      <c r="A47" s="80" t="s">
        <v>234</v>
      </c>
      <c r="B47" s="80" t="s">
        <v>235</v>
      </c>
      <c r="C47" s="80">
        <v>90</v>
      </c>
      <c r="D47" s="80">
        <v>90</v>
      </c>
      <c r="E47" s="74">
        <f t="shared" si="0"/>
        <v>1</v>
      </c>
      <c r="F47" s="228">
        <v>43.33</v>
      </c>
      <c r="G47" s="75">
        <f t="shared" si="1"/>
        <v>46.67</v>
      </c>
      <c r="H47" s="76">
        <f t="shared" si="2"/>
        <v>0.51855555555555555</v>
      </c>
      <c r="I47" s="128">
        <f>D47*營業基本資訊!$D$8</f>
        <v>0</v>
      </c>
      <c r="J47" s="78">
        <f>D47*營業基本資訊!$D$5</f>
        <v>46.618440000000007</v>
      </c>
      <c r="K47" s="78">
        <f>D47*營業基本資訊!$D$6</f>
        <v>0</v>
      </c>
      <c r="L47" s="78">
        <f>D47*營業基本資訊!$D$7</f>
        <v>0</v>
      </c>
      <c r="M47" s="78">
        <f t="shared" si="3"/>
        <v>4.5</v>
      </c>
      <c r="N47" s="128">
        <f t="shared" si="4"/>
        <v>51.118440000000007</v>
      </c>
      <c r="O47" s="88">
        <f t="shared" si="5"/>
        <v>-4.4484400000000051</v>
      </c>
      <c r="P47" s="102">
        <f t="shared" si="6"/>
        <v>-4.9427111111111165E-2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pans="1:35" ht="15.75" customHeight="1">
      <c r="A48" s="80" t="s">
        <v>236</v>
      </c>
      <c r="B48" s="80" t="s">
        <v>237</v>
      </c>
      <c r="C48" s="80">
        <v>90</v>
      </c>
      <c r="D48" s="80">
        <v>90</v>
      </c>
      <c r="E48" s="74">
        <f t="shared" si="0"/>
        <v>1</v>
      </c>
      <c r="F48" s="228">
        <v>46.74</v>
      </c>
      <c r="G48" s="75">
        <f t="shared" si="1"/>
        <v>43.26</v>
      </c>
      <c r="H48" s="76">
        <f t="shared" si="2"/>
        <v>0.48066666666666663</v>
      </c>
      <c r="I48" s="128">
        <f>D48*營業基本資訊!$D$8</f>
        <v>0</v>
      </c>
      <c r="J48" s="78">
        <f>D48*營業基本資訊!$D$5</f>
        <v>46.618440000000007</v>
      </c>
      <c r="K48" s="78">
        <f>D48*營業基本資訊!$D$6</f>
        <v>0</v>
      </c>
      <c r="L48" s="78">
        <f>D48*營業基本資訊!$D$7</f>
        <v>0</v>
      </c>
      <c r="M48" s="78">
        <f t="shared" si="3"/>
        <v>4.5</v>
      </c>
      <c r="N48" s="128">
        <f t="shared" si="4"/>
        <v>51.118440000000007</v>
      </c>
      <c r="O48" s="88">
        <f t="shared" si="5"/>
        <v>-7.8584400000000088</v>
      </c>
      <c r="P48" s="102">
        <f t="shared" si="6"/>
        <v>-8.7316000000000102E-2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pans="1:35" ht="15.75" customHeight="1">
      <c r="A49" s="80" t="s">
        <v>238</v>
      </c>
      <c r="B49" s="80" t="s">
        <v>239</v>
      </c>
      <c r="C49" s="80">
        <v>90</v>
      </c>
      <c r="D49" s="80">
        <v>90</v>
      </c>
      <c r="E49" s="74">
        <f t="shared" si="0"/>
        <v>1</v>
      </c>
      <c r="F49" s="228">
        <v>44.503999999999998</v>
      </c>
      <c r="G49" s="75">
        <f t="shared" si="1"/>
        <v>45.496000000000002</v>
      </c>
      <c r="H49" s="76">
        <f t="shared" si="2"/>
        <v>0.50551111111111113</v>
      </c>
      <c r="I49" s="128">
        <f>D49*營業基本資訊!$D$8</f>
        <v>0</v>
      </c>
      <c r="J49" s="78">
        <f>D49*營業基本資訊!$D$5</f>
        <v>46.618440000000007</v>
      </c>
      <c r="K49" s="78">
        <f>D49*營業基本資訊!$D$6</f>
        <v>0</v>
      </c>
      <c r="L49" s="78">
        <f>D49*營業基本資訊!$D$7</f>
        <v>0</v>
      </c>
      <c r="M49" s="78">
        <f t="shared" si="3"/>
        <v>4.5</v>
      </c>
      <c r="N49" s="128">
        <f t="shared" si="4"/>
        <v>51.118440000000007</v>
      </c>
      <c r="O49" s="88">
        <f t="shared" si="5"/>
        <v>-5.6224400000000045</v>
      </c>
      <c r="P49" s="102">
        <f t="shared" si="6"/>
        <v>-6.2471555555555607E-2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pans="1:35" ht="15.75" customHeight="1">
      <c r="A50" s="80" t="s">
        <v>240</v>
      </c>
      <c r="B50" s="80" t="s">
        <v>241</v>
      </c>
      <c r="C50" s="80">
        <v>90</v>
      </c>
      <c r="D50" s="80">
        <v>90</v>
      </c>
      <c r="E50" s="74">
        <f t="shared" si="0"/>
        <v>1</v>
      </c>
      <c r="F50" s="228">
        <v>42.904000000000003</v>
      </c>
      <c r="G50" s="75">
        <f t="shared" si="1"/>
        <v>47.095999999999997</v>
      </c>
      <c r="H50" s="76">
        <f t="shared" si="2"/>
        <v>0.5232888888888888</v>
      </c>
      <c r="I50" s="128">
        <f>D50*營業基本資訊!$D$8</f>
        <v>0</v>
      </c>
      <c r="J50" s="78">
        <f>D50*營業基本資訊!$D$5</f>
        <v>46.618440000000007</v>
      </c>
      <c r="K50" s="78">
        <f>D50*營業基本資訊!$D$6</f>
        <v>0</v>
      </c>
      <c r="L50" s="78">
        <f>D50*營業基本資訊!$D$7</f>
        <v>0</v>
      </c>
      <c r="M50" s="78">
        <f t="shared" si="3"/>
        <v>4.5</v>
      </c>
      <c r="N50" s="128">
        <f t="shared" si="4"/>
        <v>51.118440000000007</v>
      </c>
      <c r="O50" s="88">
        <f t="shared" si="5"/>
        <v>-4.0224400000000102</v>
      </c>
      <c r="P50" s="102">
        <f t="shared" si="6"/>
        <v>-4.4693777777777895E-2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pans="1:35" ht="15.75" customHeight="1">
      <c r="A51" s="80" t="s">
        <v>242</v>
      </c>
      <c r="B51" s="80" t="s">
        <v>243</v>
      </c>
      <c r="C51" s="80">
        <v>90</v>
      </c>
      <c r="D51" s="80">
        <v>90</v>
      </c>
      <c r="E51" s="74">
        <f t="shared" si="0"/>
        <v>1</v>
      </c>
      <c r="F51" s="228">
        <v>191.06</v>
      </c>
      <c r="G51" s="75">
        <f t="shared" si="1"/>
        <v>-101.06</v>
      </c>
      <c r="H51" s="76">
        <f t="shared" si="2"/>
        <v>-1.1228888888888888</v>
      </c>
      <c r="I51" s="128">
        <f>D51*營業基本資訊!$D$8</f>
        <v>0</v>
      </c>
      <c r="J51" s="78">
        <f>D51*營業基本資訊!$D$5</f>
        <v>46.618440000000007</v>
      </c>
      <c r="K51" s="78">
        <f>D51*營業基本資訊!$D$6</f>
        <v>0</v>
      </c>
      <c r="L51" s="78">
        <f>D51*營業基本資訊!$D$7</f>
        <v>0</v>
      </c>
      <c r="M51" s="78">
        <f t="shared" si="3"/>
        <v>4.5</v>
      </c>
      <c r="N51" s="128">
        <f t="shared" si="4"/>
        <v>51.118440000000007</v>
      </c>
      <c r="O51" s="88">
        <f t="shared" si="5"/>
        <v>-152.17844000000002</v>
      </c>
      <c r="P51" s="102">
        <f t="shared" si="6"/>
        <v>-1.6908715555555558</v>
      </c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spans="1:35" ht="15.75" customHeight="1">
      <c r="A52" s="80" t="s">
        <v>224</v>
      </c>
      <c r="B52" s="80" t="s">
        <v>225</v>
      </c>
      <c r="C52" s="80">
        <v>340</v>
      </c>
      <c r="D52" s="80">
        <v>340</v>
      </c>
      <c r="E52" s="74">
        <f t="shared" si="0"/>
        <v>1</v>
      </c>
      <c r="F52" s="228">
        <v>216.38</v>
      </c>
      <c r="G52" s="75">
        <f t="shared" si="1"/>
        <v>123.62</v>
      </c>
      <c r="H52" s="76">
        <f t="shared" si="2"/>
        <v>0.36358823529411766</v>
      </c>
      <c r="I52" s="128">
        <f>D52*營業基本資訊!$D$8</f>
        <v>0</v>
      </c>
      <c r="J52" s="78">
        <f>D52*營業基本資訊!$D$5</f>
        <v>176.11410666666669</v>
      </c>
      <c r="K52" s="78">
        <f>D52*營業基本資訊!$D$6</f>
        <v>0</v>
      </c>
      <c r="L52" s="78">
        <f>D52*營業基本資訊!$D$7</f>
        <v>0</v>
      </c>
      <c r="M52" s="78">
        <f t="shared" si="3"/>
        <v>17</v>
      </c>
      <c r="N52" s="128">
        <f t="shared" si="4"/>
        <v>193.11410666666669</v>
      </c>
      <c r="O52" s="88">
        <f t="shared" si="5"/>
        <v>-69.494106666666681</v>
      </c>
      <c r="P52" s="102">
        <f t="shared" si="6"/>
        <v>-0.20439443137254906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 spans="1:35" ht="15.75" customHeight="1">
      <c r="A53" s="80" t="s">
        <v>226</v>
      </c>
      <c r="B53" s="80" t="s">
        <v>227</v>
      </c>
      <c r="C53" s="80">
        <v>340</v>
      </c>
      <c r="D53" s="80">
        <v>340</v>
      </c>
      <c r="E53" s="74">
        <f t="shared" si="0"/>
        <v>1</v>
      </c>
      <c r="F53" s="228">
        <v>233.5</v>
      </c>
      <c r="G53" s="75">
        <f t="shared" si="1"/>
        <v>106.5</v>
      </c>
      <c r="H53" s="76">
        <f t="shared" si="2"/>
        <v>0.31323529411764706</v>
      </c>
      <c r="I53" s="128">
        <f>D53*營業基本資訊!$D$8</f>
        <v>0</v>
      </c>
      <c r="J53" s="78">
        <f>D53*營業基本資訊!$D$5</f>
        <v>176.11410666666669</v>
      </c>
      <c r="K53" s="78">
        <f>D53*營業基本資訊!$D$6</f>
        <v>0</v>
      </c>
      <c r="L53" s="78">
        <f>D53*營業基本資訊!$D$7</f>
        <v>0</v>
      </c>
      <c r="M53" s="78">
        <f t="shared" si="3"/>
        <v>17</v>
      </c>
      <c r="N53" s="128">
        <f t="shared" si="4"/>
        <v>193.11410666666669</v>
      </c>
      <c r="O53" s="88">
        <f t="shared" si="5"/>
        <v>-86.614106666666686</v>
      </c>
      <c r="P53" s="102">
        <f t="shared" si="6"/>
        <v>-0.25474737254901969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pans="1:35" ht="15.75" customHeight="1">
      <c r="A54" s="80" t="s">
        <v>228</v>
      </c>
      <c r="B54" s="80" t="s">
        <v>229</v>
      </c>
      <c r="C54" s="80">
        <v>340</v>
      </c>
      <c r="D54" s="80">
        <v>340</v>
      </c>
      <c r="E54" s="74">
        <f t="shared" si="0"/>
        <v>1</v>
      </c>
      <c r="F54" s="228">
        <v>216</v>
      </c>
      <c r="G54" s="75">
        <f t="shared" si="1"/>
        <v>124</v>
      </c>
      <c r="H54" s="76">
        <f t="shared" si="2"/>
        <v>0.36470588235294116</v>
      </c>
      <c r="I54" s="128">
        <f>D54*營業基本資訊!$D$8</f>
        <v>0</v>
      </c>
      <c r="J54" s="78">
        <f>D54*營業基本資訊!$D$5</f>
        <v>176.11410666666669</v>
      </c>
      <c r="K54" s="78">
        <f>D54*營業基本資訊!$D$6</f>
        <v>0</v>
      </c>
      <c r="L54" s="78">
        <f>D54*營業基本資訊!$D$7</f>
        <v>0</v>
      </c>
      <c r="M54" s="78">
        <f t="shared" si="3"/>
        <v>17</v>
      </c>
      <c r="N54" s="128">
        <f t="shared" si="4"/>
        <v>193.11410666666669</v>
      </c>
      <c r="O54" s="88">
        <f t="shared" si="5"/>
        <v>-69.114106666666686</v>
      </c>
      <c r="P54" s="102">
        <f t="shared" si="6"/>
        <v>-0.20327678431372553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pans="1:35" ht="15.75" customHeight="1">
      <c r="A55" s="80" t="s">
        <v>230</v>
      </c>
      <c r="B55" s="80" t="s">
        <v>231</v>
      </c>
      <c r="C55" s="80">
        <v>210</v>
      </c>
      <c r="D55" s="80">
        <v>210</v>
      </c>
      <c r="E55" s="74">
        <f t="shared" si="0"/>
        <v>1</v>
      </c>
      <c r="F55" s="228">
        <v>101.63</v>
      </c>
      <c r="G55" s="75">
        <f t="shared" si="1"/>
        <v>108.37</v>
      </c>
      <c r="H55" s="76">
        <f t="shared" si="2"/>
        <v>0.51604761904761909</v>
      </c>
      <c r="I55" s="128">
        <f>D55*營業基本資訊!$D$8</f>
        <v>0</v>
      </c>
      <c r="J55" s="78">
        <f>D55*營業基本資訊!$D$5</f>
        <v>108.77636000000001</v>
      </c>
      <c r="K55" s="78">
        <f>D55*營業基本資訊!$D$6</f>
        <v>0</v>
      </c>
      <c r="L55" s="78">
        <f>D55*營業基本資訊!$D$7</f>
        <v>0</v>
      </c>
      <c r="M55" s="78">
        <f t="shared" si="3"/>
        <v>10.5</v>
      </c>
      <c r="N55" s="128">
        <f t="shared" si="4"/>
        <v>119.27636000000001</v>
      </c>
      <c r="O55" s="88">
        <f t="shared" si="5"/>
        <v>-10.906360000000006</v>
      </c>
      <c r="P55" s="102">
        <f t="shared" si="6"/>
        <v>-5.1935047619047651E-2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spans="1:35" ht="15.75" customHeight="1">
      <c r="A56" s="80" t="s">
        <v>232</v>
      </c>
      <c r="B56" s="80" t="s">
        <v>233</v>
      </c>
      <c r="C56" s="80">
        <v>210</v>
      </c>
      <c r="D56" s="80">
        <v>210</v>
      </c>
      <c r="E56" s="74">
        <f t="shared" si="0"/>
        <v>1</v>
      </c>
      <c r="F56" s="228">
        <v>101.44</v>
      </c>
      <c r="G56" s="75">
        <f t="shared" si="1"/>
        <v>108.56</v>
      </c>
      <c r="H56" s="76">
        <f t="shared" si="2"/>
        <v>0.51695238095238094</v>
      </c>
      <c r="I56" s="128">
        <f>D56*營業基本資訊!$D$8</f>
        <v>0</v>
      </c>
      <c r="J56" s="78">
        <f>D56*營業基本資訊!$D$5</f>
        <v>108.77636000000001</v>
      </c>
      <c r="K56" s="78">
        <f>D56*營業基本資訊!$D$6</f>
        <v>0</v>
      </c>
      <c r="L56" s="78">
        <f>D56*營業基本資訊!$D$7</f>
        <v>0</v>
      </c>
      <c r="M56" s="78">
        <f t="shared" si="3"/>
        <v>10.5</v>
      </c>
      <c r="N56" s="128">
        <f t="shared" si="4"/>
        <v>119.27636000000001</v>
      </c>
      <c r="O56" s="88">
        <f t="shared" si="5"/>
        <v>-10.716360000000009</v>
      </c>
      <c r="P56" s="102">
        <f t="shared" si="6"/>
        <v>-5.1030285714285757E-2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pans="1:35" ht="15.75" customHeight="1">
      <c r="A57" s="80" t="s">
        <v>296</v>
      </c>
      <c r="B57" s="80" t="s">
        <v>297</v>
      </c>
      <c r="C57" s="80">
        <v>165</v>
      </c>
      <c r="D57" s="80">
        <v>165</v>
      </c>
      <c r="E57" s="74">
        <f t="shared" si="0"/>
        <v>1</v>
      </c>
      <c r="F57" s="228">
        <v>155</v>
      </c>
      <c r="G57" s="75">
        <f t="shared" si="1"/>
        <v>10</v>
      </c>
      <c r="H57" s="76">
        <f t="shared" si="2"/>
        <v>6.0606060606060608E-2</v>
      </c>
      <c r="I57" s="128">
        <f>D57*營業基本資訊!$D$8</f>
        <v>0</v>
      </c>
      <c r="J57" s="78">
        <f>D57*營業基本資訊!$D$5</f>
        <v>85.467140000000001</v>
      </c>
      <c r="K57" s="78">
        <f>D57*營業基本資訊!$D$6</f>
        <v>0</v>
      </c>
      <c r="L57" s="78">
        <f>D57*營業基本資訊!$D$7</f>
        <v>0</v>
      </c>
      <c r="M57" s="78">
        <f t="shared" si="3"/>
        <v>8.25</v>
      </c>
      <c r="N57" s="128">
        <f t="shared" si="4"/>
        <v>93.717140000000001</v>
      </c>
      <c r="O57" s="88">
        <f t="shared" si="5"/>
        <v>-83.717140000000001</v>
      </c>
      <c r="P57" s="102">
        <f t="shared" si="6"/>
        <v>-0.50737660606060608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pans="1:35" ht="15.75" customHeight="1">
      <c r="A58" s="80" t="s">
        <v>298</v>
      </c>
      <c r="B58" s="80" t="s">
        <v>299</v>
      </c>
      <c r="C58" s="80">
        <v>110</v>
      </c>
      <c r="D58" s="80">
        <v>110</v>
      </c>
      <c r="E58" s="74">
        <f t="shared" si="0"/>
        <v>1</v>
      </c>
      <c r="F58" s="228">
        <v>93</v>
      </c>
      <c r="G58" s="75">
        <f t="shared" si="1"/>
        <v>17</v>
      </c>
      <c r="H58" s="76">
        <f t="shared" si="2"/>
        <v>0.15454545454545454</v>
      </c>
      <c r="I58" s="128">
        <f>D58*營業基本資訊!$D$8</f>
        <v>0</v>
      </c>
      <c r="J58" s="78">
        <f>D58*營業基本資訊!$D$5</f>
        <v>56.978093333333334</v>
      </c>
      <c r="K58" s="78">
        <f>D58*營業基本資訊!$D$6</f>
        <v>0</v>
      </c>
      <c r="L58" s="78">
        <f>D58*營業基本資訊!$D$7</f>
        <v>0</v>
      </c>
      <c r="M58" s="78">
        <f t="shared" si="3"/>
        <v>5.5</v>
      </c>
      <c r="N58" s="128">
        <f t="shared" si="4"/>
        <v>62.478093333333334</v>
      </c>
      <c r="O58" s="88">
        <f t="shared" si="5"/>
        <v>-45.478093333333334</v>
      </c>
      <c r="P58" s="102">
        <f t="shared" si="6"/>
        <v>-0.41343721212121215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 spans="1:35" ht="15.75" customHeight="1">
      <c r="A59" s="2"/>
      <c r="B59" s="43"/>
      <c r="C59" s="43"/>
      <c r="D59" s="43"/>
      <c r="E59" s="43"/>
      <c r="F59" s="148"/>
      <c r="G59" s="43"/>
      <c r="H59" s="43"/>
      <c r="I59" s="148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 spans="1:35" ht="15.75" customHeight="1">
      <c r="A60" s="2"/>
      <c r="B60" s="43"/>
      <c r="C60" s="43"/>
      <c r="D60" s="43"/>
      <c r="E60" s="43"/>
      <c r="F60" s="148"/>
      <c r="G60" s="43"/>
      <c r="H60" s="43"/>
      <c r="I60" s="148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pans="1:35" ht="15.75" customHeight="1">
      <c r="A61" s="2"/>
      <c r="B61" s="43"/>
      <c r="C61" s="43"/>
      <c r="D61" s="43"/>
      <c r="E61" s="43"/>
      <c r="F61" s="148"/>
      <c r="G61" s="43"/>
      <c r="H61" s="43"/>
      <c r="I61" s="148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 spans="1:35" ht="15.75" customHeight="1">
      <c r="A62" s="2"/>
      <c r="B62" s="43"/>
      <c r="C62" s="43"/>
      <c r="D62" s="43"/>
      <c r="E62" s="43"/>
      <c r="F62" s="148"/>
      <c r="G62" s="43"/>
      <c r="H62" s="43"/>
      <c r="I62" s="148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 spans="1:35" ht="15.75" customHeight="1">
      <c r="A63" s="2"/>
      <c r="B63" s="43"/>
      <c r="C63" s="43"/>
      <c r="D63" s="43"/>
      <c r="E63" s="43"/>
      <c r="F63" s="148"/>
      <c r="G63" s="43"/>
      <c r="H63" s="43"/>
      <c r="I63" s="148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 spans="1:35" ht="15.75" customHeight="1">
      <c r="A64" s="2"/>
      <c r="B64" s="43"/>
      <c r="C64" s="43"/>
      <c r="D64" s="43"/>
      <c r="E64" s="43"/>
      <c r="F64" s="148"/>
      <c r="G64" s="43"/>
      <c r="H64" s="43"/>
      <c r="I64" s="148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 spans="1:35" ht="15.75" customHeight="1">
      <c r="A65" s="2"/>
      <c r="B65" s="43"/>
      <c r="C65" s="43"/>
      <c r="D65" s="43"/>
      <c r="E65" s="43"/>
      <c r="F65" s="148"/>
      <c r="G65" s="43"/>
      <c r="H65" s="43"/>
      <c r="I65" s="148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 spans="1:35" ht="15.75" customHeight="1">
      <c r="A66" s="2"/>
      <c r="B66" s="43"/>
      <c r="C66" s="43"/>
      <c r="D66" s="43"/>
      <c r="E66" s="43"/>
      <c r="F66" s="148"/>
      <c r="G66" s="43"/>
      <c r="H66" s="43"/>
      <c r="I66" s="148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 spans="1:35" ht="15.75" customHeight="1">
      <c r="A67" s="2"/>
      <c r="B67" s="43"/>
      <c r="C67" s="43"/>
      <c r="D67" s="43"/>
      <c r="E67" s="43"/>
      <c r="F67" s="148"/>
      <c r="G67" s="43"/>
      <c r="H67" s="43"/>
      <c r="I67" s="148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</row>
    <row r="68" spans="1:35" ht="15.75" customHeight="1">
      <c r="A68" s="2"/>
      <c r="B68" s="43"/>
      <c r="C68" s="43"/>
      <c r="D68" s="43"/>
      <c r="E68" s="43"/>
      <c r="F68" s="148"/>
      <c r="G68" s="43"/>
      <c r="H68" s="43"/>
      <c r="I68" s="148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 spans="1:35" ht="15.75" customHeight="1">
      <c r="A69" s="2"/>
      <c r="B69" s="43"/>
      <c r="C69" s="43"/>
      <c r="D69" s="43"/>
      <c r="E69" s="43"/>
      <c r="F69" s="148"/>
      <c r="G69" s="43"/>
      <c r="H69" s="43"/>
      <c r="I69" s="14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 spans="1:35" ht="15.75" customHeight="1">
      <c r="A70" s="2"/>
      <c r="B70" s="43"/>
      <c r="C70" s="43"/>
      <c r="D70" s="43"/>
      <c r="E70" s="43"/>
      <c r="F70" s="148"/>
      <c r="G70" s="43"/>
      <c r="H70" s="43"/>
      <c r="I70" s="148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 spans="1:35" ht="15.75" customHeight="1">
      <c r="A71" s="2"/>
      <c r="B71" s="43"/>
      <c r="C71" s="43"/>
      <c r="D71" s="43"/>
      <c r="E71" s="43"/>
      <c r="F71" s="148"/>
      <c r="G71" s="43"/>
      <c r="H71" s="43"/>
      <c r="I71" s="148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 spans="1:35" ht="15.75" customHeight="1">
      <c r="A72" s="2"/>
      <c r="B72" s="43"/>
      <c r="C72" s="43"/>
      <c r="D72" s="43"/>
      <c r="E72" s="43"/>
      <c r="F72" s="148"/>
      <c r="G72" s="43"/>
      <c r="H72" s="43"/>
      <c r="I72" s="148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 spans="1:35" ht="15.75" customHeight="1">
      <c r="A73" s="2"/>
      <c r="B73" s="43"/>
      <c r="C73" s="43"/>
      <c r="D73" s="43"/>
      <c r="E73" s="43"/>
      <c r="F73" s="148"/>
      <c r="G73" s="43"/>
      <c r="H73" s="43"/>
      <c r="I73" s="148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pans="1:35" ht="15.75" customHeight="1">
      <c r="A74" s="2"/>
      <c r="B74" s="43"/>
      <c r="C74" s="43"/>
      <c r="D74" s="43"/>
      <c r="E74" s="43"/>
      <c r="F74" s="148"/>
      <c r="G74" s="43"/>
      <c r="H74" s="43"/>
      <c r="I74" s="148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 spans="1:35" ht="15.75" customHeight="1">
      <c r="A75" s="2"/>
      <c r="B75" s="43"/>
      <c r="C75" s="43"/>
      <c r="D75" s="43"/>
      <c r="E75" s="43"/>
      <c r="F75" s="148"/>
      <c r="G75" s="43"/>
      <c r="H75" s="43"/>
      <c r="I75" s="148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 spans="1:35" ht="15.75" customHeight="1">
      <c r="A76" s="2"/>
      <c r="B76" s="43"/>
      <c r="C76" s="43"/>
      <c r="D76" s="43"/>
      <c r="E76" s="43"/>
      <c r="F76" s="148"/>
      <c r="G76" s="43"/>
      <c r="H76" s="43"/>
      <c r="I76" s="148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 spans="1:35" ht="15.75" customHeight="1">
      <c r="A77" s="2"/>
      <c r="B77" s="43"/>
      <c r="C77" s="43"/>
      <c r="D77" s="43"/>
      <c r="E77" s="43"/>
      <c r="F77" s="148"/>
      <c r="G77" s="43"/>
      <c r="H77" s="43"/>
      <c r="I77" s="148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pans="1:35" ht="15.75" customHeight="1">
      <c r="A78" s="2"/>
      <c r="B78" s="43"/>
      <c r="C78" s="43"/>
      <c r="D78" s="43"/>
      <c r="E78" s="43"/>
      <c r="F78" s="148"/>
      <c r="G78" s="43"/>
      <c r="H78" s="43"/>
      <c r="I78" s="148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 spans="1:35" ht="15.75" customHeight="1">
      <c r="A79" s="2"/>
      <c r="B79" s="43"/>
      <c r="C79" s="43"/>
      <c r="D79" s="43"/>
      <c r="E79" s="43"/>
      <c r="F79" s="148"/>
      <c r="G79" s="43"/>
      <c r="H79" s="43"/>
      <c r="I79" s="148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  <row r="80" spans="1:35" ht="15.75" customHeight="1">
      <c r="A80" s="2"/>
      <c r="B80" s="43"/>
      <c r="C80" s="43"/>
      <c r="D80" s="43"/>
      <c r="E80" s="43"/>
      <c r="F80" s="148"/>
      <c r="G80" s="43"/>
      <c r="H80" s="43"/>
      <c r="I80" s="148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</row>
    <row r="81" spans="1:35" ht="15.75" customHeight="1">
      <c r="A81" s="2"/>
      <c r="B81" s="43"/>
      <c r="C81" s="43"/>
      <c r="D81" s="43"/>
      <c r="E81" s="43"/>
      <c r="F81" s="148"/>
      <c r="G81" s="43"/>
      <c r="H81" s="43"/>
      <c r="I81" s="148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</row>
    <row r="82" spans="1:35" ht="15.75" customHeight="1">
      <c r="A82" s="2"/>
      <c r="B82" s="43"/>
      <c r="C82" s="43"/>
      <c r="D82" s="43"/>
      <c r="E82" s="43"/>
      <c r="F82" s="148"/>
      <c r="G82" s="43"/>
      <c r="H82" s="43"/>
      <c r="I82" s="148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</row>
    <row r="83" spans="1:35" ht="15.75" customHeight="1">
      <c r="A83" s="2"/>
      <c r="B83" s="43"/>
      <c r="C83" s="43"/>
      <c r="D83" s="43"/>
      <c r="E83" s="43"/>
      <c r="F83" s="148"/>
      <c r="G83" s="43"/>
      <c r="H83" s="43"/>
      <c r="I83" s="148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</row>
    <row r="84" spans="1:35" ht="15.75" customHeight="1">
      <c r="A84" s="2"/>
      <c r="B84" s="43"/>
      <c r="C84" s="43"/>
      <c r="D84" s="43"/>
      <c r="E84" s="43"/>
      <c r="F84" s="148"/>
      <c r="G84" s="43"/>
      <c r="H84" s="43"/>
      <c r="I84" s="148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</row>
    <row r="85" spans="1:35" ht="15.75" customHeight="1">
      <c r="A85" s="2"/>
      <c r="B85" s="43"/>
      <c r="C85" s="43"/>
      <c r="D85" s="43"/>
      <c r="E85" s="43"/>
      <c r="F85" s="148"/>
      <c r="G85" s="43"/>
      <c r="H85" s="43"/>
      <c r="I85" s="148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</row>
    <row r="86" spans="1:35" ht="15.75" customHeight="1">
      <c r="A86" s="2"/>
      <c r="B86" s="43"/>
      <c r="C86" s="43"/>
      <c r="D86" s="43"/>
      <c r="E86" s="43"/>
      <c r="F86" s="148"/>
      <c r="G86" s="43"/>
      <c r="H86" s="43"/>
      <c r="I86" s="148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</row>
    <row r="87" spans="1:35" ht="15.75" customHeight="1">
      <c r="A87" s="2"/>
      <c r="B87" s="43"/>
      <c r="C87" s="43"/>
      <c r="D87" s="43"/>
      <c r="E87" s="43"/>
      <c r="F87" s="148"/>
      <c r="G87" s="43"/>
      <c r="H87" s="43"/>
      <c r="I87" s="148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</row>
    <row r="88" spans="1:35" ht="15.75" customHeight="1">
      <c r="A88" s="2"/>
      <c r="B88" s="43"/>
      <c r="C88" s="43"/>
      <c r="D88" s="43"/>
      <c r="E88" s="43"/>
      <c r="F88" s="148"/>
      <c r="G88" s="43"/>
      <c r="H88" s="43"/>
      <c r="I88" s="148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</row>
    <row r="89" spans="1:35" ht="15.75" customHeight="1">
      <c r="A89" s="2"/>
      <c r="B89" s="43"/>
      <c r="C89" s="43"/>
      <c r="D89" s="43"/>
      <c r="E89" s="43"/>
      <c r="F89" s="148"/>
      <c r="G89" s="43"/>
      <c r="H89" s="43"/>
      <c r="I89" s="148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</row>
    <row r="90" spans="1:35" ht="15.75" customHeight="1">
      <c r="A90" s="2"/>
      <c r="B90" s="43"/>
      <c r="C90" s="43"/>
      <c r="D90" s="43"/>
      <c r="E90" s="43"/>
      <c r="F90" s="148"/>
      <c r="G90" s="43"/>
      <c r="H90" s="43"/>
      <c r="I90" s="148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</row>
    <row r="91" spans="1:35" ht="15.75" customHeight="1">
      <c r="A91" s="2"/>
      <c r="B91" s="43"/>
      <c r="C91" s="43"/>
      <c r="D91" s="43"/>
      <c r="E91" s="43"/>
      <c r="F91" s="148"/>
      <c r="G91" s="43"/>
      <c r="H91" s="43"/>
      <c r="I91" s="148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</row>
    <row r="92" spans="1:35" ht="15.75" customHeight="1">
      <c r="A92" s="2"/>
      <c r="B92" s="43"/>
      <c r="C92" s="43"/>
      <c r="D92" s="43"/>
      <c r="E92" s="43"/>
      <c r="F92" s="148"/>
      <c r="G92" s="43"/>
      <c r="H92" s="43"/>
      <c r="I92" s="148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</row>
    <row r="93" spans="1:35" ht="15.75" customHeight="1">
      <c r="A93" s="2"/>
      <c r="B93" s="43"/>
      <c r="C93" s="43"/>
      <c r="D93" s="43"/>
      <c r="E93" s="43"/>
      <c r="F93" s="148"/>
      <c r="G93" s="43"/>
      <c r="H93" s="43"/>
      <c r="I93" s="148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</row>
    <row r="94" spans="1:35" ht="15.75" customHeight="1">
      <c r="A94" s="2"/>
      <c r="B94" s="43"/>
      <c r="C94" s="43"/>
      <c r="D94" s="43"/>
      <c r="E94" s="43"/>
      <c r="F94" s="148"/>
      <c r="G94" s="43"/>
      <c r="H94" s="43"/>
      <c r="I94" s="148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</row>
    <row r="95" spans="1:35" ht="15.75" customHeight="1">
      <c r="A95" s="2"/>
      <c r="B95" s="43"/>
      <c r="C95" s="43"/>
      <c r="D95" s="43"/>
      <c r="E95" s="43"/>
      <c r="F95" s="148"/>
      <c r="G95" s="43"/>
      <c r="H95" s="43"/>
      <c r="I95" s="148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</row>
    <row r="96" spans="1:35" ht="15.75" customHeight="1">
      <c r="A96" s="2"/>
      <c r="B96" s="43"/>
      <c r="C96" s="43"/>
      <c r="D96" s="43"/>
      <c r="E96" s="43"/>
      <c r="F96" s="148"/>
      <c r="G96" s="43"/>
      <c r="H96" s="43"/>
      <c r="I96" s="148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</row>
    <row r="97" spans="1:35" ht="15.75" customHeight="1">
      <c r="A97" s="2"/>
      <c r="B97" s="43"/>
      <c r="C97" s="43"/>
      <c r="D97" s="43"/>
      <c r="E97" s="43"/>
      <c r="F97" s="148"/>
      <c r="G97" s="43"/>
      <c r="H97" s="43"/>
      <c r="I97" s="148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</row>
    <row r="98" spans="1:35" ht="15.75" customHeight="1">
      <c r="A98" s="2"/>
      <c r="B98" s="43"/>
      <c r="C98" s="43"/>
      <c r="D98" s="43"/>
      <c r="E98" s="43"/>
      <c r="F98" s="148"/>
      <c r="G98" s="43"/>
      <c r="H98" s="43"/>
      <c r="I98" s="148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</row>
    <row r="99" spans="1:35" ht="15.75" customHeight="1">
      <c r="A99" s="2"/>
      <c r="B99" s="43"/>
      <c r="C99" s="43"/>
      <c r="D99" s="43"/>
      <c r="E99" s="43"/>
      <c r="F99" s="148"/>
      <c r="G99" s="43"/>
      <c r="H99" s="43"/>
      <c r="I99" s="148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</row>
    <row r="100" spans="1:35" ht="15.75" customHeight="1">
      <c r="A100" s="2"/>
      <c r="B100" s="43"/>
      <c r="C100" s="43"/>
      <c r="D100" s="43"/>
      <c r="E100" s="43"/>
      <c r="F100" s="148"/>
      <c r="G100" s="43"/>
      <c r="H100" s="43"/>
      <c r="I100" s="148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</row>
    <row r="101" spans="1:35" ht="15.75" customHeight="1">
      <c r="A101" s="2"/>
      <c r="B101" s="43"/>
      <c r="C101" s="43"/>
      <c r="D101" s="43"/>
      <c r="E101" s="43"/>
      <c r="F101" s="148"/>
      <c r="G101" s="43"/>
      <c r="H101" s="43"/>
      <c r="I101" s="148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</row>
    <row r="102" spans="1:35" ht="15.75" customHeight="1">
      <c r="A102" s="2"/>
      <c r="B102" s="43"/>
      <c r="C102" s="43"/>
      <c r="D102" s="43"/>
      <c r="E102" s="43"/>
      <c r="F102" s="148"/>
      <c r="G102" s="43"/>
      <c r="H102" s="43"/>
      <c r="I102" s="148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</row>
    <row r="103" spans="1:35" ht="15.75" customHeight="1">
      <c r="A103" s="2"/>
      <c r="B103" s="43"/>
      <c r="C103" s="43"/>
      <c r="D103" s="43"/>
      <c r="E103" s="43"/>
      <c r="F103" s="148"/>
      <c r="G103" s="43"/>
      <c r="H103" s="43"/>
      <c r="I103" s="148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</row>
    <row r="104" spans="1:35" ht="15.75" customHeight="1">
      <c r="A104" s="2"/>
      <c r="B104" s="43"/>
      <c r="C104" s="43"/>
      <c r="D104" s="43"/>
      <c r="E104" s="43"/>
      <c r="F104" s="148"/>
      <c r="G104" s="43"/>
      <c r="H104" s="43"/>
      <c r="I104" s="148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</row>
    <row r="105" spans="1:35" ht="15.75" customHeight="1">
      <c r="A105" s="2"/>
      <c r="B105" s="43"/>
      <c r="C105" s="43"/>
      <c r="D105" s="43"/>
      <c r="E105" s="43"/>
      <c r="F105" s="148"/>
      <c r="G105" s="43"/>
      <c r="H105" s="43"/>
      <c r="I105" s="148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</row>
    <row r="106" spans="1:35" ht="15.75" customHeight="1">
      <c r="A106" s="2"/>
      <c r="B106" s="43"/>
      <c r="C106" s="43"/>
      <c r="D106" s="43"/>
      <c r="E106" s="43"/>
      <c r="F106" s="148"/>
      <c r="G106" s="43"/>
      <c r="H106" s="43"/>
      <c r="I106" s="148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</row>
    <row r="107" spans="1:35" ht="15.75" customHeight="1">
      <c r="A107" s="2"/>
      <c r="B107" s="43"/>
      <c r="C107" s="43"/>
      <c r="D107" s="43"/>
      <c r="E107" s="43"/>
      <c r="F107" s="148"/>
      <c r="G107" s="43"/>
      <c r="H107" s="43"/>
      <c r="I107" s="148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</row>
    <row r="108" spans="1:35" ht="15.75" customHeight="1">
      <c r="A108" s="2"/>
      <c r="B108" s="43"/>
      <c r="C108" s="43"/>
      <c r="D108" s="43"/>
      <c r="E108" s="43"/>
      <c r="F108" s="148"/>
      <c r="G108" s="43"/>
      <c r="H108" s="43"/>
      <c r="I108" s="148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</row>
    <row r="109" spans="1:35" ht="15.75" customHeight="1">
      <c r="A109" s="2"/>
      <c r="B109" s="43"/>
      <c r="C109" s="43"/>
      <c r="D109" s="43"/>
      <c r="E109" s="43"/>
      <c r="F109" s="148"/>
      <c r="G109" s="43"/>
      <c r="H109" s="43"/>
      <c r="I109" s="148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1:35" ht="15.75" customHeight="1">
      <c r="A110" s="2"/>
      <c r="B110" s="43"/>
      <c r="C110" s="43"/>
      <c r="D110" s="43"/>
      <c r="E110" s="43"/>
      <c r="F110" s="148"/>
      <c r="G110" s="43"/>
      <c r="H110" s="43"/>
      <c r="I110" s="148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1:35" ht="15.75" customHeight="1">
      <c r="A111" s="2"/>
      <c r="B111" s="43"/>
      <c r="C111" s="43"/>
      <c r="D111" s="43"/>
      <c r="E111" s="43"/>
      <c r="F111" s="148"/>
      <c r="G111" s="43"/>
      <c r="H111" s="43"/>
      <c r="I111" s="148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1:35" ht="15.75" customHeight="1">
      <c r="A112" s="2"/>
      <c r="B112" s="43"/>
      <c r="C112" s="43"/>
      <c r="D112" s="43"/>
      <c r="E112" s="43"/>
      <c r="F112" s="148"/>
      <c r="G112" s="43"/>
      <c r="H112" s="43"/>
      <c r="I112" s="148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1:35" ht="15.75" customHeight="1">
      <c r="A113" s="2"/>
      <c r="B113" s="43"/>
      <c r="C113" s="43"/>
      <c r="D113" s="43"/>
      <c r="E113" s="43"/>
      <c r="F113" s="148"/>
      <c r="G113" s="43"/>
      <c r="H113" s="43"/>
      <c r="I113" s="148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1:35" ht="15.75" customHeight="1">
      <c r="A114" s="2"/>
      <c r="B114" s="43"/>
      <c r="C114" s="43"/>
      <c r="D114" s="43"/>
      <c r="E114" s="43"/>
      <c r="F114" s="148"/>
      <c r="G114" s="43"/>
      <c r="H114" s="43"/>
      <c r="I114" s="148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1:35" ht="15.75" customHeight="1">
      <c r="A115" s="2"/>
      <c r="B115" s="43"/>
      <c r="C115" s="43"/>
      <c r="D115" s="43"/>
      <c r="E115" s="43"/>
      <c r="F115" s="148"/>
      <c r="G115" s="43"/>
      <c r="H115" s="43"/>
      <c r="I115" s="148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1:35" ht="15.75" customHeight="1">
      <c r="A116" s="2"/>
      <c r="B116" s="43"/>
      <c r="C116" s="43"/>
      <c r="D116" s="43"/>
      <c r="E116" s="43"/>
      <c r="F116" s="148"/>
      <c r="G116" s="43"/>
      <c r="H116" s="43"/>
      <c r="I116" s="148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1:35" ht="15.75" customHeight="1">
      <c r="A117" s="2"/>
      <c r="B117" s="43"/>
      <c r="C117" s="43"/>
      <c r="D117" s="43"/>
      <c r="E117" s="43"/>
      <c r="F117" s="148"/>
      <c r="G117" s="43"/>
      <c r="H117" s="43"/>
      <c r="I117" s="148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1:35" ht="15.75" customHeight="1">
      <c r="A118" s="2"/>
      <c r="B118" s="43"/>
      <c r="C118" s="43"/>
      <c r="D118" s="43"/>
      <c r="E118" s="43"/>
      <c r="F118" s="148"/>
      <c r="G118" s="43"/>
      <c r="H118" s="43"/>
      <c r="I118" s="148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1:35" ht="15.75" customHeight="1">
      <c r="A119" s="2"/>
      <c r="B119" s="43"/>
      <c r="C119" s="43"/>
      <c r="D119" s="43"/>
      <c r="E119" s="43"/>
      <c r="F119" s="148"/>
      <c r="G119" s="43"/>
      <c r="H119" s="43"/>
      <c r="I119" s="148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1:35" ht="15.75" customHeight="1">
      <c r="A120" s="2"/>
      <c r="B120" s="43"/>
      <c r="C120" s="43"/>
      <c r="D120" s="43"/>
      <c r="E120" s="43"/>
      <c r="F120" s="148"/>
      <c r="G120" s="43"/>
      <c r="H120" s="43"/>
      <c r="I120" s="148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1:35" ht="15.75" customHeight="1">
      <c r="A121" s="2"/>
      <c r="B121" s="43"/>
      <c r="C121" s="43"/>
      <c r="D121" s="43"/>
      <c r="E121" s="43"/>
      <c r="F121" s="148"/>
      <c r="G121" s="43"/>
      <c r="H121" s="43"/>
      <c r="I121" s="148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1:35" ht="15.75" customHeight="1">
      <c r="A122" s="2"/>
      <c r="B122" s="43"/>
      <c r="C122" s="43"/>
      <c r="D122" s="43"/>
      <c r="E122" s="43"/>
      <c r="F122" s="148"/>
      <c r="G122" s="43"/>
      <c r="H122" s="43"/>
      <c r="I122" s="148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1:35" ht="15.75" customHeight="1">
      <c r="A123" s="2"/>
      <c r="B123" s="43"/>
      <c r="C123" s="43"/>
      <c r="D123" s="43"/>
      <c r="E123" s="43"/>
      <c r="F123" s="148"/>
      <c r="G123" s="43"/>
      <c r="H123" s="43"/>
      <c r="I123" s="148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1:35" ht="15.75" customHeight="1">
      <c r="A124" s="2"/>
      <c r="B124" s="43"/>
      <c r="C124" s="43"/>
      <c r="D124" s="43"/>
      <c r="E124" s="43"/>
      <c r="F124" s="148"/>
      <c r="G124" s="43"/>
      <c r="H124" s="43"/>
      <c r="I124" s="148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1:35" ht="15.75" customHeight="1">
      <c r="A125" s="2"/>
      <c r="B125" s="43"/>
      <c r="C125" s="43"/>
      <c r="D125" s="43"/>
      <c r="E125" s="43"/>
      <c r="F125" s="148"/>
      <c r="G125" s="43"/>
      <c r="H125" s="43"/>
      <c r="I125" s="148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1:35" ht="15.75" customHeight="1">
      <c r="A126" s="2"/>
      <c r="B126" s="43"/>
      <c r="C126" s="43"/>
      <c r="D126" s="43"/>
      <c r="E126" s="43"/>
      <c r="F126" s="148"/>
      <c r="G126" s="43"/>
      <c r="H126" s="43"/>
      <c r="I126" s="148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1:35" ht="15.75" customHeight="1">
      <c r="A127" s="2"/>
      <c r="B127" s="43"/>
      <c r="C127" s="43"/>
      <c r="D127" s="43"/>
      <c r="E127" s="43"/>
      <c r="F127" s="148"/>
      <c r="G127" s="43"/>
      <c r="H127" s="43"/>
      <c r="I127" s="148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1:35" ht="15.75" customHeight="1">
      <c r="A128" s="2"/>
      <c r="B128" s="43"/>
      <c r="C128" s="43"/>
      <c r="D128" s="43"/>
      <c r="E128" s="43"/>
      <c r="F128" s="148"/>
      <c r="G128" s="43"/>
      <c r="H128" s="43"/>
      <c r="I128" s="148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1:35" ht="15.75" customHeight="1">
      <c r="A129" s="2"/>
      <c r="B129" s="43"/>
      <c r="C129" s="43"/>
      <c r="D129" s="43"/>
      <c r="E129" s="43"/>
      <c r="F129" s="148"/>
      <c r="G129" s="43"/>
      <c r="H129" s="43"/>
      <c r="I129" s="148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1:35" ht="15.75" customHeight="1">
      <c r="A130" s="2"/>
      <c r="B130" s="43"/>
      <c r="C130" s="43"/>
      <c r="D130" s="43"/>
      <c r="E130" s="43"/>
      <c r="F130" s="148"/>
      <c r="G130" s="43"/>
      <c r="H130" s="43"/>
      <c r="I130" s="148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1:35" ht="15.75" customHeight="1">
      <c r="A131" s="2"/>
      <c r="B131" s="43"/>
      <c r="C131" s="43"/>
      <c r="D131" s="43"/>
      <c r="E131" s="43"/>
      <c r="F131" s="148"/>
      <c r="G131" s="43"/>
      <c r="H131" s="43"/>
      <c r="I131" s="148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1:35" ht="15.75" customHeight="1">
      <c r="A132" s="2"/>
      <c r="B132" s="43"/>
      <c r="C132" s="43"/>
      <c r="D132" s="43"/>
      <c r="E132" s="43"/>
      <c r="F132" s="148"/>
      <c r="G132" s="43"/>
      <c r="H132" s="43"/>
      <c r="I132" s="148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1:35" ht="15.75" customHeight="1">
      <c r="A133" s="2"/>
      <c r="B133" s="43"/>
      <c r="C133" s="43"/>
      <c r="D133" s="43"/>
      <c r="E133" s="43"/>
      <c r="F133" s="148"/>
      <c r="G133" s="43"/>
      <c r="H133" s="43"/>
      <c r="I133" s="148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1:35" ht="15.75" customHeight="1">
      <c r="A134" s="2"/>
      <c r="B134" s="43"/>
      <c r="C134" s="43"/>
      <c r="D134" s="43"/>
      <c r="E134" s="43"/>
      <c r="F134" s="148"/>
      <c r="G134" s="43"/>
      <c r="H134" s="43"/>
      <c r="I134" s="148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1:35" ht="15.75" customHeight="1">
      <c r="A135" s="2"/>
      <c r="B135" s="43"/>
      <c r="C135" s="43"/>
      <c r="D135" s="43"/>
      <c r="E135" s="43"/>
      <c r="F135" s="148"/>
      <c r="G135" s="43"/>
      <c r="H135" s="43"/>
      <c r="I135" s="148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1:35" ht="15.75" customHeight="1">
      <c r="A136" s="2"/>
      <c r="B136" s="43"/>
      <c r="C136" s="43"/>
      <c r="D136" s="43"/>
      <c r="E136" s="43"/>
      <c r="F136" s="148"/>
      <c r="G136" s="43"/>
      <c r="H136" s="43"/>
      <c r="I136" s="148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</row>
    <row r="137" spans="1:35" ht="15.75" customHeight="1">
      <c r="A137" s="2"/>
      <c r="B137" s="43"/>
      <c r="C137" s="43"/>
      <c r="D137" s="43"/>
      <c r="E137" s="43"/>
      <c r="F137" s="148"/>
      <c r="G137" s="43"/>
      <c r="H137" s="43"/>
      <c r="I137" s="148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</row>
    <row r="138" spans="1:35" ht="15.75" customHeight="1">
      <c r="A138" s="2"/>
      <c r="B138" s="43"/>
      <c r="C138" s="43"/>
      <c r="D138" s="43"/>
      <c r="E138" s="43"/>
      <c r="F138" s="148"/>
      <c r="G138" s="43"/>
      <c r="H138" s="43"/>
      <c r="I138" s="148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</row>
    <row r="139" spans="1:35" ht="15.75" customHeight="1">
      <c r="A139" s="2"/>
      <c r="B139" s="43"/>
      <c r="C139" s="43"/>
      <c r="D139" s="43"/>
      <c r="E139" s="43"/>
      <c r="F139" s="148"/>
      <c r="G139" s="43"/>
      <c r="H139" s="43"/>
      <c r="I139" s="148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</row>
    <row r="140" spans="1:35" ht="15.75" customHeight="1">
      <c r="A140" s="2"/>
      <c r="B140" s="43"/>
      <c r="C140" s="43"/>
      <c r="D140" s="43"/>
      <c r="E140" s="43"/>
      <c r="F140" s="148"/>
      <c r="G140" s="43"/>
      <c r="H140" s="43"/>
      <c r="I140" s="148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</row>
    <row r="141" spans="1:35" ht="15.75" customHeight="1">
      <c r="A141" s="2"/>
      <c r="B141" s="43"/>
      <c r="C141" s="43"/>
      <c r="D141" s="43"/>
      <c r="E141" s="43"/>
      <c r="F141" s="148"/>
      <c r="G141" s="43"/>
      <c r="H141" s="43"/>
      <c r="I141" s="148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</row>
    <row r="142" spans="1:35" ht="15.75" customHeight="1">
      <c r="A142" s="2"/>
      <c r="B142" s="43"/>
      <c r="C142" s="43"/>
      <c r="D142" s="43"/>
      <c r="E142" s="43"/>
      <c r="F142" s="148"/>
      <c r="G142" s="43"/>
      <c r="H142" s="43"/>
      <c r="I142" s="148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</row>
    <row r="143" spans="1:35" ht="15.75" customHeight="1">
      <c r="A143" s="2"/>
      <c r="B143" s="43"/>
      <c r="C143" s="43"/>
      <c r="D143" s="43"/>
      <c r="E143" s="43"/>
      <c r="F143" s="148"/>
      <c r="G143" s="43"/>
      <c r="H143" s="43"/>
      <c r="I143" s="148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</row>
    <row r="144" spans="1:35" ht="15.75" customHeight="1">
      <c r="A144" s="2"/>
      <c r="B144" s="43"/>
      <c r="C144" s="43"/>
      <c r="D144" s="43"/>
      <c r="E144" s="43"/>
      <c r="F144" s="148"/>
      <c r="G144" s="43"/>
      <c r="H144" s="43"/>
      <c r="I144" s="148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</row>
    <row r="145" spans="1:35" ht="15.75" customHeight="1">
      <c r="A145" s="2"/>
      <c r="B145" s="43"/>
      <c r="C145" s="43"/>
      <c r="D145" s="43"/>
      <c r="E145" s="43"/>
      <c r="F145" s="148"/>
      <c r="G145" s="43"/>
      <c r="H145" s="43"/>
      <c r="I145" s="148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</row>
    <row r="146" spans="1:35" ht="15.75" customHeight="1">
      <c r="A146" s="2"/>
      <c r="B146" s="43"/>
      <c r="C146" s="43"/>
      <c r="D146" s="43"/>
      <c r="E146" s="43"/>
      <c r="F146" s="148"/>
      <c r="G146" s="43"/>
      <c r="H146" s="43"/>
      <c r="I146" s="148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</row>
    <row r="147" spans="1:35" ht="15.75" customHeight="1">
      <c r="A147" s="2"/>
      <c r="B147" s="43"/>
      <c r="C147" s="43"/>
      <c r="D147" s="43"/>
      <c r="E147" s="43"/>
      <c r="F147" s="148"/>
      <c r="G147" s="43"/>
      <c r="H147" s="43"/>
      <c r="I147" s="148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</row>
    <row r="148" spans="1:35" ht="15.75" customHeight="1">
      <c r="A148" s="2"/>
      <c r="B148" s="43"/>
      <c r="C148" s="43"/>
      <c r="D148" s="43"/>
      <c r="E148" s="43"/>
      <c r="F148" s="148"/>
      <c r="G148" s="43"/>
      <c r="H148" s="43"/>
      <c r="I148" s="148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</row>
    <row r="149" spans="1:35" ht="15.75" customHeight="1">
      <c r="A149" s="2"/>
      <c r="B149" s="43"/>
      <c r="C149" s="43"/>
      <c r="D149" s="43"/>
      <c r="E149" s="43"/>
      <c r="F149" s="148"/>
      <c r="G149" s="43"/>
      <c r="H149" s="43"/>
      <c r="I149" s="148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</row>
    <row r="150" spans="1:35" ht="15.75" customHeight="1">
      <c r="A150" s="2"/>
      <c r="B150" s="43"/>
      <c r="C150" s="43"/>
      <c r="D150" s="43"/>
      <c r="E150" s="43"/>
      <c r="F150" s="148"/>
      <c r="G150" s="43"/>
      <c r="H150" s="43"/>
      <c r="I150" s="148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</row>
    <row r="151" spans="1:35" ht="15.75" customHeight="1">
      <c r="A151" s="2"/>
      <c r="B151" s="43"/>
      <c r="C151" s="43"/>
      <c r="D151" s="43"/>
      <c r="E151" s="43"/>
      <c r="F151" s="148"/>
      <c r="G151" s="43"/>
      <c r="H151" s="43"/>
      <c r="I151" s="148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</row>
    <row r="152" spans="1:35" ht="15.75" customHeight="1">
      <c r="A152" s="2"/>
      <c r="B152" s="43"/>
      <c r="C152" s="43"/>
      <c r="D152" s="43"/>
      <c r="E152" s="43"/>
      <c r="F152" s="148"/>
      <c r="G152" s="43"/>
      <c r="H152" s="43"/>
      <c r="I152" s="148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</row>
    <row r="153" spans="1:35" ht="15.75" customHeight="1">
      <c r="A153" s="2"/>
      <c r="B153" s="43"/>
      <c r="C153" s="43"/>
      <c r="D153" s="43"/>
      <c r="E153" s="43"/>
      <c r="F153" s="148"/>
      <c r="G153" s="43"/>
      <c r="H153" s="43"/>
      <c r="I153" s="148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</row>
    <row r="154" spans="1:35" ht="15.75" customHeight="1">
      <c r="A154" s="2"/>
      <c r="B154" s="43"/>
      <c r="C154" s="43"/>
      <c r="D154" s="43"/>
      <c r="E154" s="43"/>
      <c r="F154" s="148"/>
      <c r="G154" s="43"/>
      <c r="H154" s="43"/>
      <c r="I154" s="148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</row>
    <row r="155" spans="1:35" ht="15.75" customHeight="1">
      <c r="A155" s="2"/>
      <c r="B155" s="43"/>
      <c r="C155" s="43"/>
      <c r="D155" s="43"/>
      <c r="E155" s="43"/>
      <c r="F155" s="148"/>
      <c r="G155" s="43"/>
      <c r="H155" s="43"/>
      <c r="I155" s="148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</row>
    <row r="156" spans="1:35" ht="15.75" customHeight="1">
      <c r="A156" s="2"/>
      <c r="B156" s="43"/>
      <c r="C156" s="43"/>
      <c r="D156" s="43"/>
      <c r="E156" s="43"/>
      <c r="F156" s="148"/>
      <c r="G156" s="43"/>
      <c r="H156" s="43"/>
      <c r="I156" s="148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</row>
    <row r="157" spans="1:35" ht="15.75" customHeight="1">
      <c r="A157" s="2"/>
      <c r="B157" s="43"/>
      <c r="C157" s="43"/>
      <c r="D157" s="43"/>
      <c r="E157" s="43"/>
      <c r="F157" s="148"/>
      <c r="G157" s="43"/>
      <c r="H157" s="43"/>
      <c r="I157" s="148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</row>
    <row r="158" spans="1:35" ht="15.75" customHeight="1">
      <c r="A158" s="2"/>
      <c r="B158" s="43"/>
      <c r="C158" s="43"/>
      <c r="D158" s="43"/>
      <c r="E158" s="43"/>
      <c r="F158" s="148"/>
      <c r="G158" s="43"/>
      <c r="H158" s="43"/>
      <c r="I158" s="148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</row>
    <row r="159" spans="1:35" ht="15.75" customHeight="1">
      <c r="A159" s="2"/>
      <c r="B159" s="43"/>
      <c r="C159" s="43"/>
      <c r="D159" s="43"/>
      <c r="E159" s="43"/>
      <c r="F159" s="148"/>
      <c r="G159" s="43"/>
      <c r="H159" s="43"/>
      <c r="I159" s="148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</row>
    <row r="160" spans="1:35" ht="15.75" customHeight="1">
      <c r="A160" s="2"/>
      <c r="B160" s="43"/>
      <c r="C160" s="43"/>
      <c r="D160" s="43"/>
      <c r="E160" s="43"/>
      <c r="F160" s="148"/>
      <c r="G160" s="43"/>
      <c r="H160" s="43"/>
      <c r="I160" s="148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</row>
    <row r="161" spans="1:35" ht="15.75" customHeight="1">
      <c r="A161" s="2"/>
      <c r="B161" s="43"/>
      <c r="C161" s="43"/>
      <c r="D161" s="43"/>
      <c r="E161" s="43"/>
      <c r="F161" s="148"/>
      <c r="G161" s="43"/>
      <c r="H161" s="43"/>
      <c r="I161" s="148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</row>
    <row r="162" spans="1:35" ht="15.75" customHeight="1">
      <c r="A162" s="2"/>
      <c r="B162" s="43"/>
      <c r="C162" s="43"/>
      <c r="D162" s="43"/>
      <c r="E162" s="43"/>
      <c r="F162" s="148"/>
      <c r="G162" s="43"/>
      <c r="H162" s="43"/>
      <c r="I162" s="148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</row>
    <row r="163" spans="1:35" ht="15.75" customHeight="1">
      <c r="A163" s="2"/>
      <c r="B163" s="43"/>
      <c r="C163" s="43"/>
      <c r="D163" s="43"/>
      <c r="E163" s="43"/>
      <c r="F163" s="148"/>
      <c r="G163" s="43"/>
      <c r="H163" s="43"/>
      <c r="I163" s="148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</row>
    <row r="164" spans="1:35" ht="15.75" customHeight="1">
      <c r="A164" s="2"/>
      <c r="B164" s="43"/>
      <c r="C164" s="43"/>
      <c r="D164" s="43"/>
      <c r="E164" s="43"/>
      <c r="F164" s="148"/>
      <c r="G164" s="43"/>
      <c r="H164" s="43"/>
      <c r="I164" s="148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</row>
    <row r="165" spans="1:35" ht="15.75" customHeight="1">
      <c r="A165" s="2"/>
      <c r="B165" s="43"/>
      <c r="C165" s="43"/>
      <c r="D165" s="43"/>
      <c r="E165" s="43"/>
      <c r="F165" s="148"/>
      <c r="G165" s="43"/>
      <c r="H165" s="43"/>
      <c r="I165" s="148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</row>
    <row r="166" spans="1:35" ht="15.75" customHeight="1">
      <c r="A166" s="2"/>
      <c r="B166" s="43"/>
      <c r="C166" s="43"/>
      <c r="D166" s="43"/>
      <c r="E166" s="43"/>
      <c r="F166" s="148"/>
      <c r="G166" s="43"/>
      <c r="H166" s="43"/>
      <c r="I166" s="148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</row>
    <row r="167" spans="1:35" ht="15.75" customHeight="1">
      <c r="A167" s="2"/>
      <c r="B167" s="43"/>
      <c r="C167" s="43"/>
      <c r="D167" s="43"/>
      <c r="E167" s="43"/>
      <c r="F167" s="148"/>
      <c r="G167" s="43"/>
      <c r="H167" s="43"/>
      <c r="I167" s="148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</row>
    <row r="168" spans="1:35" ht="15.75" customHeight="1">
      <c r="A168" s="2"/>
      <c r="B168" s="43"/>
      <c r="C168" s="43"/>
      <c r="D168" s="43"/>
      <c r="E168" s="43"/>
      <c r="F168" s="148"/>
      <c r="G168" s="43"/>
      <c r="H168" s="43"/>
      <c r="I168" s="148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</row>
    <row r="169" spans="1:35" ht="15.75" customHeight="1">
      <c r="A169" s="2"/>
      <c r="B169" s="43"/>
      <c r="C169" s="43"/>
      <c r="D169" s="43"/>
      <c r="E169" s="43"/>
      <c r="F169" s="148"/>
      <c r="G169" s="43"/>
      <c r="H169" s="43"/>
      <c r="I169" s="148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</row>
    <row r="170" spans="1:35" ht="15.75" customHeight="1">
      <c r="A170" s="2"/>
      <c r="B170" s="43"/>
      <c r="C170" s="43"/>
      <c r="D170" s="43"/>
      <c r="E170" s="43"/>
      <c r="F170" s="148"/>
      <c r="G170" s="43"/>
      <c r="H170" s="43"/>
      <c r="I170" s="148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</row>
    <row r="171" spans="1:35" ht="15.75" customHeight="1">
      <c r="A171" s="2"/>
      <c r="B171" s="43"/>
      <c r="C171" s="43"/>
      <c r="D171" s="43"/>
      <c r="E171" s="43"/>
      <c r="F171" s="148"/>
      <c r="G171" s="43"/>
      <c r="H171" s="43"/>
      <c r="I171" s="148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</row>
    <row r="172" spans="1:35" ht="15.75" customHeight="1">
      <c r="A172" s="2"/>
      <c r="B172" s="43"/>
      <c r="C172" s="43"/>
      <c r="D172" s="43"/>
      <c r="E172" s="43"/>
      <c r="F172" s="148"/>
      <c r="G172" s="43"/>
      <c r="H172" s="43"/>
      <c r="I172" s="148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</row>
    <row r="173" spans="1:35" ht="15.75" customHeight="1">
      <c r="A173" s="2"/>
      <c r="B173" s="43"/>
      <c r="C173" s="43"/>
      <c r="D173" s="43"/>
      <c r="E173" s="43"/>
      <c r="F173" s="148"/>
      <c r="G173" s="43"/>
      <c r="H173" s="43"/>
      <c r="I173" s="148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</row>
    <row r="174" spans="1:35" ht="15.75" customHeight="1">
      <c r="A174" s="2"/>
      <c r="B174" s="43"/>
      <c r="C174" s="43"/>
      <c r="D174" s="43"/>
      <c r="E174" s="43"/>
      <c r="F174" s="148"/>
      <c r="G174" s="43"/>
      <c r="H174" s="43"/>
      <c r="I174" s="148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</row>
    <row r="175" spans="1:35" ht="15.75" customHeight="1">
      <c r="A175" s="2"/>
      <c r="B175" s="43"/>
      <c r="C175" s="43"/>
      <c r="D175" s="43"/>
      <c r="E175" s="43"/>
      <c r="F175" s="148"/>
      <c r="G175" s="43"/>
      <c r="H175" s="43"/>
      <c r="I175" s="148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</row>
    <row r="176" spans="1:35" ht="15.75" customHeight="1">
      <c r="A176" s="2"/>
      <c r="B176" s="43"/>
      <c r="C176" s="43"/>
      <c r="D176" s="43"/>
      <c r="E176" s="43"/>
      <c r="F176" s="148"/>
      <c r="G176" s="43"/>
      <c r="H176" s="43"/>
      <c r="I176" s="148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</row>
    <row r="177" spans="1:35" ht="15.75" customHeight="1">
      <c r="A177" s="2"/>
      <c r="B177" s="43"/>
      <c r="C177" s="43"/>
      <c r="D177" s="43"/>
      <c r="E177" s="43"/>
      <c r="F177" s="148"/>
      <c r="G177" s="43"/>
      <c r="H177" s="43"/>
      <c r="I177" s="148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</row>
    <row r="178" spans="1:35" ht="15.75" customHeight="1">
      <c r="A178" s="2"/>
      <c r="B178" s="43"/>
      <c r="C178" s="43"/>
      <c r="D178" s="43"/>
      <c r="E178" s="43"/>
      <c r="F178" s="148"/>
      <c r="G178" s="43"/>
      <c r="H178" s="43"/>
      <c r="I178" s="148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</row>
    <row r="179" spans="1:35" ht="15.75" customHeight="1">
      <c r="A179" s="2"/>
      <c r="B179" s="43"/>
      <c r="C179" s="43"/>
      <c r="D179" s="43"/>
      <c r="E179" s="43"/>
      <c r="F179" s="148"/>
      <c r="G179" s="43"/>
      <c r="H179" s="43"/>
      <c r="I179" s="148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</row>
    <row r="180" spans="1:35" ht="15.75" customHeight="1">
      <c r="A180" s="2"/>
      <c r="B180" s="43"/>
      <c r="C180" s="43"/>
      <c r="D180" s="43"/>
      <c r="E180" s="43"/>
      <c r="F180" s="148"/>
      <c r="G180" s="43"/>
      <c r="H180" s="43"/>
      <c r="I180" s="148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</row>
    <row r="181" spans="1:35" ht="15.75" customHeight="1">
      <c r="A181" s="2"/>
      <c r="B181" s="43"/>
      <c r="C181" s="43"/>
      <c r="D181" s="43"/>
      <c r="E181" s="43"/>
      <c r="F181" s="148"/>
      <c r="G181" s="43"/>
      <c r="H181" s="43"/>
      <c r="I181" s="148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</row>
    <row r="182" spans="1:35" ht="15.75" customHeight="1">
      <c r="A182" s="2"/>
      <c r="B182" s="43"/>
      <c r="C182" s="43"/>
      <c r="D182" s="43"/>
      <c r="E182" s="43"/>
      <c r="F182" s="148"/>
      <c r="G182" s="43"/>
      <c r="H182" s="43"/>
      <c r="I182" s="148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</row>
    <row r="183" spans="1:35" ht="15.75" customHeight="1">
      <c r="A183" s="2"/>
      <c r="B183" s="43"/>
      <c r="C183" s="43"/>
      <c r="D183" s="43"/>
      <c r="E183" s="43"/>
      <c r="F183" s="148"/>
      <c r="G183" s="43"/>
      <c r="H183" s="43"/>
      <c r="I183" s="148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</row>
    <row r="184" spans="1:35" ht="15.75" customHeight="1">
      <c r="A184" s="2"/>
      <c r="B184" s="43"/>
      <c r="C184" s="43"/>
      <c r="D184" s="43"/>
      <c r="E184" s="43"/>
      <c r="F184" s="148"/>
      <c r="G184" s="43"/>
      <c r="H184" s="43"/>
      <c r="I184" s="148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</row>
    <row r="185" spans="1:35" ht="15.75" customHeight="1">
      <c r="A185" s="2"/>
      <c r="B185" s="43"/>
      <c r="C185" s="43"/>
      <c r="D185" s="43"/>
      <c r="E185" s="43"/>
      <c r="F185" s="148"/>
      <c r="G185" s="43"/>
      <c r="H185" s="43"/>
      <c r="I185" s="148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</row>
    <row r="186" spans="1:35" ht="15.75" customHeight="1">
      <c r="A186" s="2"/>
      <c r="B186" s="43"/>
      <c r="C186" s="43"/>
      <c r="D186" s="43"/>
      <c r="E186" s="43"/>
      <c r="F186" s="148"/>
      <c r="G186" s="43"/>
      <c r="H186" s="43"/>
      <c r="I186" s="148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</row>
    <row r="187" spans="1:35" ht="15.75" customHeight="1">
      <c r="A187" s="2"/>
      <c r="B187" s="43"/>
      <c r="C187" s="43"/>
      <c r="D187" s="43"/>
      <c r="E187" s="43"/>
      <c r="F187" s="148"/>
      <c r="G187" s="43"/>
      <c r="H187" s="43"/>
      <c r="I187" s="148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</row>
    <row r="188" spans="1:35" ht="15.75" customHeight="1">
      <c r="A188" s="2"/>
      <c r="B188" s="43"/>
      <c r="C188" s="43"/>
      <c r="D188" s="43"/>
      <c r="E188" s="43"/>
      <c r="F188" s="148"/>
      <c r="G188" s="43"/>
      <c r="H188" s="43"/>
      <c r="I188" s="148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</row>
    <row r="189" spans="1:35" ht="15.75" customHeight="1">
      <c r="A189" s="2"/>
      <c r="B189" s="43"/>
      <c r="C189" s="43"/>
      <c r="D189" s="43"/>
      <c r="E189" s="43"/>
      <c r="F189" s="148"/>
      <c r="G189" s="43"/>
      <c r="H189" s="43"/>
      <c r="I189" s="148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</row>
    <row r="190" spans="1:35" ht="15.75" customHeight="1">
      <c r="A190" s="2"/>
      <c r="B190" s="43"/>
      <c r="C190" s="43"/>
      <c r="D190" s="43"/>
      <c r="E190" s="43"/>
      <c r="F190" s="148"/>
      <c r="G190" s="43"/>
      <c r="H190" s="43"/>
      <c r="I190" s="148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</row>
    <row r="191" spans="1:35" ht="15.75" customHeight="1">
      <c r="A191" s="2"/>
      <c r="B191" s="43"/>
      <c r="C191" s="43"/>
      <c r="D191" s="43"/>
      <c r="E191" s="43"/>
      <c r="F191" s="148"/>
      <c r="G191" s="43"/>
      <c r="H191" s="43"/>
      <c r="I191" s="148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</row>
    <row r="192" spans="1:35" ht="15.75" customHeight="1">
      <c r="A192" s="2"/>
      <c r="B192" s="43"/>
      <c r="C192" s="43"/>
      <c r="D192" s="43"/>
      <c r="E192" s="43"/>
      <c r="F192" s="148"/>
      <c r="G192" s="43"/>
      <c r="H192" s="43"/>
      <c r="I192" s="148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</row>
    <row r="193" spans="1:35" ht="15.75" customHeight="1">
      <c r="A193" s="2"/>
      <c r="B193" s="43"/>
      <c r="C193" s="43"/>
      <c r="D193" s="43"/>
      <c r="E193" s="43"/>
      <c r="F193" s="148"/>
      <c r="G193" s="43"/>
      <c r="H193" s="43"/>
      <c r="I193" s="148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</row>
    <row r="194" spans="1:35" ht="15.75" customHeight="1">
      <c r="A194" s="2"/>
      <c r="B194" s="43"/>
      <c r="C194" s="43"/>
      <c r="D194" s="43"/>
      <c r="E194" s="43"/>
      <c r="F194" s="148"/>
      <c r="G194" s="43"/>
      <c r="H194" s="43"/>
      <c r="I194" s="148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</row>
    <row r="195" spans="1:35" ht="15.75" customHeight="1">
      <c r="A195" s="2"/>
      <c r="B195" s="43"/>
      <c r="C195" s="43"/>
      <c r="D195" s="43"/>
      <c r="E195" s="43"/>
      <c r="F195" s="148"/>
      <c r="G195" s="43"/>
      <c r="H195" s="43"/>
      <c r="I195" s="148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</row>
    <row r="196" spans="1:35" ht="15.75" customHeight="1">
      <c r="A196" s="2"/>
      <c r="B196" s="43"/>
      <c r="C196" s="43"/>
      <c r="D196" s="43"/>
      <c r="E196" s="43"/>
      <c r="F196" s="148"/>
      <c r="G196" s="43"/>
      <c r="H196" s="43"/>
      <c r="I196" s="148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</row>
    <row r="197" spans="1:35" ht="15.75" customHeight="1">
      <c r="A197" s="2"/>
      <c r="B197" s="43"/>
      <c r="C197" s="43"/>
      <c r="D197" s="43"/>
      <c r="E197" s="43"/>
      <c r="F197" s="148"/>
      <c r="G197" s="43"/>
      <c r="H197" s="43"/>
      <c r="I197" s="148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</row>
    <row r="198" spans="1:35" ht="15.75" customHeight="1">
      <c r="A198" s="2"/>
      <c r="B198" s="43"/>
      <c r="C198" s="43"/>
      <c r="D198" s="43"/>
      <c r="E198" s="43"/>
      <c r="F198" s="148"/>
      <c r="G198" s="43"/>
      <c r="H198" s="43"/>
      <c r="I198" s="148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</row>
    <row r="199" spans="1:35" ht="15.75" customHeight="1">
      <c r="A199" s="2"/>
      <c r="B199" s="43"/>
      <c r="C199" s="43"/>
      <c r="D199" s="43"/>
      <c r="E199" s="43"/>
      <c r="F199" s="148"/>
      <c r="G199" s="43"/>
      <c r="H199" s="43"/>
      <c r="I199" s="148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</row>
    <row r="200" spans="1:35" ht="15.75" customHeight="1">
      <c r="A200" s="2"/>
      <c r="B200" s="43"/>
      <c r="C200" s="43"/>
      <c r="D200" s="43"/>
      <c r="E200" s="43"/>
      <c r="F200" s="148"/>
      <c r="G200" s="43"/>
      <c r="H200" s="43"/>
      <c r="I200" s="148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</row>
    <row r="201" spans="1:35" ht="15.75" customHeight="1">
      <c r="A201" s="2"/>
      <c r="B201" s="43"/>
      <c r="C201" s="43"/>
      <c r="D201" s="43"/>
      <c r="E201" s="43"/>
      <c r="F201" s="148"/>
      <c r="G201" s="43"/>
      <c r="H201" s="43"/>
      <c r="I201" s="148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</row>
    <row r="202" spans="1:35" ht="15.75" customHeight="1">
      <c r="A202" s="2"/>
      <c r="B202" s="43"/>
      <c r="C202" s="43"/>
      <c r="D202" s="43"/>
      <c r="E202" s="43"/>
      <c r="F202" s="148"/>
      <c r="G202" s="43"/>
      <c r="H202" s="43"/>
      <c r="I202" s="148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</row>
    <row r="203" spans="1:35" ht="15.75" customHeight="1">
      <c r="A203" s="2"/>
      <c r="B203" s="43"/>
      <c r="C203" s="43"/>
      <c r="D203" s="43"/>
      <c r="E203" s="43"/>
      <c r="F203" s="148"/>
      <c r="G203" s="43"/>
      <c r="H203" s="43"/>
      <c r="I203" s="148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</row>
    <row r="204" spans="1:35" ht="15.75" customHeight="1">
      <c r="A204" s="2"/>
      <c r="B204" s="43"/>
      <c r="C204" s="43"/>
      <c r="D204" s="43"/>
      <c r="E204" s="43"/>
      <c r="F204" s="148"/>
      <c r="G204" s="43"/>
      <c r="H204" s="43"/>
      <c r="I204" s="148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</row>
    <row r="205" spans="1:35" ht="15.75" customHeight="1">
      <c r="A205" s="2"/>
      <c r="B205" s="43"/>
      <c r="C205" s="43"/>
      <c r="D205" s="43"/>
      <c r="E205" s="43"/>
      <c r="F205" s="148"/>
      <c r="G205" s="43"/>
      <c r="H205" s="43"/>
      <c r="I205" s="148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</row>
    <row r="206" spans="1:35" ht="15.75" customHeight="1">
      <c r="A206" s="2"/>
      <c r="B206" s="43"/>
      <c r="C206" s="43"/>
      <c r="D206" s="43"/>
      <c r="E206" s="43"/>
      <c r="F206" s="148"/>
      <c r="G206" s="43"/>
      <c r="H206" s="43"/>
      <c r="I206" s="148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</row>
    <row r="207" spans="1:35" ht="15.75" customHeight="1">
      <c r="A207" s="2"/>
      <c r="B207" s="43"/>
      <c r="C207" s="43"/>
      <c r="D207" s="43"/>
      <c r="E207" s="43"/>
      <c r="F207" s="148"/>
      <c r="G207" s="43"/>
      <c r="H207" s="43"/>
      <c r="I207" s="148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</row>
    <row r="208" spans="1:35" ht="15.75" customHeight="1">
      <c r="A208" s="2"/>
      <c r="B208" s="43"/>
      <c r="C208" s="43"/>
      <c r="D208" s="43"/>
      <c r="E208" s="43"/>
      <c r="F208" s="148"/>
      <c r="G208" s="43"/>
      <c r="H208" s="43"/>
      <c r="I208" s="148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</row>
    <row r="209" spans="1:35" ht="15.75" customHeight="1">
      <c r="A209" s="2"/>
      <c r="B209" s="43"/>
      <c r="C209" s="43"/>
      <c r="D209" s="43"/>
      <c r="E209" s="43"/>
      <c r="F209" s="148"/>
      <c r="G209" s="43"/>
      <c r="H209" s="43"/>
      <c r="I209" s="148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</row>
    <row r="210" spans="1:35" ht="15.75" customHeight="1">
      <c r="A210" s="2"/>
      <c r="B210" s="43"/>
      <c r="C210" s="43"/>
      <c r="D210" s="43"/>
      <c r="E210" s="43"/>
      <c r="F210" s="148"/>
      <c r="G210" s="43"/>
      <c r="H210" s="43"/>
      <c r="I210" s="148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</row>
    <row r="211" spans="1:35" ht="15.75" customHeight="1">
      <c r="A211" s="2"/>
      <c r="B211" s="43"/>
      <c r="C211" s="43"/>
      <c r="D211" s="43"/>
      <c r="E211" s="43"/>
      <c r="F211" s="148"/>
      <c r="G211" s="43"/>
      <c r="H211" s="43"/>
      <c r="I211" s="148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</row>
    <row r="212" spans="1:35" ht="15.75" customHeight="1">
      <c r="A212" s="2"/>
      <c r="B212" s="43"/>
      <c r="C212" s="43"/>
      <c r="D212" s="43"/>
      <c r="E212" s="43"/>
      <c r="F212" s="148"/>
      <c r="G212" s="43"/>
      <c r="H212" s="43"/>
      <c r="I212" s="148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</row>
    <row r="213" spans="1:35" ht="15.75" customHeight="1">
      <c r="A213" s="2"/>
      <c r="B213" s="43"/>
      <c r="C213" s="43"/>
      <c r="D213" s="43"/>
      <c r="E213" s="43"/>
      <c r="F213" s="148"/>
      <c r="G213" s="43"/>
      <c r="H213" s="43"/>
      <c r="I213" s="148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</row>
    <row r="214" spans="1:35" ht="15.75" customHeight="1">
      <c r="A214" s="2"/>
      <c r="B214" s="43"/>
      <c r="C214" s="43"/>
      <c r="D214" s="43"/>
      <c r="E214" s="43"/>
      <c r="F214" s="148"/>
      <c r="G214" s="43"/>
      <c r="H214" s="43"/>
      <c r="I214" s="148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</row>
    <row r="215" spans="1:35" ht="15.75" customHeight="1">
      <c r="A215" s="2"/>
      <c r="B215" s="43"/>
      <c r="C215" s="43"/>
      <c r="D215" s="43"/>
      <c r="E215" s="43"/>
      <c r="F215" s="148"/>
      <c r="G215" s="43"/>
      <c r="H215" s="43"/>
      <c r="I215" s="148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</row>
    <row r="216" spans="1:35" ht="15.75" customHeight="1">
      <c r="A216" s="2"/>
      <c r="B216" s="43"/>
      <c r="C216" s="43"/>
      <c r="D216" s="43"/>
      <c r="E216" s="43"/>
      <c r="F216" s="148"/>
      <c r="G216" s="43"/>
      <c r="H216" s="43"/>
      <c r="I216" s="148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</row>
    <row r="217" spans="1:35" ht="15.75" customHeight="1">
      <c r="A217" s="2"/>
      <c r="B217" s="43"/>
      <c r="C217" s="43"/>
      <c r="D217" s="43"/>
      <c r="E217" s="43"/>
      <c r="F217" s="148"/>
      <c r="G217" s="43"/>
      <c r="H217" s="43"/>
      <c r="I217" s="148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</row>
    <row r="218" spans="1:35" ht="15.75" customHeight="1">
      <c r="A218" s="2"/>
      <c r="B218" s="43"/>
      <c r="C218" s="43"/>
      <c r="D218" s="43"/>
      <c r="E218" s="43"/>
      <c r="F218" s="148"/>
      <c r="G218" s="43"/>
      <c r="H218" s="43"/>
      <c r="I218" s="148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</row>
    <row r="219" spans="1:35" ht="15.75" customHeight="1">
      <c r="A219" s="2"/>
      <c r="B219" s="43"/>
      <c r="C219" s="43"/>
      <c r="D219" s="43"/>
      <c r="E219" s="43"/>
      <c r="F219" s="148"/>
      <c r="G219" s="43"/>
      <c r="H219" s="43"/>
      <c r="I219" s="148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</row>
    <row r="220" spans="1:35" ht="15.75" customHeight="1">
      <c r="A220" s="2"/>
      <c r="B220" s="43"/>
      <c r="C220" s="43"/>
      <c r="D220" s="43"/>
      <c r="E220" s="43"/>
      <c r="F220" s="148"/>
      <c r="G220" s="43"/>
      <c r="H220" s="43"/>
      <c r="I220" s="148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</row>
    <row r="221" spans="1:35" ht="15.75" customHeight="1">
      <c r="A221" s="2"/>
      <c r="B221" s="43"/>
      <c r="C221" s="43"/>
      <c r="D221" s="43"/>
      <c r="E221" s="43"/>
      <c r="F221" s="148"/>
      <c r="G221" s="43"/>
      <c r="H221" s="43"/>
      <c r="I221" s="148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</row>
    <row r="222" spans="1:35" ht="15.75" customHeight="1">
      <c r="A222" s="2"/>
      <c r="B222" s="43"/>
      <c r="C222" s="43"/>
      <c r="D222" s="43"/>
      <c r="E222" s="43"/>
      <c r="F222" s="148"/>
      <c r="G222" s="43"/>
      <c r="H222" s="43"/>
      <c r="I222" s="148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</row>
    <row r="223" spans="1:35" ht="15.75" customHeight="1">
      <c r="A223" s="2"/>
      <c r="B223" s="43"/>
      <c r="C223" s="43"/>
      <c r="D223" s="43"/>
      <c r="E223" s="43"/>
      <c r="F223" s="148"/>
      <c r="G223" s="43"/>
      <c r="H223" s="43"/>
      <c r="I223" s="148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</row>
    <row r="224" spans="1:35" ht="15.75" customHeight="1">
      <c r="A224" s="2"/>
      <c r="B224" s="43"/>
      <c r="C224" s="43"/>
      <c r="D224" s="43"/>
      <c r="E224" s="43"/>
      <c r="F224" s="148"/>
      <c r="G224" s="43"/>
      <c r="H224" s="43"/>
      <c r="I224" s="148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</row>
    <row r="225" spans="1:35" ht="15.75" customHeight="1">
      <c r="A225" s="2"/>
      <c r="B225" s="43"/>
      <c r="C225" s="43"/>
      <c r="D225" s="43"/>
      <c r="E225" s="43"/>
      <c r="F225" s="148"/>
      <c r="G225" s="43"/>
      <c r="H225" s="43"/>
      <c r="I225" s="148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</row>
    <row r="226" spans="1:35" ht="15.75" customHeight="1">
      <c r="A226" s="2"/>
      <c r="B226" s="43"/>
      <c r="C226" s="43"/>
      <c r="D226" s="43"/>
      <c r="E226" s="43"/>
      <c r="F226" s="148"/>
      <c r="G226" s="43"/>
      <c r="H226" s="43"/>
      <c r="I226" s="148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</row>
    <row r="227" spans="1:35" ht="15.75" customHeight="1">
      <c r="A227" s="2"/>
      <c r="B227" s="43"/>
      <c r="C227" s="43"/>
      <c r="D227" s="43"/>
      <c r="E227" s="43"/>
      <c r="F227" s="148"/>
      <c r="G227" s="43"/>
      <c r="H227" s="43"/>
      <c r="I227" s="148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</row>
    <row r="228" spans="1:35" ht="15.75" customHeight="1">
      <c r="A228" s="2"/>
      <c r="B228" s="43"/>
      <c r="C228" s="43"/>
      <c r="D228" s="43"/>
      <c r="E228" s="43"/>
      <c r="F228" s="148"/>
      <c r="G228" s="43"/>
      <c r="H228" s="43"/>
      <c r="I228" s="148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</row>
    <row r="229" spans="1:35" ht="15.75" customHeight="1">
      <c r="A229" s="2"/>
      <c r="B229" s="43"/>
      <c r="C229" s="43"/>
      <c r="D229" s="43"/>
      <c r="E229" s="43"/>
      <c r="F229" s="148"/>
      <c r="G229" s="43"/>
      <c r="H229" s="43"/>
      <c r="I229" s="148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</row>
    <row r="230" spans="1:35" ht="15.75" customHeight="1">
      <c r="A230" s="2"/>
      <c r="B230" s="43"/>
      <c r="C230" s="43"/>
      <c r="D230" s="43"/>
      <c r="E230" s="43"/>
      <c r="F230" s="148"/>
      <c r="G230" s="43"/>
      <c r="H230" s="43"/>
      <c r="I230" s="148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</row>
    <row r="231" spans="1:35" ht="15.75" customHeight="1">
      <c r="A231" s="2"/>
      <c r="B231" s="43"/>
      <c r="C231" s="43"/>
      <c r="D231" s="43"/>
      <c r="E231" s="43"/>
      <c r="F231" s="148"/>
      <c r="G231" s="43"/>
      <c r="H231" s="43"/>
      <c r="I231" s="148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</row>
    <row r="232" spans="1:35" ht="15.75" customHeight="1">
      <c r="A232" s="2"/>
      <c r="B232" s="43"/>
      <c r="C232" s="43"/>
      <c r="D232" s="43"/>
      <c r="E232" s="43"/>
      <c r="F232" s="148"/>
      <c r="G232" s="43"/>
      <c r="H232" s="43"/>
      <c r="I232" s="148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</row>
    <row r="233" spans="1:35" ht="15.75" customHeight="1">
      <c r="A233" s="2"/>
      <c r="B233" s="43"/>
      <c r="C233" s="43"/>
      <c r="D233" s="43"/>
      <c r="E233" s="43"/>
      <c r="F233" s="148"/>
      <c r="G233" s="43"/>
      <c r="H233" s="43"/>
      <c r="I233" s="148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</row>
    <row r="234" spans="1:35" ht="15.75" customHeight="1">
      <c r="A234" s="2"/>
      <c r="B234" s="43"/>
      <c r="C234" s="43"/>
      <c r="D234" s="43"/>
      <c r="E234" s="43"/>
      <c r="F234" s="148"/>
      <c r="G234" s="43"/>
      <c r="H234" s="43"/>
      <c r="I234" s="148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</row>
    <row r="235" spans="1:35" ht="15.75" customHeight="1">
      <c r="A235" s="2"/>
      <c r="B235" s="43"/>
      <c r="C235" s="43"/>
      <c r="D235" s="43"/>
      <c r="E235" s="43"/>
      <c r="F235" s="148"/>
      <c r="G235" s="43"/>
      <c r="H235" s="43"/>
      <c r="I235" s="148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</row>
    <row r="236" spans="1:35" ht="15.75" customHeight="1">
      <c r="A236" s="2"/>
      <c r="B236" s="43"/>
      <c r="C236" s="43"/>
      <c r="D236" s="43"/>
      <c r="E236" s="43"/>
      <c r="F236" s="148"/>
      <c r="G236" s="43"/>
      <c r="H236" s="43"/>
      <c r="I236" s="148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</row>
    <row r="237" spans="1:35" ht="15.75" customHeight="1">
      <c r="A237" s="2"/>
      <c r="B237" s="43"/>
      <c r="C237" s="43"/>
      <c r="D237" s="43"/>
      <c r="E237" s="43"/>
      <c r="F237" s="148"/>
      <c r="G237" s="43"/>
      <c r="H237" s="43"/>
      <c r="I237" s="148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</row>
    <row r="238" spans="1:35" ht="15.75" customHeight="1">
      <c r="A238" s="2"/>
      <c r="B238" s="43"/>
      <c r="C238" s="43"/>
      <c r="D238" s="43"/>
      <c r="E238" s="43"/>
      <c r="F238" s="148"/>
      <c r="G238" s="43"/>
      <c r="H238" s="43"/>
      <c r="I238" s="148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</row>
    <row r="239" spans="1:35" ht="15.75" customHeight="1">
      <c r="A239" s="2"/>
      <c r="B239" s="43"/>
      <c r="C239" s="43"/>
      <c r="D239" s="43"/>
      <c r="E239" s="43"/>
      <c r="F239" s="148"/>
      <c r="G239" s="43"/>
      <c r="H239" s="43"/>
      <c r="I239" s="148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</row>
    <row r="240" spans="1:35" ht="15.75" customHeight="1">
      <c r="A240" s="2"/>
      <c r="B240" s="43"/>
      <c r="C240" s="43"/>
      <c r="D240" s="43"/>
      <c r="E240" s="43"/>
      <c r="F240" s="148"/>
      <c r="G240" s="43"/>
      <c r="H240" s="43"/>
      <c r="I240" s="148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</row>
    <row r="241" spans="1:35" ht="15.75" customHeight="1">
      <c r="A241" s="2"/>
      <c r="B241" s="43"/>
      <c r="C241" s="43"/>
      <c r="D241" s="43"/>
      <c r="E241" s="43"/>
      <c r="F241" s="148"/>
      <c r="G241" s="43"/>
      <c r="H241" s="43"/>
      <c r="I241" s="148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</row>
    <row r="242" spans="1:35" ht="15.75" customHeight="1">
      <c r="A242" s="2"/>
      <c r="B242" s="43"/>
      <c r="C242" s="43"/>
      <c r="D242" s="43"/>
      <c r="E242" s="43"/>
      <c r="F242" s="148"/>
      <c r="G242" s="43"/>
      <c r="H242" s="43"/>
      <c r="I242" s="148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</row>
    <row r="243" spans="1:35" ht="15.75" customHeight="1">
      <c r="A243" s="2"/>
      <c r="B243" s="43"/>
      <c r="C243" s="43"/>
      <c r="D243" s="43"/>
      <c r="E243" s="43"/>
      <c r="F243" s="148"/>
      <c r="G243" s="43"/>
      <c r="H243" s="43"/>
      <c r="I243" s="148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</row>
    <row r="244" spans="1:35" ht="14.25" customHeight="1">
      <c r="F244" s="215"/>
      <c r="I244" s="215"/>
    </row>
    <row r="245" spans="1:35" ht="14.25" customHeight="1">
      <c r="F245" s="215"/>
      <c r="I245" s="215"/>
    </row>
    <row r="246" spans="1:35" ht="14.25" customHeight="1">
      <c r="F246" s="215"/>
      <c r="I246" s="215"/>
    </row>
    <row r="247" spans="1:35" ht="14.25" customHeight="1">
      <c r="F247" s="215"/>
      <c r="I247" s="215"/>
    </row>
    <row r="248" spans="1:35" ht="14.25" customHeight="1">
      <c r="F248" s="215"/>
      <c r="I248" s="215"/>
    </row>
    <row r="249" spans="1:35" ht="14.25" customHeight="1">
      <c r="F249" s="215"/>
      <c r="I249" s="215"/>
    </row>
    <row r="250" spans="1:35" ht="14.25" customHeight="1">
      <c r="F250" s="215"/>
      <c r="I250" s="215"/>
    </row>
    <row r="251" spans="1:35" ht="14.25" customHeight="1">
      <c r="F251" s="215"/>
      <c r="I251" s="215"/>
    </row>
    <row r="252" spans="1:35" ht="14.25" customHeight="1">
      <c r="F252" s="215"/>
      <c r="I252" s="215"/>
    </row>
    <row r="253" spans="1:35" ht="14.25" customHeight="1">
      <c r="F253" s="215"/>
      <c r="I253" s="215"/>
    </row>
    <row r="254" spans="1:35" ht="14.25" customHeight="1">
      <c r="F254" s="215"/>
      <c r="I254" s="215"/>
    </row>
    <row r="255" spans="1:35" ht="14.25" customHeight="1">
      <c r="F255" s="215"/>
      <c r="I255" s="215"/>
    </row>
    <row r="256" spans="1:35" ht="14.25" customHeight="1">
      <c r="F256" s="215"/>
      <c r="I256" s="215"/>
    </row>
    <row r="257" spans="6:9" ht="14.25" customHeight="1">
      <c r="F257" s="215"/>
      <c r="I257" s="215"/>
    </row>
    <row r="258" spans="6:9" ht="14.25" customHeight="1">
      <c r="F258" s="215"/>
      <c r="I258" s="215"/>
    </row>
    <row r="259" spans="6:9" ht="14.25" customHeight="1">
      <c r="F259" s="215"/>
      <c r="I259" s="215"/>
    </row>
    <row r="260" spans="6:9" ht="14.25" customHeight="1">
      <c r="F260" s="215"/>
      <c r="I260" s="215"/>
    </row>
    <row r="261" spans="6:9" ht="14.25" customHeight="1">
      <c r="F261" s="215"/>
      <c r="I261" s="215"/>
    </row>
    <row r="262" spans="6:9" ht="14.25" customHeight="1">
      <c r="F262" s="215"/>
      <c r="I262" s="215"/>
    </row>
    <row r="263" spans="6:9" ht="14.25" customHeight="1">
      <c r="F263" s="215"/>
      <c r="I263" s="215"/>
    </row>
    <row r="264" spans="6:9" ht="14.25" customHeight="1">
      <c r="F264" s="215"/>
      <c r="I264" s="215"/>
    </row>
    <row r="265" spans="6:9" ht="14.25" customHeight="1">
      <c r="F265" s="215"/>
      <c r="I265" s="215"/>
    </row>
    <row r="266" spans="6:9" ht="14.25" customHeight="1">
      <c r="F266" s="215"/>
      <c r="I266" s="215"/>
    </row>
    <row r="267" spans="6:9" ht="14.25" customHeight="1">
      <c r="F267" s="215"/>
      <c r="I267" s="215"/>
    </row>
    <row r="268" spans="6:9" ht="14.25" customHeight="1">
      <c r="F268" s="215"/>
      <c r="I268" s="215"/>
    </row>
    <row r="269" spans="6:9" ht="14.25" customHeight="1">
      <c r="F269" s="215"/>
      <c r="I269" s="215"/>
    </row>
    <row r="270" spans="6:9" ht="14.25" customHeight="1">
      <c r="F270" s="215"/>
      <c r="I270" s="215"/>
    </row>
    <row r="271" spans="6:9" ht="14.25" customHeight="1">
      <c r="F271" s="215"/>
      <c r="I271" s="215"/>
    </row>
    <row r="272" spans="6:9" ht="14.25" customHeight="1">
      <c r="F272" s="215"/>
      <c r="I272" s="215"/>
    </row>
    <row r="273" spans="6:9" ht="14.25" customHeight="1">
      <c r="F273" s="215"/>
      <c r="I273" s="215"/>
    </row>
    <row r="274" spans="6:9" ht="14.25" customHeight="1">
      <c r="F274" s="215"/>
      <c r="I274" s="215"/>
    </row>
    <row r="275" spans="6:9" ht="14.25" customHeight="1">
      <c r="F275" s="215"/>
      <c r="I275" s="215"/>
    </row>
    <row r="276" spans="6:9" ht="14.25" customHeight="1">
      <c r="F276" s="215"/>
      <c r="I276" s="215"/>
    </row>
    <row r="277" spans="6:9" ht="14.25" customHeight="1">
      <c r="F277" s="215"/>
      <c r="I277" s="215"/>
    </row>
    <row r="278" spans="6:9" ht="14.25" customHeight="1">
      <c r="F278" s="215"/>
      <c r="I278" s="215"/>
    </row>
    <row r="279" spans="6:9" ht="14.25" customHeight="1">
      <c r="F279" s="215"/>
      <c r="I279" s="215"/>
    </row>
    <row r="280" spans="6:9" ht="14.25" customHeight="1">
      <c r="F280" s="215"/>
      <c r="I280" s="215"/>
    </row>
    <row r="281" spans="6:9" ht="14.25" customHeight="1">
      <c r="F281" s="215"/>
      <c r="I281" s="215"/>
    </row>
    <row r="282" spans="6:9" ht="14.25" customHeight="1">
      <c r="F282" s="215"/>
      <c r="I282" s="215"/>
    </row>
    <row r="283" spans="6:9" ht="14.25" customHeight="1">
      <c r="F283" s="215"/>
      <c r="I283" s="215"/>
    </row>
    <row r="284" spans="6:9" ht="14.25" customHeight="1">
      <c r="F284" s="215"/>
      <c r="I284" s="215"/>
    </row>
    <row r="285" spans="6:9" ht="14.25" customHeight="1">
      <c r="F285" s="215"/>
      <c r="I285" s="215"/>
    </row>
    <row r="286" spans="6:9" ht="14.25" customHeight="1">
      <c r="F286" s="215"/>
      <c r="I286" s="215"/>
    </row>
    <row r="287" spans="6:9" ht="14.25" customHeight="1">
      <c r="F287" s="215"/>
      <c r="I287" s="215"/>
    </row>
    <row r="288" spans="6:9" ht="14.25" customHeight="1">
      <c r="F288" s="215"/>
      <c r="I288" s="215"/>
    </row>
    <row r="289" spans="6:9" ht="14.25" customHeight="1">
      <c r="F289" s="215"/>
      <c r="I289" s="215"/>
    </row>
    <row r="290" spans="6:9" ht="14.25" customHeight="1">
      <c r="F290" s="215"/>
      <c r="I290" s="215"/>
    </row>
    <row r="291" spans="6:9" ht="14.25" customHeight="1">
      <c r="F291" s="215"/>
      <c r="I291" s="215"/>
    </row>
    <row r="292" spans="6:9" ht="14.25" customHeight="1">
      <c r="F292" s="215"/>
      <c r="I292" s="215"/>
    </row>
    <row r="293" spans="6:9" ht="14.25" customHeight="1">
      <c r="F293" s="215"/>
      <c r="I293" s="215"/>
    </row>
    <row r="294" spans="6:9" ht="14.25" customHeight="1">
      <c r="F294" s="215"/>
      <c r="I294" s="215"/>
    </row>
    <row r="295" spans="6:9" ht="14.25" customHeight="1">
      <c r="F295" s="215"/>
      <c r="I295" s="215"/>
    </row>
    <row r="296" spans="6:9" ht="14.25" customHeight="1">
      <c r="F296" s="215"/>
      <c r="I296" s="215"/>
    </row>
    <row r="297" spans="6:9" ht="14.25" customHeight="1">
      <c r="F297" s="215"/>
      <c r="I297" s="215"/>
    </row>
    <row r="298" spans="6:9" ht="14.25" customHeight="1">
      <c r="F298" s="215"/>
      <c r="I298" s="215"/>
    </row>
    <row r="299" spans="6:9" ht="14.25" customHeight="1">
      <c r="F299" s="215"/>
      <c r="I299" s="215"/>
    </row>
    <row r="300" spans="6:9" ht="14.25" customHeight="1">
      <c r="F300" s="215"/>
      <c r="I300" s="215"/>
    </row>
    <row r="301" spans="6:9" ht="14.25" customHeight="1">
      <c r="F301" s="215"/>
      <c r="I301" s="215"/>
    </row>
    <row r="302" spans="6:9" ht="14.25" customHeight="1">
      <c r="F302" s="215"/>
      <c r="I302" s="215"/>
    </row>
    <row r="303" spans="6:9" ht="14.25" customHeight="1">
      <c r="F303" s="215"/>
      <c r="I303" s="215"/>
    </row>
    <row r="304" spans="6:9" ht="14.25" customHeight="1">
      <c r="F304" s="215"/>
      <c r="I304" s="215"/>
    </row>
    <row r="305" spans="6:9" ht="14.25" customHeight="1">
      <c r="F305" s="215"/>
      <c r="I305" s="215"/>
    </row>
    <row r="306" spans="6:9" ht="14.25" customHeight="1">
      <c r="F306" s="215"/>
      <c r="I306" s="215"/>
    </row>
    <row r="307" spans="6:9" ht="14.25" customHeight="1">
      <c r="F307" s="215"/>
      <c r="I307" s="215"/>
    </row>
    <row r="308" spans="6:9" ht="14.25" customHeight="1">
      <c r="F308" s="215"/>
      <c r="I308" s="215"/>
    </row>
    <row r="309" spans="6:9" ht="14.25" customHeight="1">
      <c r="F309" s="215"/>
      <c r="I309" s="215"/>
    </row>
    <row r="310" spans="6:9" ht="14.25" customHeight="1">
      <c r="F310" s="215"/>
      <c r="I310" s="215"/>
    </row>
    <row r="311" spans="6:9" ht="14.25" customHeight="1">
      <c r="F311" s="215"/>
      <c r="I311" s="215"/>
    </row>
    <row r="312" spans="6:9" ht="14.25" customHeight="1">
      <c r="F312" s="215"/>
      <c r="I312" s="215"/>
    </row>
    <row r="313" spans="6:9" ht="14.25" customHeight="1">
      <c r="F313" s="215"/>
      <c r="I313" s="215"/>
    </row>
    <row r="314" spans="6:9" ht="14.25" customHeight="1">
      <c r="F314" s="215"/>
      <c r="I314" s="215"/>
    </row>
    <row r="315" spans="6:9" ht="14.25" customHeight="1">
      <c r="F315" s="215"/>
      <c r="I315" s="215"/>
    </row>
    <row r="316" spans="6:9" ht="14.25" customHeight="1">
      <c r="F316" s="215"/>
      <c r="I316" s="215"/>
    </row>
    <row r="317" spans="6:9" ht="14.25" customHeight="1">
      <c r="F317" s="215"/>
      <c r="I317" s="215"/>
    </row>
    <row r="318" spans="6:9" ht="14.25" customHeight="1">
      <c r="F318" s="215"/>
      <c r="I318" s="215"/>
    </row>
    <row r="319" spans="6:9" ht="14.25" customHeight="1">
      <c r="F319" s="215"/>
      <c r="I319" s="215"/>
    </row>
    <row r="320" spans="6:9" ht="14.25" customHeight="1">
      <c r="F320" s="215"/>
      <c r="I320" s="215"/>
    </row>
    <row r="321" spans="6:9" ht="14.25" customHeight="1">
      <c r="F321" s="215"/>
      <c r="I321" s="215"/>
    </row>
    <row r="322" spans="6:9" ht="14.25" customHeight="1">
      <c r="F322" s="215"/>
      <c r="I322" s="215"/>
    </row>
    <row r="323" spans="6:9" ht="14.25" customHeight="1">
      <c r="F323" s="215"/>
      <c r="I323" s="215"/>
    </row>
    <row r="324" spans="6:9" ht="14.25" customHeight="1">
      <c r="F324" s="215"/>
      <c r="I324" s="215"/>
    </row>
    <row r="325" spans="6:9" ht="14.25" customHeight="1">
      <c r="F325" s="215"/>
      <c r="I325" s="215"/>
    </row>
    <row r="326" spans="6:9" ht="14.25" customHeight="1">
      <c r="F326" s="215"/>
      <c r="I326" s="215"/>
    </row>
    <row r="327" spans="6:9" ht="14.25" customHeight="1">
      <c r="F327" s="215"/>
      <c r="I327" s="215"/>
    </row>
    <row r="328" spans="6:9" ht="14.25" customHeight="1">
      <c r="F328" s="215"/>
      <c r="I328" s="215"/>
    </row>
    <row r="329" spans="6:9" ht="14.25" customHeight="1">
      <c r="F329" s="215"/>
      <c r="I329" s="215"/>
    </row>
    <row r="330" spans="6:9" ht="14.25" customHeight="1">
      <c r="F330" s="215"/>
      <c r="I330" s="215"/>
    </row>
    <row r="331" spans="6:9" ht="14.25" customHeight="1">
      <c r="F331" s="215"/>
      <c r="I331" s="215"/>
    </row>
    <row r="332" spans="6:9" ht="14.25" customHeight="1">
      <c r="F332" s="215"/>
      <c r="I332" s="215"/>
    </row>
    <row r="333" spans="6:9" ht="14.25" customHeight="1">
      <c r="F333" s="215"/>
      <c r="I333" s="215"/>
    </row>
    <row r="334" spans="6:9" ht="14.25" customHeight="1">
      <c r="F334" s="215"/>
      <c r="I334" s="215"/>
    </row>
    <row r="335" spans="6:9" ht="14.25" customHeight="1">
      <c r="F335" s="215"/>
      <c r="I335" s="215"/>
    </row>
    <row r="336" spans="6:9" ht="14.25" customHeight="1">
      <c r="F336" s="215"/>
      <c r="I336" s="215"/>
    </row>
    <row r="337" spans="6:9" ht="14.25" customHeight="1">
      <c r="F337" s="215"/>
      <c r="I337" s="215"/>
    </row>
    <row r="338" spans="6:9" ht="14.25" customHeight="1">
      <c r="F338" s="215"/>
      <c r="I338" s="215"/>
    </row>
    <row r="339" spans="6:9" ht="14.25" customHeight="1">
      <c r="F339" s="215"/>
      <c r="I339" s="215"/>
    </row>
    <row r="340" spans="6:9" ht="14.25" customHeight="1">
      <c r="F340" s="215"/>
      <c r="I340" s="215"/>
    </row>
    <row r="341" spans="6:9" ht="14.25" customHeight="1">
      <c r="F341" s="215"/>
      <c r="I341" s="215"/>
    </row>
    <row r="342" spans="6:9" ht="14.25" customHeight="1">
      <c r="F342" s="215"/>
      <c r="I342" s="215"/>
    </row>
    <row r="343" spans="6:9" ht="14.25" customHeight="1">
      <c r="F343" s="215"/>
      <c r="I343" s="215"/>
    </row>
    <row r="344" spans="6:9" ht="14.25" customHeight="1">
      <c r="F344" s="215"/>
      <c r="I344" s="215"/>
    </row>
    <row r="345" spans="6:9" ht="14.25" customHeight="1">
      <c r="F345" s="215"/>
      <c r="I345" s="215"/>
    </row>
    <row r="346" spans="6:9" ht="14.25" customHeight="1">
      <c r="F346" s="215"/>
      <c r="I346" s="215"/>
    </row>
    <row r="347" spans="6:9" ht="14.25" customHeight="1">
      <c r="F347" s="215"/>
      <c r="I347" s="215"/>
    </row>
    <row r="348" spans="6:9" ht="14.25" customHeight="1">
      <c r="F348" s="215"/>
      <c r="I348" s="215"/>
    </row>
    <row r="349" spans="6:9" ht="14.25" customHeight="1">
      <c r="F349" s="215"/>
      <c r="I349" s="215"/>
    </row>
    <row r="350" spans="6:9" ht="14.25" customHeight="1">
      <c r="F350" s="215"/>
      <c r="I350" s="215"/>
    </row>
    <row r="351" spans="6:9" ht="14.25" customHeight="1">
      <c r="F351" s="215"/>
      <c r="I351" s="215"/>
    </row>
    <row r="352" spans="6:9" ht="14.25" customHeight="1">
      <c r="F352" s="215"/>
      <c r="I352" s="215"/>
    </row>
    <row r="353" spans="6:9" ht="14.25" customHeight="1">
      <c r="F353" s="215"/>
      <c r="I353" s="215"/>
    </row>
    <row r="354" spans="6:9" ht="14.25" customHeight="1">
      <c r="F354" s="215"/>
      <c r="I354" s="215"/>
    </row>
    <row r="355" spans="6:9" ht="14.25" customHeight="1">
      <c r="F355" s="215"/>
      <c r="I355" s="215"/>
    </row>
    <row r="356" spans="6:9" ht="14.25" customHeight="1">
      <c r="F356" s="215"/>
      <c r="I356" s="215"/>
    </row>
    <row r="357" spans="6:9" ht="14.25" customHeight="1">
      <c r="F357" s="215"/>
      <c r="I357" s="215"/>
    </row>
    <row r="358" spans="6:9" ht="14.25" customHeight="1">
      <c r="F358" s="215"/>
      <c r="I358" s="215"/>
    </row>
    <row r="359" spans="6:9" ht="14.25" customHeight="1">
      <c r="F359" s="215"/>
      <c r="I359" s="215"/>
    </row>
    <row r="360" spans="6:9" ht="14.25" customHeight="1">
      <c r="F360" s="215"/>
      <c r="I360" s="215"/>
    </row>
    <row r="361" spans="6:9" ht="14.25" customHeight="1">
      <c r="F361" s="215"/>
      <c r="I361" s="215"/>
    </row>
    <row r="362" spans="6:9" ht="14.25" customHeight="1">
      <c r="F362" s="215"/>
      <c r="I362" s="215"/>
    </row>
    <row r="363" spans="6:9" ht="14.25" customHeight="1">
      <c r="F363" s="215"/>
      <c r="I363" s="215"/>
    </row>
    <row r="364" spans="6:9" ht="14.25" customHeight="1">
      <c r="F364" s="215"/>
      <c r="I364" s="215"/>
    </row>
    <row r="365" spans="6:9" ht="14.25" customHeight="1">
      <c r="F365" s="215"/>
      <c r="I365" s="215"/>
    </row>
    <row r="366" spans="6:9" ht="14.25" customHeight="1">
      <c r="F366" s="215"/>
      <c r="I366" s="215"/>
    </row>
    <row r="367" spans="6:9" ht="14.25" customHeight="1">
      <c r="F367" s="215"/>
      <c r="I367" s="215"/>
    </row>
    <row r="368" spans="6:9" ht="14.25" customHeight="1">
      <c r="F368" s="215"/>
      <c r="I368" s="215"/>
    </row>
    <row r="369" spans="6:9" ht="14.25" customHeight="1">
      <c r="F369" s="215"/>
      <c r="I369" s="215"/>
    </row>
    <row r="370" spans="6:9" ht="14.25" customHeight="1">
      <c r="F370" s="215"/>
      <c r="I370" s="215"/>
    </row>
    <row r="371" spans="6:9" ht="14.25" customHeight="1">
      <c r="F371" s="215"/>
      <c r="I371" s="215"/>
    </row>
    <row r="372" spans="6:9" ht="14.25" customHeight="1">
      <c r="F372" s="215"/>
      <c r="I372" s="215"/>
    </row>
    <row r="373" spans="6:9" ht="14.25" customHeight="1">
      <c r="F373" s="215"/>
      <c r="I373" s="215"/>
    </row>
    <row r="374" spans="6:9" ht="14.25" customHeight="1">
      <c r="F374" s="215"/>
      <c r="I374" s="215"/>
    </row>
    <row r="375" spans="6:9" ht="14.25" customHeight="1">
      <c r="F375" s="215"/>
      <c r="I375" s="215"/>
    </row>
    <row r="376" spans="6:9" ht="14.25" customHeight="1">
      <c r="F376" s="215"/>
      <c r="I376" s="215"/>
    </row>
    <row r="377" spans="6:9" ht="14.25" customHeight="1">
      <c r="F377" s="215"/>
      <c r="I377" s="215"/>
    </row>
    <row r="378" spans="6:9" ht="14.25" customHeight="1">
      <c r="F378" s="215"/>
      <c r="I378" s="215"/>
    </row>
    <row r="379" spans="6:9" ht="14.25" customHeight="1">
      <c r="F379" s="215"/>
      <c r="I379" s="215"/>
    </row>
    <row r="380" spans="6:9" ht="14.25" customHeight="1">
      <c r="F380" s="215"/>
      <c r="I380" s="215"/>
    </row>
    <row r="381" spans="6:9" ht="14.25" customHeight="1">
      <c r="F381" s="215"/>
      <c r="I381" s="215"/>
    </row>
    <row r="382" spans="6:9" ht="14.25" customHeight="1">
      <c r="F382" s="215"/>
      <c r="I382" s="215"/>
    </row>
    <row r="383" spans="6:9" ht="14.25" customHeight="1">
      <c r="F383" s="215"/>
      <c r="I383" s="215"/>
    </row>
    <row r="384" spans="6:9" ht="14.25" customHeight="1">
      <c r="F384" s="215"/>
      <c r="I384" s="215"/>
    </row>
    <row r="385" spans="6:9" ht="14.25" customHeight="1">
      <c r="F385" s="215"/>
      <c r="I385" s="215"/>
    </row>
    <row r="386" spans="6:9" ht="14.25" customHeight="1">
      <c r="F386" s="215"/>
      <c r="I386" s="215"/>
    </row>
    <row r="387" spans="6:9" ht="14.25" customHeight="1">
      <c r="F387" s="215"/>
      <c r="I387" s="215"/>
    </row>
    <row r="388" spans="6:9" ht="14.25" customHeight="1">
      <c r="F388" s="215"/>
      <c r="I388" s="215"/>
    </row>
    <row r="389" spans="6:9" ht="14.25" customHeight="1">
      <c r="F389" s="215"/>
      <c r="I389" s="215"/>
    </row>
    <row r="390" spans="6:9" ht="14.25" customHeight="1">
      <c r="F390" s="215"/>
      <c r="I390" s="215"/>
    </row>
    <row r="391" spans="6:9" ht="14.25" customHeight="1">
      <c r="F391" s="215"/>
      <c r="I391" s="215"/>
    </row>
    <row r="392" spans="6:9" ht="14.25" customHeight="1">
      <c r="F392" s="215"/>
      <c r="I392" s="215"/>
    </row>
    <row r="393" spans="6:9" ht="14.25" customHeight="1">
      <c r="F393" s="215"/>
      <c r="I393" s="215"/>
    </row>
    <row r="394" spans="6:9" ht="14.25" customHeight="1">
      <c r="F394" s="215"/>
      <c r="I394" s="215"/>
    </row>
    <row r="395" spans="6:9" ht="14.25" customHeight="1">
      <c r="F395" s="215"/>
      <c r="I395" s="215"/>
    </row>
    <row r="396" spans="6:9" ht="14.25" customHeight="1">
      <c r="F396" s="215"/>
      <c r="I396" s="215"/>
    </row>
    <row r="397" spans="6:9" ht="14.25" customHeight="1">
      <c r="F397" s="215"/>
      <c r="I397" s="215"/>
    </row>
    <row r="398" spans="6:9" ht="14.25" customHeight="1">
      <c r="F398" s="215"/>
      <c r="I398" s="215"/>
    </row>
    <row r="399" spans="6:9" ht="14.25" customHeight="1">
      <c r="F399" s="215"/>
      <c r="I399" s="215"/>
    </row>
    <row r="400" spans="6:9" ht="14.25" customHeight="1">
      <c r="F400" s="215"/>
      <c r="I400" s="215"/>
    </row>
    <row r="401" spans="6:9" ht="14.25" customHeight="1">
      <c r="F401" s="215"/>
      <c r="I401" s="215"/>
    </row>
    <row r="402" spans="6:9" ht="14.25" customHeight="1">
      <c r="F402" s="215"/>
      <c r="I402" s="215"/>
    </row>
    <row r="403" spans="6:9" ht="14.25" customHeight="1">
      <c r="F403" s="215"/>
      <c r="I403" s="215"/>
    </row>
    <row r="404" spans="6:9" ht="14.25" customHeight="1">
      <c r="F404" s="215"/>
      <c r="I404" s="215"/>
    </row>
    <row r="405" spans="6:9" ht="14.25" customHeight="1">
      <c r="F405" s="215"/>
      <c r="I405" s="215"/>
    </row>
    <row r="406" spans="6:9" ht="14.25" customHeight="1">
      <c r="F406" s="215"/>
      <c r="I406" s="215"/>
    </row>
    <row r="407" spans="6:9" ht="14.25" customHeight="1">
      <c r="F407" s="215"/>
      <c r="I407" s="215"/>
    </row>
    <row r="408" spans="6:9" ht="14.25" customHeight="1">
      <c r="F408" s="215"/>
      <c r="I408" s="215"/>
    </row>
    <row r="409" spans="6:9" ht="14.25" customHeight="1">
      <c r="F409" s="215"/>
      <c r="I409" s="215"/>
    </row>
    <row r="410" spans="6:9" ht="14.25" customHeight="1">
      <c r="F410" s="215"/>
      <c r="I410" s="215"/>
    </row>
    <row r="411" spans="6:9" ht="14.25" customHeight="1">
      <c r="F411" s="215"/>
      <c r="I411" s="215"/>
    </row>
    <row r="412" spans="6:9" ht="14.25" customHeight="1">
      <c r="F412" s="215"/>
      <c r="I412" s="215"/>
    </row>
    <row r="413" spans="6:9" ht="14.25" customHeight="1">
      <c r="F413" s="215"/>
      <c r="I413" s="215"/>
    </row>
    <row r="414" spans="6:9" ht="14.25" customHeight="1">
      <c r="F414" s="215"/>
      <c r="I414" s="215"/>
    </row>
    <row r="415" spans="6:9" ht="14.25" customHeight="1">
      <c r="F415" s="215"/>
      <c r="I415" s="215"/>
    </row>
    <row r="416" spans="6:9" ht="14.25" customHeight="1">
      <c r="F416" s="215"/>
      <c r="I416" s="215"/>
    </row>
    <row r="417" spans="6:9" ht="14.25" customHeight="1">
      <c r="F417" s="215"/>
      <c r="I417" s="215"/>
    </row>
    <row r="418" spans="6:9" ht="14.25" customHeight="1">
      <c r="F418" s="215"/>
      <c r="I418" s="215"/>
    </row>
    <row r="419" spans="6:9" ht="14.25" customHeight="1">
      <c r="F419" s="215"/>
      <c r="I419" s="215"/>
    </row>
    <row r="420" spans="6:9" ht="14.25" customHeight="1">
      <c r="F420" s="215"/>
      <c r="I420" s="215"/>
    </row>
    <row r="421" spans="6:9" ht="14.25" customHeight="1">
      <c r="F421" s="215"/>
      <c r="I421" s="215"/>
    </row>
    <row r="422" spans="6:9" ht="14.25" customHeight="1">
      <c r="F422" s="215"/>
      <c r="I422" s="215"/>
    </row>
    <row r="423" spans="6:9" ht="14.25" customHeight="1">
      <c r="F423" s="215"/>
      <c r="I423" s="215"/>
    </row>
    <row r="424" spans="6:9" ht="14.25" customHeight="1">
      <c r="F424" s="215"/>
      <c r="I424" s="215"/>
    </row>
    <row r="425" spans="6:9" ht="14.25" customHeight="1">
      <c r="F425" s="215"/>
      <c r="I425" s="215"/>
    </row>
    <row r="426" spans="6:9" ht="14.25" customHeight="1">
      <c r="F426" s="215"/>
      <c r="I426" s="215"/>
    </row>
    <row r="427" spans="6:9" ht="14.25" customHeight="1">
      <c r="F427" s="215"/>
      <c r="I427" s="215"/>
    </row>
    <row r="428" spans="6:9" ht="14.25" customHeight="1">
      <c r="F428" s="215"/>
      <c r="I428" s="215"/>
    </row>
    <row r="429" spans="6:9" ht="14.25" customHeight="1">
      <c r="F429" s="215"/>
      <c r="I429" s="215"/>
    </row>
    <row r="430" spans="6:9" ht="14.25" customHeight="1">
      <c r="F430" s="215"/>
      <c r="I430" s="215"/>
    </row>
    <row r="431" spans="6:9" ht="14.25" customHeight="1">
      <c r="F431" s="215"/>
      <c r="I431" s="215"/>
    </row>
    <row r="432" spans="6:9" ht="14.25" customHeight="1">
      <c r="F432" s="215"/>
      <c r="I432" s="215"/>
    </row>
    <row r="433" spans="6:9" ht="14.25" customHeight="1">
      <c r="F433" s="215"/>
      <c r="I433" s="215"/>
    </row>
    <row r="434" spans="6:9" ht="14.25" customHeight="1">
      <c r="F434" s="215"/>
      <c r="I434" s="215"/>
    </row>
    <row r="435" spans="6:9" ht="14.25" customHeight="1">
      <c r="F435" s="215"/>
      <c r="I435" s="215"/>
    </row>
    <row r="436" spans="6:9" ht="14.25" customHeight="1">
      <c r="F436" s="215"/>
      <c r="I436" s="215"/>
    </row>
    <row r="437" spans="6:9" ht="14.25" customHeight="1">
      <c r="F437" s="215"/>
      <c r="I437" s="215"/>
    </row>
    <row r="438" spans="6:9" ht="14.25" customHeight="1">
      <c r="F438" s="215"/>
      <c r="I438" s="215"/>
    </row>
    <row r="439" spans="6:9" ht="14.25" customHeight="1">
      <c r="F439" s="215"/>
      <c r="I439" s="215"/>
    </row>
    <row r="440" spans="6:9" ht="14.25" customHeight="1">
      <c r="F440" s="215"/>
      <c r="I440" s="215"/>
    </row>
    <row r="441" spans="6:9" ht="14.25" customHeight="1">
      <c r="F441" s="215"/>
      <c r="I441" s="215"/>
    </row>
    <row r="442" spans="6:9" ht="14.25" customHeight="1">
      <c r="F442" s="215"/>
      <c r="I442" s="215"/>
    </row>
    <row r="443" spans="6:9" ht="14.25" customHeight="1">
      <c r="F443" s="215"/>
      <c r="I443" s="215"/>
    </row>
    <row r="444" spans="6:9" ht="14.25" customHeight="1">
      <c r="F444" s="215"/>
      <c r="I444" s="215"/>
    </row>
    <row r="445" spans="6:9" ht="14.25" customHeight="1">
      <c r="F445" s="215"/>
      <c r="I445" s="215"/>
    </row>
    <row r="446" spans="6:9" ht="14.25" customHeight="1">
      <c r="F446" s="215"/>
      <c r="I446" s="215"/>
    </row>
    <row r="447" spans="6:9" ht="14.25" customHeight="1">
      <c r="F447" s="215"/>
      <c r="I447" s="215"/>
    </row>
    <row r="448" spans="6:9" ht="14.25" customHeight="1">
      <c r="F448" s="215"/>
      <c r="I448" s="215"/>
    </row>
    <row r="449" spans="6:9" ht="14.25" customHeight="1">
      <c r="F449" s="215"/>
      <c r="I449" s="215"/>
    </row>
    <row r="450" spans="6:9" ht="14.25" customHeight="1">
      <c r="F450" s="215"/>
      <c r="I450" s="215"/>
    </row>
    <row r="451" spans="6:9" ht="14.25" customHeight="1">
      <c r="F451" s="215"/>
      <c r="I451" s="215"/>
    </row>
    <row r="452" spans="6:9" ht="14.25" customHeight="1">
      <c r="F452" s="215"/>
      <c r="I452" s="215"/>
    </row>
    <row r="453" spans="6:9" ht="14.25" customHeight="1">
      <c r="F453" s="215"/>
      <c r="I453" s="215"/>
    </row>
    <row r="454" spans="6:9" ht="14.25" customHeight="1">
      <c r="F454" s="215"/>
      <c r="I454" s="215"/>
    </row>
    <row r="455" spans="6:9" ht="14.25" customHeight="1">
      <c r="F455" s="215"/>
      <c r="I455" s="215"/>
    </row>
    <row r="456" spans="6:9" ht="14.25" customHeight="1">
      <c r="F456" s="215"/>
      <c r="I456" s="215"/>
    </row>
    <row r="457" spans="6:9" ht="14.25" customHeight="1">
      <c r="F457" s="215"/>
      <c r="I457" s="215"/>
    </row>
    <row r="458" spans="6:9" ht="14.25" customHeight="1">
      <c r="F458" s="215"/>
      <c r="I458" s="215"/>
    </row>
    <row r="459" spans="6:9" ht="14.25" customHeight="1">
      <c r="F459" s="215"/>
      <c r="I459" s="215"/>
    </row>
    <row r="460" spans="6:9" ht="14.25" customHeight="1">
      <c r="F460" s="215"/>
      <c r="I460" s="215"/>
    </row>
    <row r="461" spans="6:9" ht="14.25" customHeight="1">
      <c r="F461" s="215"/>
      <c r="I461" s="215"/>
    </row>
    <row r="462" spans="6:9" ht="14.25" customHeight="1">
      <c r="F462" s="215"/>
      <c r="I462" s="215"/>
    </row>
    <row r="463" spans="6:9" ht="14.25" customHeight="1">
      <c r="F463" s="215"/>
      <c r="I463" s="215"/>
    </row>
    <row r="464" spans="6:9" ht="14.25" customHeight="1">
      <c r="F464" s="215"/>
      <c r="I464" s="215"/>
    </row>
    <row r="465" spans="6:9" ht="14.25" customHeight="1">
      <c r="F465" s="215"/>
      <c r="I465" s="215"/>
    </row>
    <row r="466" spans="6:9" ht="14.25" customHeight="1">
      <c r="F466" s="215"/>
      <c r="I466" s="215"/>
    </row>
    <row r="467" spans="6:9" ht="14.25" customHeight="1">
      <c r="F467" s="215"/>
      <c r="I467" s="215"/>
    </row>
    <row r="468" spans="6:9" ht="14.25" customHeight="1">
      <c r="F468" s="215"/>
      <c r="I468" s="215"/>
    </row>
    <row r="469" spans="6:9" ht="14.25" customHeight="1">
      <c r="F469" s="215"/>
      <c r="I469" s="215"/>
    </row>
    <row r="470" spans="6:9" ht="14.25" customHeight="1">
      <c r="F470" s="215"/>
      <c r="I470" s="215"/>
    </row>
    <row r="471" spans="6:9" ht="14.25" customHeight="1">
      <c r="F471" s="215"/>
      <c r="I471" s="215"/>
    </row>
    <row r="472" spans="6:9" ht="14.25" customHeight="1">
      <c r="F472" s="215"/>
      <c r="I472" s="215"/>
    </row>
    <row r="473" spans="6:9" ht="14.25" customHeight="1">
      <c r="F473" s="215"/>
      <c r="I473" s="215"/>
    </row>
    <row r="474" spans="6:9" ht="14.25" customHeight="1">
      <c r="F474" s="215"/>
      <c r="I474" s="215"/>
    </row>
    <row r="475" spans="6:9" ht="14.25" customHeight="1">
      <c r="F475" s="215"/>
      <c r="I475" s="215"/>
    </row>
    <row r="476" spans="6:9" ht="14.25" customHeight="1">
      <c r="F476" s="215"/>
      <c r="I476" s="215"/>
    </row>
    <row r="477" spans="6:9" ht="14.25" customHeight="1">
      <c r="F477" s="215"/>
      <c r="I477" s="215"/>
    </row>
    <row r="478" spans="6:9" ht="14.25" customHeight="1">
      <c r="F478" s="215"/>
      <c r="I478" s="215"/>
    </row>
    <row r="479" spans="6:9" ht="14.25" customHeight="1">
      <c r="F479" s="215"/>
      <c r="I479" s="215"/>
    </row>
    <row r="480" spans="6:9" ht="14.25" customHeight="1">
      <c r="F480" s="215"/>
      <c r="I480" s="215"/>
    </row>
    <row r="481" spans="6:9" ht="14.25" customHeight="1">
      <c r="F481" s="215"/>
      <c r="I481" s="215"/>
    </row>
    <row r="482" spans="6:9" ht="14.25" customHeight="1">
      <c r="F482" s="215"/>
      <c r="I482" s="215"/>
    </row>
    <row r="483" spans="6:9" ht="14.25" customHeight="1">
      <c r="F483" s="215"/>
      <c r="I483" s="215"/>
    </row>
    <row r="484" spans="6:9" ht="14.25" customHeight="1">
      <c r="F484" s="215"/>
      <c r="I484" s="215"/>
    </row>
    <row r="485" spans="6:9" ht="14.25" customHeight="1">
      <c r="F485" s="215"/>
      <c r="I485" s="215"/>
    </row>
    <row r="486" spans="6:9" ht="14.25" customHeight="1">
      <c r="F486" s="215"/>
      <c r="I486" s="215"/>
    </row>
    <row r="487" spans="6:9" ht="14.25" customHeight="1">
      <c r="F487" s="215"/>
      <c r="I487" s="215"/>
    </row>
    <row r="488" spans="6:9" ht="14.25" customHeight="1">
      <c r="F488" s="215"/>
      <c r="I488" s="215"/>
    </row>
    <row r="489" spans="6:9" ht="14.25" customHeight="1">
      <c r="F489" s="215"/>
      <c r="I489" s="215"/>
    </row>
    <row r="490" spans="6:9" ht="14.25" customHeight="1">
      <c r="F490" s="215"/>
      <c r="I490" s="215"/>
    </row>
    <row r="491" spans="6:9" ht="14.25" customHeight="1">
      <c r="F491" s="215"/>
      <c r="I491" s="215"/>
    </row>
    <row r="492" spans="6:9" ht="14.25" customHeight="1">
      <c r="F492" s="215"/>
      <c r="I492" s="215"/>
    </row>
    <row r="493" spans="6:9" ht="14.25" customHeight="1">
      <c r="F493" s="215"/>
      <c r="I493" s="215"/>
    </row>
    <row r="494" spans="6:9" ht="14.25" customHeight="1">
      <c r="F494" s="215"/>
      <c r="I494" s="215"/>
    </row>
    <row r="495" spans="6:9" ht="14.25" customHeight="1">
      <c r="F495" s="215"/>
      <c r="I495" s="215"/>
    </row>
    <row r="496" spans="6:9" ht="14.25" customHeight="1">
      <c r="F496" s="215"/>
      <c r="I496" s="215"/>
    </row>
    <row r="497" spans="6:9" ht="14.25" customHeight="1">
      <c r="F497" s="215"/>
      <c r="I497" s="215"/>
    </row>
    <row r="498" spans="6:9" ht="14.25" customHeight="1">
      <c r="F498" s="215"/>
      <c r="I498" s="215"/>
    </row>
    <row r="499" spans="6:9" ht="14.25" customHeight="1">
      <c r="F499" s="215"/>
      <c r="I499" s="215"/>
    </row>
    <row r="500" spans="6:9" ht="14.25" customHeight="1">
      <c r="F500" s="215"/>
      <c r="I500" s="215"/>
    </row>
    <row r="501" spans="6:9" ht="14.25" customHeight="1">
      <c r="F501" s="215"/>
      <c r="I501" s="215"/>
    </row>
    <row r="502" spans="6:9" ht="14.25" customHeight="1">
      <c r="F502" s="215"/>
      <c r="I502" s="215"/>
    </row>
    <row r="503" spans="6:9" ht="14.25" customHeight="1">
      <c r="F503" s="215"/>
      <c r="I503" s="215"/>
    </row>
    <row r="504" spans="6:9" ht="14.25" customHeight="1">
      <c r="F504" s="215"/>
      <c r="I504" s="215"/>
    </row>
    <row r="505" spans="6:9" ht="14.25" customHeight="1">
      <c r="F505" s="215"/>
      <c r="I505" s="215"/>
    </row>
    <row r="506" spans="6:9" ht="14.25" customHeight="1">
      <c r="F506" s="215"/>
      <c r="I506" s="215"/>
    </row>
    <row r="507" spans="6:9" ht="14.25" customHeight="1">
      <c r="F507" s="215"/>
      <c r="I507" s="215"/>
    </row>
    <row r="508" spans="6:9" ht="14.25" customHeight="1">
      <c r="F508" s="215"/>
      <c r="I508" s="215"/>
    </row>
    <row r="509" spans="6:9" ht="14.25" customHeight="1">
      <c r="F509" s="215"/>
      <c r="I509" s="215"/>
    </row>
    <row r="510" spans="6:9" ht="14.25" customHeight="1">
      <c r="F510" s="215"/>
      <c r="I510" s="215"/>
    </row>
    <row r="511" spans="6:9" ht="14.25" customHeight="1">
      <c r="F511" s="215"/>
      <c r="I511" s="215"/>
    </row>
    <row r="512" spans="6:9" ht="14.25" customHeight="1">
      <c r="F512" s="215"/>
      <c r="I512" s="215"/>
    </row>
    <row r="513" spans="6:9" ht="14.25" customHeight="1">
      <c r="F513" s="215"/>
      <c r="I513" s="215"/>
    </row>
    <row r="514" spans="6:9" ht="14.25" customHeight="1">
      <c r="F514" s="215"/>
      <c r="I514" s="215"/>
    </row>
    <row r="515" spans="6:9" ht="14.25" customHeight="1">
      <c r="F515" s="215"/>
      <c r="I515" s="215"/>
    </row>
    <row r="516" spans="6:9" ht="14.25" customHeight="1">
      <c r="F516" s="215"/>
      <c r="I516" s="215"/>
    </row>
    <row r="517" spans="6:9" ht="14.25" customHeight="1">
      <c r="F517" s="215"/>
      <c r="I517" s="215"/>
    </row>
    <row r="518" spans="6:9" ht="14.25" customHeight="1">
      <c r="F518" s="215"/>
      <c r="I518" s="215"/>
    </row>
    <row r="519" spans="6:9" ht="14.25" customHeight="1">
      <c r="F519" s="215"/>
      <c r="I519" s="215"/>
    </row>
    <row r="520" spans="6:9" ht="14.25" customHeight="1">
      <c r="F520" s="215"/>
      <c r="I520" s="215"/>
    </row>
    <row r="521" spans="6:9" ht="14.25" customHeight="1">
      <c r="F521" s="215"/>
      <c r="I521" s="215"/>
    </row>
    <row r="522" spans="6:9" ht="14.25" customHeight="1">
      <c r="F522" s="215"/>
      <c r="I522" s="215"/>
    </row>
    <row r="523" spans="6:9" ht="14.25" customHeight="1">
      <c r="F523" s="215"/>
      <c r="I523" s="215"/>
    </row>
    <row r="524" spans="6:9" ht="14.25" customHeight="1">
      <c r="F524" s="215"/>
      <c r="I524" s="215"/>
    </row>
    <row r="525" spans="6:9" ht="14.25" customHeight="1">
      <c r="F525" s="215"/>
      <c r="I525" s="215"/>
    </row>
    <row r="526" spans="6:9" ht="14.25" customHeight="1">
      <c r="F526" s="215"/>
      <c r="I526" s="215"/>
    </row>
    <row r="527" spans="6:9" ht="14.25" customHeight="1">
      <c r="F527" s="215"/>
      <c r="I527" s="215"/>
    </row>
    <row r="528" spans="6:9" ht="14.25" customHeight="1">
      <c r="F528" s="215"/>
      <c r="I528" s="215"/>
    </row>
    <row r="529" spans="6:9" ht="14.25" customHeight="1">
      <c r="F529" s="215"/>
      <c r="I529" s="215"/>
    </row>
    <row r="530" spans="6:9" ht="14.25" customHeight="1">
      <c r="F530" s="215"/>
      <c r="I530" s="215"/>
    </row>
    <row r="531" spans="6:9" ht="14.25" customHeight="1">
      <c r="F531" s="215"/>
      <c r="I531" s="215"/>
    </row>
    <row r="532" spans="6:9" ht="14.25" customHeight="1">
      <c r="F532" s="215"/>
      <c r="I532" s="215"/>
    </row>
    <row r="533" spans="6:9" ht="14.25" customHeight="1">
      <c r="F533" s="215"/>
      <c r="I533" s="215"/>
    </row>
    <row r="534" spans="6:9" ht="14.25" customHeight="1">
      <c r="F534" s="215"/>
      <c r="I534" s="215"/>
    </row>
    <row r="535" spans="6:9" ht="14.25" customHeight="1">
      <c r="F535" s="215"/>
      <c r="I535" s="215"/>
    </row>
    <row r="536" spans="6:9" ht="14.25" customHeight="1">
      <c r="F536" s="215"/>
      <c r="I536" s="215"/>
    </row>
    <row r="537" spans="6:9" ht="14.25" customHeight="1">
      <c r="F537" s="215"/>
      <c r="I537" s="215"/>
    </row>
    <row r="538" spans="6:9" ht="14.25" customHeight="1">
      <c r="F538" s="215"/>
      <c r="I538" s="215"/>
    </row>
    <row r="539" spans="6:9" ht="14.25" customHeight="1">
      <c r="F539" s="215"/>
      <c r="I539" s="215"/>
    </row>
    <row r="540" spans="6:9" ht="14.25" customHeight="1">
      <c r="F540" s="215"/>
      <c r="I540" s="215"/>
    </row>
    <row r="541" spans="6:9" ht="14.25" customHeight="1">
      <c r="F541" s="215"/>
      <c r="I541" s="215"/>
    </row>
    <row r="542" spans="6:9" ht="14.25" customHeight="1">
      <c r="F542" s="215"/>
      <c r="I542" s="215"/>
    </row>
    <row r="543" spans="6:9" ht="14.25" customHeight="1">
      <c r="F543" s="215"/>
      <c r="I543" s="215"/>
    </row>
    <row r="544" spans="6:9" ht="14.25" customHeight="1">
      <c r="F544" s="215"/>
      <c r="I544" s="215"/>
    </row>
    <row r="545" spans="6:9" ht="14.25" customHeight="1">
      <c r="F545" s="215"/>
      <c r="I545" s="215"/>
    </row>
    <row r="546" spans="6:9" ht="14.25" customHeight="1">
      <c r="F546" s="215"/>
      <c r="I546" s="215"/>
    </row>
    <row r="547" spans="6:9" ht="14.25" customHeight="1">
      <c r="F547" s="215"/>
      <c r="I547" s="215"/>
    </row>
    <row r="548" spans="6:9" ht="14.25" customHeight="1">
      <c r="F548" s="215"/>
      <c r="I548" s="215"/>
    </row>
    <row r="549" spans="6:9" ht="14.25" customHeight="1">
      <c r="F549" s="215"/>
      <c r="I549" s="215"/>
    </row>
    <row r="550" spans="6:9" ht="14.25" customHeight="1">
      <c r="F550" s="215"/>
      <c r="I550" s="215"/>
    </row>
    <row r="551" spans="6:9" ht="14.25" customHeight="1">
      <c r="F551" s="215"/>
      <c r="I551" s="215"/>
    </row>
    <row r="552" spans="6:9" ht="14.25" customHeight="1">
      <c r="F552" s="215"/>
      <c r="I552" s="215"/>
    </row>
    <row r="553" spans="6:9" ht="14.25" customHeight="1">
      <c r="F553" s="215"/>
      <c r="I553" s="215"/>
    </row>
    <row r="554" spans="6:9" ht="14.25" customHeight="1">
      <c r="F554" s="215"/>
      <c r="I554" s="215"/>
    </row>
    <row r="555" spans="6:9" ht="14.25" customHeight="1">
      <c r="F555" s="215"/>
      <c r="I555" s="215"/>
    </row>
    <row r="556" spans="6:9" ht="14.25" customHeight="1">
      <c r="F556" s="215"/>
      <c r="I556" s="215"/>
    </row>
    <row r="557" spans="6:9" ht="14.25" customHeight="1">
      <c r="F557" s="215"/>
      <c r="I557" s="215"/>
    </row>
    <row r="558" spans="6:9" ht="14.25" customHeight="1">
      <c r="F558" s="215"/>
      <c r="I558" s="215"/>
    </row>
    <row r="559" spans="6:9" ht="14.25" customHeight="1">
      <c r="F559" s="215"/>
      <c r="I559" s="215"/>
    </row>
    <row r="560" spans="6:9" ht="14.25" customHeight="1">
      <c r="F560" s="215"/>
      <c r="I560" s="215"/>
    </row>
    <row r="561" spans="6:9" ht="14.25" customHeight="1">
      <c r="F561" s="215"/>
      <c r="I561" s="215"/>
    </row>
    <row r="562" spans="6:9" ht="14.25" customHeight="1">
      <c r="F562" s="215"/>
      <c r="I562" s="215"/>
    </row>
    <row r="563" spans="6:9" ht="14.25" customHeight="1">
      <c r="F563" s="215"/>
      <c r="I563" s="215"/>
    </row>
    <row r="564" spans="6:9" ht="14.25" customHeight="1">
      <c r="F564" s="215"/>
      <c r="I564" s="215"/>
    </row>
    <row r="565" spans="6:9" ht="14.25" customHeight="1">
      <c r="F565" s="215"/>
      <c r="I565" s="215"/>
    </row>
    <row r="566" spans="6:9" ht="14.25" customHeight="1">
      <c r="F566" s="215"/>
      <c r="I566" s="215"/>
    </row>
    <row r="567" spans="6:9" ht="14.25" customHeight="1">
      <c r="F567" s="215"/>
      <c r="I567" s="215"/>
    </row>
    <row r="568" spans="6:9" ht="14.25" customHeight="1">
      <c r="F568" s="215"/>
      <c r="I568" s="215"/>
    </row>
    <row r="569" spans="6:9" ht="14.25" customHeight="1">
      <c r="F569" s="215"/>
      <c r="I569" s="215"/>
    </row>
    <row r="570" spans="6:9" ht="14.25" customHeight="1">
      <c r="F570" s="215"/>
      <c r="I570" s="215"/>
    </row>
    <row r="571" spans="6:9" ht="14.25" customHeight="1">
      <c r="F571" s="215"/>
      <c r="I571" s="215"/>
    </row>
    <row r="572" spans="6:9" ht="14.25" customHeight="1">
      <c r="F572" s="215"/>
      <c r="I572" s="215"/>
    </row>
    <row r="573" spans="6:9" ht="14.25" customHeight="1">
      <c r="F573" s="215"/>
      <c r="I573" s="215"/>
    </row>
    <row r="574" spans="6:9" ht="14.25" customHeight="1">
      <c r="F574" s="215"/>
      <c r="I574" s="215"/>
    </row>
    <row r="575" spans="6:9" ht="14.25" customHeight="1">
      <c r="F575" s="215"/>
      <c r="I575" s="215"/>
    </row>
    <row r="576" spans="6:9" ht="14.25" customHeight="1">
      <c r="F576" s="215"/>
      <c r="I576" s="215"/>
    </row>
    <row r="577" spans="6:9" ht="14.25" customHeight="1">
      <c r="F577" s="215"/>
      <c r="I577" s="215"/>
    </row>
    <row r="578" spans="6:9" ht="14.25" customHeight="1">
      <c r="F578" s="215"/>
      <c r="I578" s="215"/>
    </row>
    <row r="579" spans="6:9" ht="14.25" customHeight="1">
      <c r="F579" s="215"/>
      <c r="I579" s="215"/>
    </row>
    <row r="580" spans="6:9" ht="14.25" customHeight="1">
      <c r="F580" s="215"/>
      <c r="I580" s="215"/>
    </row>
    <row r="581" spans="6:9" ht="14.25" customHeight="1">
      <c r="F581" s="215"/>
      <c r="I581" s="215"/>
    </row>
    <row r="582" spans="6:9" ht="14.25" customHeight="1">
      <c r="F582" s="215"/>
      <c r="I582" s="215"/>
    </row>
    <row r="583" spans="6:9" ht="14.25" customHeight="1">
      <c r="F583" s="215"/>
      <c r="I583" s="215"/>
    </row>
    <row r="584" spans="6:9" ht="14.25" customHeight="1">
      <c r="F584" s="215"/>
      <c r="I584" s="215"/>
    </row>
    <row r="585" spans="6:9" ht="14.25" customHeight="1">
      <c r="F585" s="215"/>
      <c r="I585" s="215"/>
    </row>
    <row r="586" spans="6:9" ht="14.25" customHeight="1">
      <c r="F586" s="215"/>
      <c r="I586" s="215"/>
    </row>
    <row r="587" spans="6:9" ht="14.25" customHeight="1">
      <c r="F587" s="215"/>
      <c r="I587" s="215"/>
    </row>
    <row r="588" spans="6:9" ht="14.25" customHeight="1">
      <c r="F588" s="215"/>
      <c r="I588" s="215"/>
    </row>
    <row r="589" spans="6:9" ht="14.25" customHeight="1">
      <c r="F589" s="215"/>
      <c r="I589" s="215"/>
    </row>
    <row r="590" spans="6:9" ht="14.25" customHeight="1">
      <c r="F590" s="215"/>
      <c r="I590" s="215"/>
    </row>
    <row r="591" spans="6:9" ht="14.25" customHeight="1">
      <c r="F591" s="215"/>
      <c r="I591" s="215"/>
    </row>
    <row r="592" spans="6:9" ht="14.25" customHeight="1">
      <c r="F592" s="215"/>
      <c r="I592" s="215"/>
    </row>
    <row r="593" spans="6:9" ht="14.25" customHeight="1">
      <c r="F593" s="215"/>
      <c r="I593" s="215"/>
    </row>
    <row r="594" spans="6:9" ht="14.25" customHeight="1">
      <c r="F594" s="215"/>
      <c r="I594" s="215"/>
    </row>
    <row r="595" spans="6:9" ht="14.25" customHeight="1">
      <c r="F595" s="215"/>
      <c r="I595" s="215"/>
    </row>
    <row r="596" spans="6:9" ht="14.25" customHeight="1">
      <c r="F596" s="215"/>
      <c r="I596" s="215"/>
    </row>
    <row r="597" spans="6:9" ht="14.25" customHeight="1">
      <c r="F597" s="215"/>
      <c r="I597" s="215"/>
    </row>
    <row r="598" spans="6:9" ht="14.25" customHeight="1">
      <c r="F598" s="215"/>
      <c r="I598" s="215"/>
    </row>
    <row r="599" spans="6:9" ht="14.25" customHeight="1">
      <c r="F599" s="215"/>
      <c r="I599" s="215"/>
    </row>
    <row r="600" spans="6:9" ht="14.25" customHeight="1">
      <c r="F600" s="215"/>
      <c r="I600" s="215"/>
    </row>
    <row r="601" spans="6:9" ht="14.25" customHeight="1">
      <c r="F601" s="215"/>
      <c r="I601" s="215"/>
    </row>
    <row r="602" spans="6:9" ht="14.25" customHeight="1">
      <c r="F602" s="215"/>
      <c r="I602" s="215"/>
    </row>
    <row r="603" spans="6:9" ht="14.25" customHeight="1">
      <c r="F603" s="215"/>
      <c r="I603" s="215"/>
    </row>
    <row r="604" spans="6:9" ht="14.25" customHeight="1">
      <c r="F604" s="215"/>
      <c r="I604" s="215"/>
    </row>
    <row r="605" spans="6:9" ht="14.25" customHeight="1">
      <c r="F605" s="215"/>
      <c r="I605" s="215"/>
    </row>
    <row r="606" spans="6:9" ht="14.25" customHeight="1">
      <c r="F606" s="215"/>
      <c r="I606" s="215"/>
    </row>
    <row r="607" spans="6:9" ht="14.25" customHeight="1">
      <c r="F607" s="215"/>
      <c r="I607" s="215"/>
    </row>
    <row r="608" spans="6:9" ht="14.25" customHeight="1">
      <c r="F608" s="215"/>
      <c r="I608" s="215"/>
    </row>
    <row r="609" spans="6:9" ht="14.25" customHeight="1">
      <c r="F609" s="215"/>
      <c r="I609" s="215"/>
    </row>
    <row r="610" spans="6:9" ht="14.25" customHeight="1">
      <c r="F610" s="215"/>
      <c r="I610" s="215"/>
    </row>
    <row r="611" spans="6:9" ht="14.25" customHeight="1">
      <c r="F611" s="215"/>
      <c r="I611" s="215"/>
    </row>
    <row r="612" spans="6:9" ht="14.25" customHeight="1">
      <c r="F612" s="215"/>
      <c r="I612" s="215"/>
    </row>
    <row r="613" spans="6:9" ht="14.25" customHeight="1">
      <c r="F613" s="215"/>
      <c r="I613" s="215"/>
    </row>
    <row r="614" spans="6:9" ht="14.25" customHeight="1">
      <c r="F614" s="215"/>
      <c r="I614" s="215"/>
    </row>
    <row r="615" spans="6:9" ht="14.25" customHeight="1">
      <c r="F615" s="215"/>
      <c r="I615" s="215"/>
    </row>
    <row r="616" spans="6:9" ht="14.25" customHeight="1">
      <c r="F616" s="215"/>
      <c r="I616" s="215"/>
    </row>
    <row r="617" spans="6:9" ht="14.25" customHeight="1">
      <c r="F617" s="215"/>
      <c r="I617" s="215"/>
    </row>
    <row r="618" spans="6:9" ht="14.25" customHeight="1">
      <c r="F618" s="215"/>
      <c r="I618" s="215"/>
    </row>
    <row r="619" spans="6:9" ht="14.25" customHeight="1">
      <c r="F619" s="215"/>
      <c r="I619" s="215"/>
    </row>
    <row r="620" spans="6:9" ht="14.25" customHeight="1">
      <c r="F620" s="215"/>
      <c r="I620" s="215"/>
    </row>
    <row r="621" spans="6:9" ht="14.25" customHeight="1">
      <c r="F621" s="215"/>
      <c r="I621" s="215"/>
    </row>
    <row r="622" spans="6:9" ht="14.25" customHeight="1">
      <c r="F622" s="215"/>
      <c r="I622" s="215"/>
    </row>
    <row r="623" spans="6:9" ht="14.25" customHeight="1">
      <c r="F623" s="215"/>
      <c r="I623" s="215"/>
    </row>
    <row r="624" spans="6:9" ht="14.25" customHeight="1">
      <c r="F624" s="215"/>
      <c r="I624" s="215"/>
    </row>
    <row r="625" spans="6:9" ht="14.25" customHeight="1">
      <c r="F625" s="215"/>
      <c r="I625" s="215"/>
    </row>
    <row r="626" spans="6:9" ht="14.25" customHeight="1">
      <c r="F626" s="215"/>
      <c r="I626" s="215"/>
    </row>
    <row r="627" spans="6:9" ht="14.25" customHeight="1">
      <c r="F627" s="215"/>
      <c r="I627" s="215"/>
    </row>
    <row r="628" spans="6:9" ht="14.25" customHeight="1">
      <c r="F628" s="215"/>
      <c r="I628" s="215"/>
    </row>
    <row r="629" spans="6:9" ht="14.25" customHeight="1">
      <c r="F629" s="215"/>
      <c r="I629" s="215"/>
    </row>
    <row r="630" spans="6:9" ht="14.25" customHeight="1">
      <c r="F630" s="215"/>
      <c r="I630" s="215"/>
    </row>
    <row r="631" spans="6:9" ht="14.25" customHeight="1">
      <c r="F631" s="215"/>
      <c r="I631" s="215"/>
    </row>
    <row r="632" spans="6:9" ht="14.25" customHeight="1">
      <c r="F632" s="215"/>
      <c r="I632" s="215"/>
    </row>
    <row r="633" spans="6:9" ht="14.25" customHeight="1">
      <c r="F633" s="215"/>
      <c r="I633" s="215"/>
    </row>
    <row r="634" spans="6:9" ht="14.25" customHeight="1">
      <c r="F634" s="215"/>
      <c r="I634" s="215"/>
    </row>
    <row r="635" spans="6:9" ht="14.25" customHeight="1">
      <c r="F635" s="215"/>
      <c r="I635" s="215"/>
    </row>
    <row r="636" spans="6:9" ht="14.25" customHeight="1">
      <c r="F636" s="215"/>
      <c r="I636" s="215"/>
    </row>
    <row r="637" spans="6:9" ht="14.25" customHeight="1">
      <c r="F637" s="215"/>
      <c r="I637" s="215"/>
    </row>
    <row r="638" spans="6:9" ht="14.25" customHeight="1">
      <c r="F638" s="215"/>
      <c r="I638" s="215"/>
    </row>
    <row r="639" spans="6:9" ht="14.25" customHeight="1">
      <c r="F639" s="215"/>
      <c r="I639" s="215"/>
    </row>
    <row r="640" spans="6:9" ht="14.25" customHeight="1">
      <c r="F640" s="215"/>
      <c r="I640" s="215"/>
    </row>
    <row r="641" spans="6:9" ht="14.25" customHeight="1">
      <c r="F641" s="215"/>
      <c r="I641" s="215"/>
    </row>
    <row r="642" spans="6:9" ht="14.25" customHeight="1">
      <c r="F642" s="215"/>
      <c r="I642" s="215"/>
    </row>
    <row r="643" spans="6:9" ht="14.25" customHeight="1">
      <c r="F643" s="215"/>
      <c r="I643" s="215"/>
    </row>
    <row r="644" spans="6:9" ht="14.25" customHeight="1">
      <c r="F644" s="215"/>
      <c r="I644" s="215"/>
    </row>
    <row r="645" spans="6:9" ht="14.25" customHeight="1">
      <c r="F645" s="215"/>
      <c r="I645" s="215"/>
    </row>
    <row r="646" spans="6:9" ht="14.25" customHeight="1">
      <c r="F646" s="215"/>
      <c r="I646" s="215"/>
    </row>
    <row r="647" spans="6:9" ht="14.25" customHeight="1">
      <c r="F647" s="215"/>
      <c r="I647" s="215"/>
    </row>
    <row r="648" spans="6:9" ht="14.25" customHeight="1">
      <c r="F648" s="215"/>
      <c r="I648" s="215"/>
    </row>
    <row r="649" spans="6:9" ht="14.25" customHeight="1">
      <c r="F649" s="215"/>
      <c r="I649" s="215"/>
    </row>
    <row r="650" spans="6:9" ht="14.25" customHeight="1">
      <c r="F650" s="215"/>
      <c r="I650" s="215"/>
    </row>
    <row r="651" spans="6:9" ht="14.25" customHeight="1">
      <c r="F651" s="215"/>
      <c r="I651" s="215"/>
    </row>
    <row r="652" spans="6:9" ht="14.25" customHeight="1">
      <c r="F652" s="215"/>
      <c r="I652" s="215"/>
    </row>
    <row r="653" spans="6:9" ht="14.25" customHeight="1">
      <c r="F653" s="215"/>
      <c r="I653" s="215"/>
    </row>
    <row r="654" spans="6:9" ht="14.25" customHeight="1">
      <c r="F654" s="215"/>
      <c r="I654" s="215"/>
    </row>
    <row r="655" spans="6:9" ht="14.25" customHeight="1">
      <c r="F655" s="215"/>
      <c r="I655" s="215"/>
    </row>
    <row r="656" spans="6:9" ht="14.25" customHeight="1">
      <c r="F656" s="215"/>
      <c r="I656" s="215"/>
    </row>
    <row r="657" spans="6:9" ht="14.25" customHeight="1">
      <c r="F657" s="215"/>
      <c r="I657" s="215"/>
    </row>
    <row r="658" spans="6:9" ht="14.25" customHeight="1">
      <c r="F658" s="215"/>
      <c r="I658" s="215"/>
    </row>
    <row r="659" spans="6:9" ht="14.25" customHeight="1">
      <c r="F659" s="215"/>
      <c r="I659" s="215"/>
    </row>
    <row r="660" spans="6:9" ht="14.25" customHeight="1">
      <c r="F660" s="215"/>
      <c r="I660" s="215"/>
    </row>
    <row r="661" spans="6:9" ht="14.25" customHeight="1">
      <c r="F661" s="215"/>
      <c r="I661" s="215"/>
    </row>
    <row r="662" spans="6:9" ht="14.25" customHeight="1">
      <c r="F662" s="215"/>
      <c r="I662" s="215"/>
    </row>
    <row r="663" spans="6:9" ht="14.25" customHeight="1">
      <c r="F663" s="215"/>
      <c r="I663" s="215"/>
    </row>
    <row r="664" spans="6:9" ht="14.25" customHeight="1">
      <c r="F664" s="215"/>
      <c r="I664" s="215"/>
    </row>
    <row r="665" spans="6:9" ht="14.25" customHeight="1">
      <c r="F665" s="215"/>
      <c r="I665" s="215"/>
    </row>
    <row r="666" spans="6:9" ht="14.25" customHeight="1">
      <c r="F666" s="215"/>
      <c r="I666" s="215"/>
    </row>
    <row r="667" spans="6:9" ht="14.25" customHeight="1">
      <c r="F667" s="215"/>
      <c r="I667" s="215"/>
    </row>
    <row r="668" spans="6:9" ht="14.25" customHeight="1">
      <c r="F668" s="215"/>
      <c r="I668" s="215"/>
    </row>
    <row r="669" spans="6:9" ht="14.25" customHeight="1">
      <c r="F669" s="215"/>
      <c r="I669" s="215"/>
    </row>
    <row r="670" spans="6:9" ht="14.25" customHeight="1">
      <c r="F670" s="215"/>
      <c r="I670" s="215"/>
    </row>
    <row r="671" spans="6:9" ht="14.25" customHeight="1">
      <c r="F671" s="215"/>
      <c r="I671" s="215"/>
    </row>
    <row r="672" spans="6:9" ht="14.25" customHeight="1">
      <c r="F672" s="215"/>
      <c r="I672" s="215"/>
    </row>
    <row r="673" spans="6:9" ht="14.25" customHeight="1">
      <c r="F673" s="215"/>
      <c r="I673" s="215"/>
    </row>
    <row r="674" spans="6:9" ht="14.25" customHeight="1">
      <c r="F674" s="215"/>
      <c r="I674" s="215"/>
    </row>
    <row r="675" spans="6:9" ht="14.25" customHeight="1">
      <c r="F675" s="215"/>
      <c r="I675" s="215"/>
    </row>
    <row r="676" spans="6:9" ht="14.25" customHeight="1">
      <c r="F676" s="215"/>
      <c r="I676" s="215"/>
    </row>
    <row r="677" spans="6:9" ht="14.25" customHeight="1">
      <c r="F677" s="215"/>
      <c r="I677" s="215"/>
    </row>
    <row r="678" spans="6:9" ht="14.25" customHeight="1">
      <c r="F678" s="215"/>
      <c r="I678" s="215"/>
    </row>
    <row r="679" spans="6:9" ht="14.25" customHeight="1">
      <c r="F679" s="215"/>
      <c r="I679" s="215"/>
    </row>
    <row r="680" spans="6:9" ht="14.25" customHeight="1">
      <c r="F680" s="215"/>
      <c r="I680" s="215"/>
    </row>
    <row r="681" spans="6:9" ht="14.25" customHeight="1">
      <c r="F681" s="215"/>
      <c r="I681" s="215"/>
    </row>
    <row r="682" spans="6:9" ht="14.25" customHeight="1">
      <c r="F682" s="215"/>
      <c r="I682" s="215"/>
    </row>
    <row r="683" spans="6:9" ht="14.25" customHeight="1">
      <c r="F683" s="215"/>
      <c r="I683" s="215"/>
    </row>
    <row r="684" spans="6:9" ht="14.25" customHeight="1">
      <c r="F684" s="215"/>
      <c r="I684" s="215"/>
    </row>
    <row r="685" spans="6:9" ht="14.25" customHeight="1">
      <c r="F685" s="215"/>
      <c r="I685" s="215"/>
    </row>
    <row r="686" spans="6:9" ht="14.25" customHeight="1">
      <c r="F686" s="215"/>
      <c r="I686" s="215"/>
    </row>
    <row r="687" spans="6:9" ht="14.25" customHeight="1">
      <c r="F687" s="215"/>
      <c r="I687" s="215"/>
    </row>
    <row r="688" spans="6:9" ht="14.25" customHeight="1">
      <c r="F688" s="215"/>
      <c r="I688" s="215"/>
    </row>
    <row r="689" spans="6:9" ht="14.25" customHeight="1">
      <c r="F689" s="215"/>
      <c r="I689" s="215"/>
    </row>
    <row r="690" spans="6:9" ht="14.25" customHeight="1">
      <c r="F690" s="215"/>
      <c r="I690" s="215"/>
    </row>
    <row r="691" spans="6:9" ht="14.25" customHeight="1">
      <c r="F691" s="215"/>
      <c r="I691" s="215"/>
    </row>
    <row r="692" spans="6:9" ht="14.25" customHeight="1">
      <c r="F692" s="215"/>
      <c r="I692" s="215"/>
    </row>
    <row r="693" spans="6:9" ht="14.25" customHeight="1">
      <c r="F693" s="215"/>
      <c r="I693" s="215"/>
    </row>
    <row r="694" spans="6:9" ht="14.25" customHeight="1">
      <c r="F694" s="215"/>
      <c r="I694" s="215"/>
    </row>
    <row r="695" spans="6:9" ht="14.25" customHeight="1">
      <c r="F695" s="215"/>
      <c r="I695" s="215"/>
    </row>
    <row r="696" spans="6:9" ht="14.25" customHeight="1">
      <c r="F696" s="215"/>
      <c r="I696" s="215"/>
    </row>
    <row r="697" spans="6:9" ht="14.25" customHeight="1">
      <c r="F697" s="215"/>
      <c r="I697" s="215"/>
    </row>
    <row r="698" spans="6:9" ht="14.25" customHeight="1">
      <c r="F698" s="215"/>
      <c r="I698" s="215"/>
    </row>
    <row r="699" spans="6:9" ht="14.25" customHeight="1">
      <c r="F699" s="215"/>
      <c r="I699" s="215"/>
    </row>
    <row r="700" spans="6:9" ht="14.25" customHeight="1">
      <c r="F700" s="215"/>
      <c r="I700" s="215"/>
    </row>
    <row r="701" spans="6:9" ht="14.25" customHeight="1">
      <c r="F701" s="215"/>
      <c r="I701" s="215"/>
    </row>
    <row r="702" spans="6:9" ht="14.25" customHeight="1">
      <c r="F702" s="215"/>
      <c r="I702" s="215"/>
    </row>
    <row r="703" spans="6:9" ht="14.25" customHeight="1">
      <c r="F703" s="215"/>
      <c r="I703" s="215"/>
    </row>
    <row r="704" spans="6:9" ht="14.25" customHeight="1">
      <c r="F704" s="215"/>
      <c r="I704" s="215"/>
    </row>
    <row r="705" spans="6:9" ht="14.25" customHeight="1">
      <c r="F705" s="215"/>
      <c r="I705" s="215"/>
    </row>
    <row r="706" spans="6:9" ht="14.25" customHeight="1">
      <c r="F706" s="215"/>
      <c r="I706" s="215"/>
    </row>
    <row r="707" spans="6:9" ht="14.25" customHeight="1">
      <c r="F707" s="215"/>
      <c r="I707" s="215"/>
    </row>
    <row r="708" spans="6:9" ht="14.25" customHeight="1">
      <c r="F708" s="215"/>
      <c r="I708" s="215"/>
    </row>
    <row r="709" spans="6:9" ht="14.25" customHeight="1">
      <c r="F709" s="215"/>
      <c r="I709" s="215"/>
    </row>
    <row r="710" spans="6:9" ht="14.25" customHeight="1">
      <c r="F710" s="215"/>
      <c r="I710" s="215"/>
    </row>
    <row r="711" spans="6:9" ht="14.25" customHeight="1">
      <c r="F711" s="215"/>
      <c r="I711" s="215"/>
    </row>
    <row r="712" spans="6:9" ht="14.25" customHeight="1">
      <c r="F712" s="215"/>
      <c r="I712" s="215"/>
    </row>
    <row r="713" spans="6:9" ht="14.25" customHeight="1">
      <c r="F713" s="215"/>
      <c r="I713" s="215"/>
    </row>
    <row r="714" spans="6:9" ht="14.25" customHeight="1">
      <c r="F714" s="215"/>
      <c r="I714" s="215"/>
    </row>
    <row r="715" spans="6:9" ht="14.25" customHeight="1">
      <c r="F715" s="215"/>
      <c r="I715" s="215"/>
    </row>
    <row r="716" spans="6:9" ht="14.25" customHeight="1">
      <c r="F716" s="215"/>
      <c r="I716" s="215"/>
    </row>
    <row r="717" spans="6:9" ht="14.25" customHeight="1">
      <c r="F717" s="215"/>
      <c r="I717" s="215"/>
    </row>
    <row r="718" spans="6:9" ht="14.25" customHeight="1">
      <c r="F718" s="215"/>
      <c r="I718" s="215"/>
    </row>
    <row r="719" spans="6:9" ht="14.25" customHeight="1">
      <c r="F719" s="215"/>
      <c r="I719" s="215"/>
    </row>
    <row r="720" spans="6:9" ht="14.25" customHeight="1">
      <c r="F720" s="215"/>
      <c r="I720" s="215"/>
    </row>
    <row r="721" spans="6:9" ht="14.25" customHeight="1">
      <c r="F721" s="215"/>
      <c r="I721" s="215"/>
    </row>
    <row r="722" spans="6:9" ht="14.25" customHeight="1">
      <c r="F722" s="215"/>
      <c r="I722" s="215"/>
    </row>
    <row r="723" spans="6:9" ht="14.25" customHeight="1">
      <c r="F723" s="215"/>
      <c r="I723" s="215"/>
    </row>
    <row r="724" spans="6:9" ht="14.25" customHeight="1">
      <c r="F724" s="215"/>
      <c r="I724" s="215"/>
    </row>
    <row r="725" spans="6:9" ht="14.25" customHeight="1">
      <c r="F725" s="215"/>
      <c r="I725" s="215"/>
    </row>
    <row r="726" spans="6:9" ht="14.25" customHeight="1">
      <c r="F726" s="215"/>
      <c r="I726" s="215"/>
    </row>
    <row r="727" spans="6:9" ht="14.25" customHeight="1">
      <c r="F727" s="215"/>
      <c r="I727" s="215"/>
    </row>
    <row r="728" spans="6:9" ht="14.25" customHeight="1">
      <c r="F728" s="215"/>
      <c r="I728" s="215"/>
    </row>
    <row r="729" spans="6:9" ht="14.25" customHeight="1">
      <c r="F729" s="215"/>
      <c r="I729" s="215"/>
    </row>
    <row r="730" spans="6:9" ht="14.25" customHeight="1">
      <c r="F730" s="215"/>
      <c r="I730" s="215"/>
    </row>
    <row r="731" spans="6:9" ht="14.25" customHeight="1">
      <c r="F731" s="215"/>
      <c r="I731" s="215"/>
    </row>
    <row r="732" spans="6:9" ht="14.25" customHeight="1">
      <c r="F732" s="215"/>
      <c r="I732" s="215"/>
    </row>
    <row r="733" spans="6:9" ht="14.25" customHeight="1">
      <c r="F733" s="215"/>
      <c r="I733" s="215"/>
    </row>
    <row r="734" spans="6:9" ht="14.25" customHeight="1">
      <c r="F734" s="215"/>
      <c r="I734" s="215"/>
    </row>
    <row r="735" spans="6:9" ht="14.25" customHeight="1">
      <c r="F735" s="215"/>
      <c r="I735" s="215"/>
    </row>
    <row r="736" spans="6:9" ht="14.25" customHeight="1">
      <c r="F736" s="215"/>
      <c r="I736" s="215"/>
    </row>
    <row r="737" spans="6:9" ht="14.25" customHeight="1">
      <c r="F737" s="215"/>
      <c r="I737" s="215"/>
    </row>
    <row r="738" spans="6:9" ht="14.25" customHeight="1">
      <c r="F738" s="215"/>
      <c r="I738" s="215"/>
    </row>
    <row r="739" spans="6:9" ht="14.25" customHeight="1">
      <c r="F739" s="215"/>
      <c r="I739" s="215"/>
    </row>
    <row r="740" spans="6:9" ht="14.25" customHeight="1">
      <c r="F740" s="215"/>
      <c r="I740" s="215"/>
    </row>
    <row r="741" spans="6:9" ht="14.25" customHeight="1">
      <c r="F741" s="215"/>
      <c r="I741" s="215"/>
    </row>
    <row r="742" spans="6:9" ht="14.25" customHeight="1">
      <c r="F742" s="215"/>
      <c r="I742" s="215"/>
    </row>
    <row r="743" spans="6:9" ht="14.25" customHeight="1">
      <c r="F743" s="215"/>
      <c r="I743" s="215"/>
    </row>
    <row r="744" spans="6:9" ht="14.25" customHeight="1">
      <c r="F744" s="215"/>
      <c r="I744" s="215"/>
    </row>
    <row r="745" spans="6:9" ht="14.25" customHeight="1">
      <c r="F745" s="215"/>
      <c r="I745" s="215"/>
    </row>
    <row r="746" spans="6:9" ht="14.25" customHeight="1">
      <c r="F746" s="215"/>
      <c r="I746" s="215"/>
    </row>
    <row r="747" spans="6:9" ht="14.25" customHeight="1">
      <c r="F747" s="215"/>
      <c r="I747" s="215"/>
    </row>
    <row r="748" spans="6:9" ht="14.25" customHeight="1">
      <c r="F748" s="215"/>
      <c r="I748" s="215"/>
    </row>
    <row r="749" spans="6:9" ht="14.25" customHeight="1">
      <c r="F749" s="215"/>
      <c r="I749" s="215"/>
    </row>
    <row r="750" spans="6:9" ht="14.25" customHeight="1">
      <c r="F750" s="215"/>
      <c r="I750" s="215"/>
    </row>
    <row r="751" spans="6:9" ht="14.25" customHeight="1">
      <c r="F751" s="215"/>
      <c r="I751" s="215"/>
    </row>
    <row r="752" spans="6:9" ht="14.25" customHeight="1">
      <c r="F752" s="215"/>
      <c r="I752" s="215"/>
    </row>
    <row r="753" spans="6:9" ht="14.25" customHeight="1">
      <c r="F753" s="215"/>
      <c r="I753" s="215"/>
    </row>
    <row r="754" spans="6:9" ht="14.25" customHeight="1">
      <c r="F754" s="215"/>
      <c r="I754" s="215"/>
    </row>
    <row r="755" spans="6:9" ht="14.25" customHeight="1">
      <c r="F755" s="215"/>
      <c r="I755" s="215"/>
    </row>
    <row r="756" spans="6:9" ht="14.25" customHeight="1">
      <c r="F756" s="215"/>
      <c r="I756" s="215"/>
    </row>
    <row r="757" spans="6:9" ht="14.25" customHeight="1">
      <c r="F757" s="215"/>
      <c r="I757" s="215"/>
    </row>
    <row r="758" spans="6:9" ht="14.25" customHeight="1">
      <c r="F758" s="215"/>
      <c r="I758" s="215"/>
    </row>
    <row r="759" spans="6:9" ht="14.25" customHeight="1">
      <c r="F759" s="215"/>
      <c r="I759" s="215"/>
    </row>
    <row r="760" spans="6:9" ht="14.25" customHeight="1">
      <c r="F760" s="215"/>
      <c r="I760" s="215"/>
    </row>
    <row r="761" spans="6:9" ht="14.25" customHeight="1">
      <c r="F761" s="215"/>
      <c r="I761" s="215"/>
    </row>
    <row r="762" spans="6:9" ht="14.25" customHeight="1">
      <c r="F762" s="215"/>
      <c r="I762" s="215"/>
    </row>
    <row r="763" spans="6:9" ht="14.25" customHeight="1">
      <c r="F763" s="215"/>
      <c r="I763" s="215"/>
    </row>
    <row r="764" spans="6:9" ht="14.25" customHeight="1">
      <c r="F764" s="215"/>
      <c r="I764" s="215"/>
    </row>
    <row r="765" spans="6:9" ht="14.25" customHeight="1">
      <c r="F765" s="215"/>
      <c r="I765" s="215"/>
    </row>
    <row r="766" spans="6:9" ht="14.25" customHeight="1">
      <c r="F766" s="215"/>
      <c r="I766" s="215"/>
    </row>
    <row r="767" spans="6:9" ht="14.25" customHeight="1">
      <c r="F767" s="215"/>
      <c r="I767" s="215"/>
    </row>
    <row r="768" spans="6:9" ht="14.25" customHeight="1">
      <c r="F768" s="215"/>
      <c r="I768" s="215"/>
    </row>
    <row r="769" spans="6:9" ht="14.25" customHeight="1">
      <c r="F769" s="215"/>
      <c r="I769" s="215"/>
    </row>
    <row r="770" spans="6:9" ht="14.25" customHeight="1">
      <c r="F770" s="215"/>
      <c r="I770" s="215"/>
    </row>
    <row r="771" spans="6:9" ht="14.25" customHeight="1">
      <c r="F771" s="215"/>
      <c r="I771" s="215"/>
    </row>
    <row r="772" spans="6:9" ht="14.25" customHeight="1">
      <c r="F772" s="215"/>
      <c r="I772" s="215"/>
    </row>
    <row r="773" spans="6:9" ht="14.25" customHeight="1">
      <c r="F773" s="215"/>
      <c r="I773" s="215"/>
    </row>
    <row r="774" spans="6:9" ht="14.25" customHeight="1">
      <c r="F774" s="215"/>
      <c r="I774" s="215"/>
    </row>
    <row r="775" spans="6:9" ht="14.25" customHeight="1">
      <c r="F775" s="215"/>
      <c r="I775" s="215"/>
    </row>
    <row r="776" spans="6:9" ht="14.25" customHeight="1">
      <c r="F776" s="215"/>
      <c r="I776" s="215"/>
    </row>
    <row r="777" spans="6:9" ht="14.25" customHeight="1">
      <c r="F777" s="215"/>
      <c r="I777" s="215"/>
    </row>
    <row r="778" spans="6:9" ht="14.25" customHeight="1">
      <c r="F778" s="215"/>
      <c r="I778" s="215"/>
    </row>
    <row r="779" spans="6:9" ht="14.25" customHeight="1">
      <c r="F779" s="215"/>
      <c r="I779" s="215"/>
    </row>
    <row r="780" spans="6:9" ht="14.25" customHeight="1">
      <c r="F780" s="215"/>
      <c r="I780" s="215"/>
    </row>
    <row r="781" spans="6:9" ht="14.25" customHeight="1">
      <c r="F781" s="215"/>
      <c r="I781" s="215"/>
    </row>
    <row r="782" spans="6:9" ht="14.25" customHeight="1">
      <c r="F782" s="215"/>
      <c r="I782" s="215"/>
    </row>
    <row r="783" spans="6:9" ht="14.25" customHeight="1">
      <c r="F783" s="215"/>
      <c r="I783" s="215"/>
    </row>
    <row r="784" spans="6:9" ht="14.25" customHeight="1">
      <c r="F784" s="215"/>
      <c r="I784" s="215"/>
    </row>
    <row r="785" spans="6:9" ht="14.25" customHeight="1">
      <c r="F785" s="215"/>
      <c r="I785" s="215"/>
    </row>
    <row r="786" spans="6:9" ht="14.25" customHeight="1">
      <c r="F786" s="215"/>
      <c r="I786" s="215"/>
    </row>
    <row r="787" spans="6:9" ht="14.25" customHeight="1">
      <c r="F787" s="215"/>
      <c r="I787" s="215"/>
    </row>
    <row r="788" spans="6:9" ht="14.25" customHeight="1">
      <c r="F788" s="215"/>
      <c r="I788" s="215"/>
    </row>
    <row r="789" spans="6:9" ht="14.25" customHeight="1">
      <c r="F789" s="215"/>
      <c r="I789" s="215"/>
    </row>
    <row r="790" spans="6:9" ht="14.25" customHeight="1">
      <c r="F790" s="215"/>
      <c r="I790" s="215"/>
    </row>
    <row r="791" spans="6:9" ht="14.25" customHeight="1">
      <c r="F791" s="215"/>
      <c r="I791" s="215"/>
    </row>
    <row r="792" spans="6:9" ht="14.25" customHeight="1">
      <c r="F792" s="215"/>
      <c r="I792" s="215"/>
    </row>
    <row r="793" spans="6:9" ht="14.25" customHeight="1">
      <c r="F793" s="215"/>
      <c r="I793" s="215"/>
    </row>
    <row r="794" spans="6:9" ht="14.25" customHeight="1">
      <c r="F794" s="215"/>
      <c r="I794" s="215"/>
    </row>
    <row r="795" spans="6:9" ht="14.25" customHeight="1">
      <c r="F795" s="215"/>
      <c r="I795" s="215"/>
    </row>
    <row r="796" spans="6:9" ht="14.25" customHeight="1">
      <c r="F796" s="215"/>
      <c r="I796" s="215"/>
    </row>
    <row r="797" spans="6:9" ht="14.25" customHeight="1">
      <c r="F797" s="215"/>
      <c r="I797" s="215"/>
    </row>
    <row r="798" spans="6:9" ht="14.25" customHeight="1">
      <c r="F798" s="215"/>
      <c r="I798" s="215"/>
    </row>
    <row r="799" spans="6:9" ht="14.25" customHeight="1">
      <c r="F799" s="215"/>
      <c r="I799" s="215"/>
    </row>
    <row r="800" spans="6:9" ht="14.25" customHeight="1">
      <c r="F800" s="215"/>
      <c r="I800" s="215"/>
    </row>
    <row r="801" spans="6:9" ht="14.25" customHeight="1">
      <c r="F801" s="215"/>
      <c r="I801" s="215"/>
    </row>
    <row r="802" spans="6:9" ht="14.25" customHeight="1">
      <c r="F802" s="215"/>
      <c r="I802" s="215"/>
    </row>
    <row r="803" spans="6:9" ht="14.25" customHeight="1">
      <c r="F803" s="215"/>
      <c r="I803" s="215"/>
    </row>
    <row r="804" spans="6:9" ht="14.25" customHeight="1">
      <c r="F804" s="215"/>
      <c r="I804" s="215"/>
    </row>
    <row r="805" spans="6:9" ht="14.25" customHeight="1">
      <c r="F805" s="215"/>
      <c r="I805" s="215"/>
    </row>
    <row r="806" spans="6:9" ht="14.25" customHeight="1">
      <c r="F806" s="215"/>
      <c r="I806" s="215"/>
    </row>
    <row r="807" spans="6:9" ht="14.25" customHeight="1">
      <c r="F807" s="215"/>
      <c r="I807" s="215"/>
    </row>
    <row r="808" spans="6:9" ht="14.25" customHeight="1">
      <c r="F808" s="215"/>
      <c r="I808" s="215"/>
    </row>
    <row r="809" spans="6:9" ht="14.25" customHeight="1">
      <c r="F809" s="215"/>
      <c r="I809" s="215"/>
    </row>
    <row r="810" spans="6:9" ht="14.25" customHeight="1">
      <c r="F810" s="215"/>
      <c r="I810" s="215"/>
    </row>
    <row r="811" spans="6:9" ht="14.25" customHeight="1">
      <c r="F811" s="215"/>
      <c r="I811" s="215"/>
    </row>
    <row r="812" spans="6:9" ht="14.25" customHeight="1">
      <c r="F812" s="215"/>
      <c r="I812" s="215"/>
    </row>
    <row r="813" spans="6:9" ht="14.25" customHeight="1">
      <c r="F813" s="215"/>
      <c r="I813" s="215"/>
    </row>
    <row r="814" spans="6:9" ht="14.25" customHeight="1">
      <c r="F814" s="215"/>
      <c r="I814" s="215"/>
    </row>
    <row r="815" spans="6:9" ht="14.25" customHeight="1">
      <c r="F815" s="215"/>
      <c r="I815" s="215"/>
    </row>
    <row r="816" spans="6:9" ht="14.25" customHeight="1">
      <c r="F816" s="215"/>
      <c r="I816" s="215"/>
    </row>
    <row r="817" spans="6:9" ht="14.25" customHeight="1">
      <c r="F817" s="215"/>
      <c r="I817" s="215"/>
    </row>
    <row r="818" spans="6:9" ht="14.25" customHeight="1">
      <c r="F818" s="215"/>
      <c r="I818" s="215"/>
    </row>
    <row r="819" spans="6:9" ht="14.25" customHeight="1">
      <c r="F819" s="215"/>
      <c r="I819" s="215"/>
    </row>
    <row r="820" spans="6:9" ht="14.25" customHeight="1">
      <c r="F820" s="215"/>
      <c r="I820" s="215"/>
    </row>
    <row r="821" spans="6:9" ht="14.25" customHeight="1">
      <c r="F821" s="215"/>
      <c r="I821" s="215"/>
    </row>
    <row r="822" spans="6:9" ht="14.25" customHeight="1">
      <c r="F822" s="215"/>
      <c r="I822" s="215"/>
    </row>
    <row r="823" spans="6:9" ht="14.25" customHeight="1">
      <c r="F823" s="215"/>
      <c r="I823" s="215"/>
    </row>
    <row r="824" spans="6:9" ht="14.25" customHeight="1">
      <c r="F824" s="215"/>
      <c r="I824" s="215"/>
    </row>
    <row r="825" spans="6:9" ht="14.25" customHeight="1">
      <c r="F825" s="215"/>
      <c r="I825" s="215"/>
    </row>
    <row r="826" spans="6:9" ht="14.25" customHeight="1">
      <c r="F826" s="215"/>
      <c r="I826" s="215"/>
    </row>
    <row r="827" spans="6:9" ht="14.25" customHeight="1">
      <c r="F827" s="215"/>
      <c r="I827" s="215"/>
    </row>
    <row r="828" spans="6:9" ht="14.25" customHeight="1">
      <c r="F828" s="215"/>
      <c r="I828" s="215"/>
    </row>
    <row r="829" spans="6:9" ht="14.25" customHeight="1">
      <c r="F829" s="215"/>
      <c r="I829" s="215"/>
    </row>
    <row r="830" spans="6:9" ht="14.25" customHeight="1">
      <c r="F830" s="215"/>
      <c r="I830" s="215"/>
    </row>
    <row r="831" spans="6:9" ht="14.25" customHeight="1">
      <c r="F831" s="215"/>
      <c r="I831" s="215"/>
    </row>
    <row r="832" spans="6:9" ht="14.25" customHeight="1">
      <c r="F832" s="215"/>
      <c r="I832" s="215"/>
    </row>
    <row r="833" spans="6:9" ht="14.25" customHeight="1">
      <c r="F833" s="215"/>
      <c r="I833" s="215"/>
    </row>
    <row r="834" spans="6:9" ht="14.25" customHeight="1">
      <c r="F834" s="215"/>
      <c r="I834" s="215"/>
    </row>
    <row r="835" spans="6:9" ht="14.25" customHeight="1">
      <c r="F835" s="215"/>
      <c r="I835" s="215"/>
    </row>
    <row r="836" spans="6:9" ht="14.25" customHeight="1">
      <c r="F836" s="215"/>
      <c r="I836" s="215"/>
    </row>
    <row r="837" spans="6:9" ht="14.25" customHeight="1">
      <c r="F837" s="215"/>
      <c r="I837" s="215"/>
    </row>
    <row r="838" spans="6:9" ht="14.25" customHeight="1">
      <c r="F838" s="215"/>
      <c r="I838" s="215"/>
    </row>
    <row r="839" spans="6:9" ht="14.25" customHeight="1">
      <c r="F839" s="215"/>
      <c r="I839" s="215"/>
    </row>
    <row r="840" spans="6:9" ht="14.25" customHeight="1">
      <c r="F840" s="215"/>
      <c r="I840" s="215"/>
    </row>
    <row r="841" spans="6:9" ht="14.25" customHeight="1">
      <c r="F841" s="215"/>
      <c r="I841" s="215"/>
    </row>
    <row r="842" spans="6:9" ht="14.25" customHeight="1">
      <c r="F842" s="215"/>
      <c r="I842" s="215"/>
    </row>
    <row r="843" spans="6:9" ht="14.25" customHeight="1">
      <c r="F843" s="215"/>
      <c r="I843" s="215"/>
    </row>
    <row r="844" spans="6:9" ht="14.25" customHeight="1">
      <c r="F844" s="215"/>
      <c r="I844" s="215"/>
    </row>
    <row r="845" spans="6:9" ht="14.25" customHeight="1">
      <c r="F845" s="215"/>
      <c r="I845" s="215"/>
    </row>
    <row r="846" spans="6:9" ht="14.25" customHeight="1">
      <c r="F846" s="215"/>
      <c r="I846" s="215"/>
    </row>
    <row r="847" spans="6:9" ht="14.25" customHeight="1">
      <c r="F847" s="215"/>
      <c r="I847" s="215"/>
    </row>
    <row r="848" spans="6:9" ht="14.25" customHeight="1">
      <c r="F848" s="215"/>
      <c r="I848" s="215"/>
    </row>
    <row r="849" spans="6:9" ht="14.25" customHeight="1">
      <c r="F849" s="215"/>
      <c r="I849" s="215"/>
    </row>
    <row r="850" spans="6:9" ht="14.25" customHeight="1">
      <c r="F850" s="215"/>
      <c r="I850" s="215"/>
    </row>
    <row r="851" spans="6:9" ht="14.25" customHeight="1">
      <c r="F851" s="215"/>
      <c r="I851" s="215"/>
    </row>
    <row r="852" spans="6:9" ht="14.25" customHeight="1">
      <c r="F852" s="215"/>
      <c r="I852" s="215"/>
    </row>
    <row r="853" spans="6:9" ht="14.25" customHeight="1">
      <c r="F853" s="215"/>
      <c r="I853" s="215"/>
    </row>
    <row r="854" spans="6:9" ht="14.25" customHeight="1">
      <c r="F854" s="215"/>
      <c r="I854" s="215"/>
    </row>
    <row r="855" spans="6:9" ht="14.25" customHeight="1">
      <c r="F855" s="215"/>
      <c r="I855" s="215"/>
    </row>
    <row r="856" spans="6:9" ht="14.25" customHeight="1">
      <c r="F856" s="215"/>
      <c r="I856" s="215"/>
    </row>
    <row r="857" spans="6:9" ht="14.25" customHeight="1">
      <c r="F857" s="215"/>
      <c r="I857" s="215"/>
    </row>
    <row r="858" spans="6:9" ht="14.25" customHeight="1">
      <c r="F858" s="215"/>
      <c r="I858" s="215"/>
    </row>
    <row r="859" spans="6:9" ht="14.25" customHeight="1">
      <c r="F859" s="215"/>
      <c r="I859" s="215"/>
    </row>
    <row r="860" spans="6:9" ht="14.25" customHeight="1">
      <c r="F860" s="215"/>
      <c r="I860" s="215"/>
    </row>
    <row r="861" spans="6:9" ht="14.25" customHeight="1">
      <c r="F861" s="215"/>
      <c r="I861" s="215"/>
    </row>
    <row r="862" spans="6:9" ht="14.25" customHeight="1">
      <c r="F862" s="215"/>
      <c r="I862" s="215"/>
    </row>
    <row r="863" spans="6:9" ht="14.25" customHeight="1">
      <c r="F863" s="215"/>
      <c r="I863" s="215"/>
    </row>
    <row r="864" spans="6:9" ht="14.25" customHeight="1">
      <c r="F864" s="215"/>
      <c r="I864" s="215"/>
    </row>
    <row r="865" spans="6:9" ht="14.25" customHeight="1">
      <c r="F865" s="215"/>
      <c r="I865" s="215"/>
    </row>
    <row r="866" spans="6:9" ht="14.25" customHeight="1">
      <c r="F866" s="215"/>
      <c r="I866" s="215"/>
    </row>
    <row r="867" spans="6:9" ht="14.25" customHeight="1">
      <c r="F867" s="215"/>
      <c r="I867" s="215"/>
    </row>
    <row r="868" spans="6:9" ht="14.25" customHeight="1">
      <c r="F868" s="215"/>
      <c r="I868" s="215"/>
    </row>
    <row r="869" spans="6:9" ht="14.25" customHeight="1">
      <c r="F869" s="215"/>
      <c r="I869" s="215"/>
    </row>
    <row r="870" spans="6:9" ht="14.25" customHeight="1">
      <c r="F870" s="215"/>
      <c r="I870" s="215"/>
    </row>
    <row r="871" spans="6:9" ht="14.25" customHeight="1">
      <c r="F871" s="215"/>
      <c r="I871" s="215"/>
    </row>
    <row r="872" spans="6:9" ht="14.25" customHeight="1">
      <c r="F872" s="215"/>
      <c r="I872" s="215"/>
    </row>
    <row r="873" spans="6:9" ht="14.25" customHeight="1">
      <c r="F873" s="215"/>
      <c r="I873" s="215"/>
    </row>
    <row r="874" spans="6:9" ht="14.25" customHeight="1">
      <c r="F874" s="215"/>
      <c r="I874" s="215"/>
    </row>
    <row r="875" spans="6:9" ht="14.25" customHeight="1">
      <c r="F875" s="215"/>
      <c r="I875" s="215"/>
    </row>
    <row r="876" spans="6:9" ht="14.25" customHeight="1">
      <c r="F876" s="215"/>
      <c r="I876" s="215"/>
    </row>
    <row r="877" spans="6:9" ht="14.25" customHeight="1">
      <c r="F877" s="215"/>
      <c r="I877" s="215"/>
    </row>
    <row r="878" spans="6:9" ht="14.25" customHeight="1">
      <c r="F878" s="215"/>
      <c r="I878" s="215"/>
    </row>
    <row r="879" spans="6:9" ht="14.25" customHeight="1">
      <c r="F879" s="215"/>
      <c r="I879" s="215"/>
    </row>
    <row r="880" spans="6:9" ht="14.25" customHeight="1">
      <c r="F880" s="215"/>
      <c r="I880" s="215"/>
    </row>
    <row r="881" spans="6:9" ht="14.25" customHeight="1">
      <c r="F881" s="215"/>
      <c r="I881" s="215"/>
    </row>
    <row r="882" spans="6:9" ht="14.25" customHeight="1">
      <c r="F882" s="215"/>
      <c r="I882" s="215"/>
    </row>
    <row r="883" spans="6:9" ht="14.25" customHeight="1">
      <c r="F883" s="215"/>
      <c r="I883" s="215"/>
    </row>
    <row r="884" spans="6:9" ht="14.25" customHeight="1">
      <c r="F884" s="215"/>
      <c r="I884" s="215"/>
    </row>
    <row r="885" spans="6:9" ht="14.25" customHeight="1">
      <c r="F885" s="215"/>
      <c r="I885" s="215"/>
    </row>
    <row r="886" spans="6:9" ht="14.25" customHeight="1">
      <c r="F886" s="215"/>
      <c r="I886" s="215"/>
    </row>
    <row r="887" spans="6:9" ht="14.25" customHeight="1">
      <c r="F887" s="215"/>
      <c r="I887" s="215"/>
    </row>
    <row r="888" spans="6:9" ht="14.25" customHeight="1">
      <c r="F888" s="215"/>
      <c r="I888" s="215"/>
    </row>
    <row r="889" spans="6:9" ht="14.25" customHeight="1">
      <c r="F889" s="215"/>
      <c r="I889" s="215"/>
    </row>
    <row r="890" spans="6:9" ht="14.25" customHeight="1">
      <c r="F890" s="215"/>
      <c r="I890" s="215"/>
    </row>
    <row r="891" spans="6:9" ht="14.25" customHeight="1">
      <c r="F891" s="215"/>
      <c r="I891" s="215"/>
    </row>
    <row r="892" spans="6:9" ht="14.25" customHeight="1">
      <c r="F892" s="215"/>
      <c r="I892" s="215"/>
    </row>
    <row r="893" spans="6:9" ht="14.25" customHeight="1">
      <c r="F893" s="215"/>
      <c r="I893" s="215"/>
    </row>
    <row r="894" spans="6:9" ht="14.25" customHeight="1">
      <c r="F894" s="215"/>
      <c r="I894" s="215"/>
    </row>
    <row r="895" spans="6:9" ht="14.25" customHeight="1">
      <c r="F895" s="215"/>
      <c r="I895" s="215"/>
    </row>
    <row r="896" spans="6:9" ht="14.25" customHeight="1">
      <c r="F896" s="215"/>
      <c r="I896" s="215"/>
    </row>
    <row r="897" spans="6:9" ht="14.25" customHeight="1">
      <c r="F897" s="215"/>
      <c r="I897" s="215"/>
    </row>
    <row r="898" spans="6:9" ht="14.25" customHeight="1">
      <c r="F898" s="215"/>
      <c r="I898" s="215"/>
    </row>
    <row r="899" spans="6:9" ht="14.25" customHeight="1">
      <c r="F899" s="215"/>
      <c r="I899" s="215"/>
    </row>
    <row r="900" spans="6:9" ht="14.25" customHeight="1">
      <c r="F900" s="215"/>
      <c r="I900" s="215"/>
    </row>
    <row r="901" spans="6:9" ht="14.25" customHeight="1">
      <c r="F901" s="215"/>
      <c r="I901" s="215"/>
    </row>
    <row r="902" spans="6:9" ht="14.25" customHeight="1">
      <c r="F902" s="215"/>
      <c r="I902" s="215"/>
    </row>
    <row r="903" spans="6:9" ht="14.25" customHeight="1">
      <c r="F903" s="215"/>
      <c r="I903" s="215"/>
    </row>
    <row r="904" spans="6:9" ht="14.25" customHeight="1">
      <c r="F904" s="215"/>
      <c r="I904" s="215"/>
    </row>
    <row r="905" spans="6:9" ht="14.25" customHeight="1">
      <c r="F905" s="215"/>
      <c r="I905" s="215"/>
    </row>
    <row r="906" spans="6:9" ht="14.25" customHeight="1">
      <c r="F906" s="215"/>
      <c r="I906" s="215"/>
    </row>
    <row r="907" spans="6:9" ht="14.25" customHeight="1">
      <c r="F907" s="215"/>
      <c r="I907" s="215"/>
    </row>
    <row r="908" spans="6:9" ht="14.25" customHeight="1">
      <c r="F908" s="215"/>
      <c r="I908" s="215"/>
    </row>
    <row r="909" spans="6:9" ht="14.25" customHeight="1">
      <c r="F909" s="215"/>
      <c r="I909" s="215"/>
    </row>
    <row r="910" spans="6:9" ht="14.25" customHeight="1">
      <c r="F910" s="215"/>
      <c r="I910" s="215"/>
    </row>
    <row r="911" spans="6:9" ht="14.25" customHeight="1">
      <c r="F911" s="215"/>
      <c r="I911" s="215"/>
    </row>
    <row r="912" spans="6:9" ht="14.25" customHeight="1">
      <c r="F912" s="215"/>
      <c r="I912" s="215"/>
    </row>
    <row r="913" spans="6:9" ht="14.25" customHeight="1">
      <c r="F913" s="215"/>
      <c r="I913" s="215"/>
    </row>
    <row r="914" spans="6:9" ht="14.25" customHeight="1">
      <c r="F914" s="215"/>
      <c r="I914" s="215"/>
    </row>
    <row r="915" spans="6:9" ht="14.25" customHeight="1">
      <c r="F915" s="215"/>
      <c r="I915" s="215"/>
    </row>
    <row r="916" spans="6:9" ht="14.25" customHeight="1">
      <c r="F916" s="215"/>
      <c r="I916" s="215"/>
    </row>
    <row r="917" spans="6:9" ht="14.25" customHeight="1">
      <c r="F917" s="215"/>
      <c r="I917" s="215"/>
    </row>
    <row r="918" spans="6:9" ht="14.25" customHeight="1">
      <c r="F918" s="215"/>
      <c r="I918" s="215"/>
    </row>
    <row r="919" spans="6:9" ht="14.25" customHeight="1">
      <c r="F919" s="215"/>
      <c r="I919" s="215"/>
    </row>
    <row r="920" spans="6:9" ht="14.25" customHeight="1">
      <c r="F920" s="215"/>
      <c r="I920" s="215"/>
    </row>
    <row r="921" spans="6:9" ht="14.25" customHeight="1">
      <c r="F921" s="215"/>
      <c r="I921" s="215"/>
    </row>
    <row r="922" spans="6:9" ht="14.25" customHeight="1">
      <c r="F922" s="215"/>
      <c r="I922" s="215"/>
    </row>
    <row r="923" spans="6:9" ht="14.25" customHeight="1">
      <c r="F923" s="215"/>
      <c r="I923" s="215"/>
    </row>
    <row r="924" spans="6:9" ht="14.25" customHeight="1">
      <c r="F924" s="215"/>
      <c r="I924" s="215"/>
    </row>
    <row r="925" spans="6:9" ht="14.25" customHeight="1">
      <c r="F925" s="215"/>
      <c r="I925" s="215"/>
    </row>
    <row r="926" spans="6:9" ht="14.25" customHeight="1">
      <c r="F926" s="215"/>
      <c r="I926" s="215"/>
    </row>
    <row r="927" spans="6:9" ht="14.25" customHeight="1">
      <c r="F927" s="215"/>
      <c r="I927" s="215"/>
    </row>
    <row r="928" spans="6:9" ht="14.25" customHeight="1">
      <c r="F928" s="215"/>
      <c r="I928" s="215"/>
    </row>
    <row r="929" spans="6:9" ht="14.25" customHeight="1">
      <c r="F929" s="215"/>
      <c r="I929" s="215"/>
    </row>
    <row r="930" spans="6:9" ht="14.25" customHeight="1">
      <c r="F930" s="215"/>
      <c r="I930" s="215"/>
    </row>
    <row r="931" spans="6:9" ht="14.25" customHeight="1">
      <c r="F931" s="215"/>
      <c r="I931" s="215"/>
    </row>
    <row r="932" spans="6:9" ht="14.25" customHeight="1">
      <c r="F932" s="215"/>
      <c r="I932" s="215"/>
    </row>
    <row r="933" spans="6:9" ht="14.25" customHeight="1">
      <c r="F933" s="215"/>
      <c r="I933" s="215"/>
    </row>
    <row r="934" spans="6:9" ht="14.25" customHeight="1">
      <c r="F934" s="215"/>
      <c r="I934" s="215"/>
    </row>
    <row r="935" spans="6:9" ht="14.25" customHeight="1">
      <c r="F935" s="215"/>
      <c r="I935" s="215"/>
    </row>
    <row r="936" spans="6:9" ht="14.25" customHeight="1">
      <c r="F936" s="215"/>
      <c r="I936" s="215"/>
    </row>
    <row r="937" spans="6:9" ht="14.25" customHeight="1">
      <c r="F937" s="215"/>
      <c r="I937" s="215"/>
    </row>
    <row r="938" spans="6:9" ht="14.25" customHeight="1">
      <c r="F938" s="215"/>
      <c r="I938" s="215"/>
    </row>
    <row r="939" spans="6:9" ht="14.25" customHeight="1">
      <c r="F939" s="215"/>
      <c r="I939" s="215"/>
    </row>
    <row r="940" spans="6:9" ht="14.25" customHeight="1">
      <c r="F940" s="215"/>
      <c r="I940" s="215"/>
    </row>
    <row r="941" spans="6:9" ht="14.25" customHeight="1">
      <c r="F941" s="215"/>
      <c r="I941" s="215"/>
    </row>
    <row r="942" spans="6:9" ht="14.25" customHeight="1">
      <c r="F942" s="215"/>
      <c r="I942" s="215"/>
    </row>
    <row r="943" spans="6:9" ht="14.25" customHeight="1">
      <c r="F943" s="215"/>
      <c r="I943" s="215"/>
    </row>
    <row r="944" spans="6:9" ht="14.25" customHeight="1">
      <c r="F944" s="215"/>
      <c r="I944" s="215"/>
    </row>
    <row r="945" spans="6:9" ht="14.25" customHeight="1">
      <c r="F945" s="215"/>
      <c r="I945" s="215"/>
    </row>
    <row r="946" spans="6:9" ht="14.25" customHeight="1">
      <c r="F946" s="215"/>
      <c r="I946" s="215"/>
    </row>
    <row r="947" spans="6:9" ht="14.25" customHeight="1">
      <c r="F947" s="215"/>
      <c r="I947" s="215"/>
    </row>
    <row r="948" spans="6:9" ht="14.25" customHeight="1">
      <c r="F948" s="215"/>
      <c r="I948" s="215"/>
    </row>
    <row r="949" spans="6:9" ht="14.25" customHeight="1">
      <c r="F949" s="215"/>
      <c r="I949" s="215"/>
    </row>
    <row r="950" spans="6:9" ht="14.25" customHeight="1">
      <c r="F950" s="215"/>
      <c r="I950" s="215"/>
    </row>
    <row r="951" spans="6:9" ht="14.25" customHeight="1">
      <c r="F951" s="215"/>
      <c r="I951" s="215"/>
    </row>
    <row r="952" spans="6:9" ht="14.25" customHeight="1">
      <c r="F952" s="215"/>
      <c r="I952" s="215"/>
    </row>
    <row r="953" spans="6:9" ht="14.25" customHeight="1">
      <c r="F953" s="215"/>
      <c r="I953" s="215"/>
    </row>
    <row r="954" spans="6:9" ht="14.25" customHeight="1">
      <c r="F954" s="215"/>
      <c r="I954" s="215"/>
    </row>
    <row r="955" spans="6:9" ht="14.25" customHeight="1">
      <c r="F955" s="215"/>
      <c r="I955" s="215"/>
    </row>
    <row r="956" spans="6:9" ht="14.25" customHeight="1">
      <c r="F956" s="215"/>
      <c r="I956" s="215"/>
    </row>
    <row r="957" spans="6:9" ht="14.25" customHeight="1">
      <c r="F957" s="215"/>
      <c r="I957" s="215"/>
    </row>
    <row r="958" spans="6:9" ht="14.25" customHeight="1">
      <c r="F958" s="215"/>
      <c r="I958" s="215"/>
    </row>
    <row r="959" spans="6:9" ht="14.25" customHeight="1">
      <c r="F959" s="215"/>
      <c r="I959" s="215"/>
    </row>
    <row r="960" spans="6:9" ht="14.25" customHeight="1">
      <c r="F960" s="215"/>
      <c r="I960" s="215"/>
    </row>
    <row r="961" spans="6:9" ht="14.25" customHeight="1">
      <c r="F961" s="215"/>
      <c r="I961" s="215"/>
    </row>
    <row r="962" spans="6:9" ht="14.25" customHeight="1">
      <c r="F962" s="215"/>
      <c r="I962" s="215"/>
    </row>
    <row r="963" spans="6:9" ht="14.25" customHeight="1">
      <c r="F963" s="215"/>
      <c r="I963" s="215"/>
    </row>
    <row r="964" spans="6:9" ht="14.25" customHeight="1">
      <c r="F964" s="215"/>
      <c r="I964" s="215"/>
    </row>
    <row r="965" spans="6:9" ht="14.25" customHeight="1">
      <c r="F965" s="215"/>
      <c r="I965" s="215"/>
    </row>
    <row r="966" spans="6:9" ht="14.25" customHeight="1">
      <c r="F966" s="215"/>
      <c r="I966" s="215"/>
    </row>
    <row r="967" spans="6:9" ht="14.25" customHeight="1">
      <c r="F967" s="215"/>
      <c r="I967" s="215"/>
    </row>
    <row r="968" spans="6:9" ht="14.25" customHeight="1">
      <c r="F968" s="215"/>
      <c r="I968" s="215"/>
    </row>
    <row r="969" spans="6:9" ht="14.25" customHeight="1">
      <c r="F969" s="215"/>
      <c r="I969" s="215"/>
    </row>
    <row r="970" spans="6:9" ht="14.25" customHeight="1">
      <c r="F970" s="215"/>
      <c r="I970" s="215"/>
    </row>
    <row r="971" spans="6:9" ht="14.25" customHeight="1">
      <c r="F971" s="215"/>
      <c r="I971" s="215"/>
    </row>
    <row r="972" spans="6:9" ht="14.25" customHeight="1">
      <c r="F972" s="215"/>
      <c r="I972" s="215"/>
    </row>
    <row r="973" spans="6:9" ht="14.25" customHeight="1">
      <c r="F973" s="215"/>
      <c r="I973" s="215"/>
    </row>
    <row r="974" spans="6:9" ht="14.25" customHeight="1">
      <c r="F974" s="215"/>
      <c r="I974" s="215"/>
    </row>
    <row r="975" spans="6:9" ht="14.25" customHeight="1">
      <c r="F975" s="215"/>
      <c r="I975" s="215"/>
    </row>
    <row r="976" spans="6:9" ht="14.25" customHeight="1">
      <c r="F976" s="215"/>
      <c r="I976" s="215"/>
    </row>
    <row r="977" spans="6:9" ht="14.25" customHeight="1">
      <c r="F977" s="215"/>
      <c r="I977" s="215"/>
    </row>
    <row r="978" spans="6:9" ht="14.25" customHeight="1">
      <c r="F978" s="215"/>
      <c r="I978" s="215"/>
    </row>
    <row r="979" spans="6:9" ht="14.25" customHeight="1">
      <c r="F979" s="215"/>
      <c r="I979" s="215"/>
    </row>
    <row r="980" spans="6:9" ht="14.25" customHeight="1">
      <c r="F980" s="215"/>
      <c r="I980" s="215"/>
    </row>
    <row r="981" spans="6:9" ht="14.25" customHeight="1">
      <c r="F981" s="215"/>
      <c r="I981" s="215"/>
    </row>
    <row r="982" spans="6:9" ht="14.25" customHeight="1">
      <c r="F982" s="215"/>
      <c r="I982" s="215"/>
    </row>
    <row r="983" spans="6:9" ht="14.25" customHeight="1">
      <c r="F983" s="215"/>
      <c r="I983" s="215"/>
    </row>
    <row r="984" spans="6:9" ht="14.25" customHeight="1">
      <c r="F984" s="215"/>
      <c r="I984" s="215"/>
    </row>
    <row r="985" spans="6:9" ht="14.25" customHeight="1">
      <c r="F985" s="215"/>
      <c r="I985" s="215"/>
    </row>
    <row r="986" spans="6:9" ht="14.25" customHeight="1">
      <c r="F986" s="215"/>
      <c r="I986" s="215"/>
    </row>
    <row r="987" spans="6:9" ht="14.25" customHeight="1">
      <c r="F987" s="215"/>
      <c r="I987" s="215"/>
    </row>
    <row r="988" spans="6:9" ht="14.25" customHeight="1">
      <c r="F988" s="215"/>
      <c r="I988" s="215"/>
    </row>
    <row r="989" spans="6:9" ht="14.25" customHeight="1">
      <c r="F989" s="215"/>
      <c r="I989" s="215"/>
    </row>
    <row r="990" spans="6:9" ht="14.25" customHeight="1">
      <c r="F990" s="215"/>
      <c r="I990" s="215"/>
    </row>
    <row r="991" spans="6:9" ht="14.25" customHeight="1">
      <c r="F991" s="215"/>
      <c r="I991" s="215"/>
    </row>
    <row r="992" spans="6:9" ht="14.25" customHeight="1">
      <c r="F992" s="215"/>
      <c r="I992" s="215"/>
    </row>
    <row r="993" spans="6:9" ht="14.25" customHeight="1">
      <c r="F993" s="215"/>
      <c r="I993" s="215"/>
    </row>
    <row r="994" spans="6:9" ht="14.25" customHeight="1">
      <c r="F994" s="215"/>
      <c r="I994" s="215"/>
    </row>
    <row r="995" spans="6:9" ht="14.25" customHeight="1">
      <c r="F995" s="215"/>
      <c r="I995" s="215"/>
    </row>
    <row r="996" spans="6:9" ht="14.25" customHeight="1">
      <c r="F996" s="215"/>
      <c r="I996" s="215"/>
    </row>
    <row r="997" spans="6:9" ht="14.25" customHeight="1">
      <c r="F997" s="215"/>
      <c r="I997" s="215"/>
    </row>
    <row r="998" spans="6:9" ht="14.25" customHeight="1">
      <c r="F998" s="215"/>
      <c r="I998" s="215"/>
    </row>
    <row r="999" spans="6:9" ht="14.25" customHeight="1">
      <c r="F999" s="215"/>
      <c r="I999" s="215"/>
    </row>
    <row r="1000" spans="6:9" ht="14.25" customHeight="1">
      <c r="F1000" s="215"/>
      <c r="I1000" s="215"/>
    </row>
    <row r="1001" spans="6:9" ht="14.25" customHeight="1">
      <c r="F1001" s="215"/>
      <c r="I1001" s="215"/>
    </row>
    <row r="1002" spans="6:9" ht="14.25" customHeight="1">
      <c r="F1002" s="215"/>
      <c r="I1002" s="215"/>
    </row>
    <row r="1003" spans="6:9" ht="14.25" customHeight="1">
      <c r="F1003" s="215"/>
      <c r="I1003" s="215"/>
    </row>
    <row r="1004" spans="6:9" ht="14.25" customHeight="1">
      <c r="F1004" s="215"/>
      <c r="I1004" s="215"/>
    </row>
    <row r="1005" spans="6:9" ht="14.25" customHeight="1">
      <c r="F1005" s="215"/>
      <c r="I1005" s="215"/>
    </row>
  </sheetData>
  <mergeCells count="5">
    <mergeCell ref="A1:P1"/>
    <mergeCell ref="A2:P2"/>
    <mergeCell ref="A3:H3"/>
    <mergeCell ref="I3:N3"/>
    <mergeCell ref="O3:P3"/>
  </mergeCells>
  <phoneticPr fontId="55" type="noConversion"/>
  <conditionalFormatting sqref="P4:P1005">
    <cfRule type="cellIs" dxfId="4" priority="1" operator="lessThanOrEqual">
      <formula>0</formula>
    </cfRule>
  </conditionalFormatting>
  <conditionalFormatting sqref="P10:P58">
    <cfRule type="cellIs" dxfId="3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DADA"/>
    <outlinePr summaryBelow="0" summaryRight="0"/>
  </sheetPr>
  <dimension ref="A1:Q1002"/>
  <sheetViews>
    <sheetView workbookViewId="0"/>
  </sheetViews>
  <sheetFormatPr defaultColWidth="10.109375" defaultRowHeight="15" customHeight="1"/>
  <cols>
    <col min="1" max="1" width="31.44140625" customWidth="1"/>
    <col min="3" max="3" width="22.44140625" customWidth="1"/>
    <col min="4" max="4" width="18.109375" customWidth="1"/>
    <col min="5" max="5" width="15" customWidth="1"/>
    <col min="6" max="6" width="9.109375" customWidth="1"/>
    <col min="8" max="8" width="19.44140625" customWidth="1"/>
    <col min="11" max="11" width="16.109375" customWidth="1"/>
    <col min="12" max="12" width="14.44140625" customWidth="1"/>
  </cols>
  <sheetData>
    <row r="1" spans="1:17" ht="39">
      <c r="A1" s="171" t="s">
        <v>300</v>
      </c>
      <c r="B1" s="170" t="s">
        <v>148</v>
      </c>
      <c r="C1" s="170" t="s">
        <v>301</v>
      </c>
      <c r="D1" s="170" t="s">
        <v>302</v>
      </c>
      <c r="E1" s="170" t="s">
        <v>303</v>
      </c>
      <c r="F1" s="173" t="s">
        <v>76</v>
      </c>
      <c r="G1" s="170" t="s">
        <v>77</v>
      </c>
      <c r="H1" s="170" t="s">
        <v>78</v>
      </c>
      <c r="I1" s="174" t="s">
        <v>79</v>
      </c>
      <c r="J1" s="175" t="s">
        <v>10</v>
      </c>
      <c r="K1" s="175" t="s">
        <v>304</v>
      </c>
      <c r="L1" s="175" t="s">
        <v>305</v>
      </c>
      <c r="M1" s="175" t="s">
        <v>306</v>
      </c>
      <c r="N1" s="175" t="s">
        <v>81</v>
      </c>
      <c r="O1" s="175" t="s">
        <v>82</v>
      </c>
      <c r="P1" s="176" t="s">
        <v>83</v>
      </c>
      <c r="Q1" s="176" t="s">
        <v>84</v>
      </c>
    </row>
    <row r="2" spans="1:17" ht="15.75">
      <c r="A2" s="145" t="s">
        <v>179</v>
      </c>
      <c r="B2" s="145">
        <v>279</v>
      </c>
      <c r="C2" s="145">
        <v>279</v>
      </c>
      <c r="D2" s="145">
        <v>279</v>
      </c>
      <c r="E2" s="239">
        <f t="shared" ref="E2:E5" si="0">D2/B2</f>
        <v>1</v>
      </c>
      <c r="F2" s="145">
        <v>67</v>
      </c>
      <c r="G2" s="145">
        <f t="shared" ref="G2:G5" si="1">D2-F2</f>
        <v>212</v>
      </c>
      <c r="H2" s="239">
        <f t="shared" ref="H2:H5" si="2">G2/D2</f>
        <v>0.75985663082437271</v>
      </c>
      <c r="I2" s="145">
        <v>149</v>
      </c>
      <c r="J2" s="145">
        <f>D2*營業基本資訊!$D$5</f>
        <v>144.51716400000001</v>
      </c>
      <c r="K2" s="145">
        <f>D2*營業基本資訊!$D$6</f>
        <v>0</v>
      </c>
      <c r="L2" s="145">
        <f t="shared" ref="L2:L5" si="3">D2*0.02</f>
        <v>5.58</v>
      </c>
      <c r="M2" s="145">
        <f t="shared" ref="M2:M5" si="4">D2*0.2</f>
        <v>55.800000000000004</v>
      </c>
      <c r="N2" s="145">
        <f t="shared" ref="N2:N5" si="5">D2*0.05</f>
        <v>13.950000000000001</v>
      </c>
      <c r="O2" s="145">
        <f t="shared" ref="O2:O5" si="6">SUM(I2:N2)</f>
        <v>368.84716399999996</v>
      </c>
      <c r="P2" s="240">
        <f t="shared" ref="P2:P5" si="7">G2-O2</f>
        <v>-156.84716399999996</v>
      </c>
      <c r="Q2" s="241">
        <f t="shared" ref="Q2:Q5" si="8">P2/D2</f>
        <v>-0.56217621505376336</v>
      </c>
    </row>
    <row r="3" spans="1:17" ht="15.75">
      <c r="A3" s="145" t="s">
        <v>307</v>
      </c>
      <c r="B3" s="145">
        <f t="shared" ref="B3:C3" si="9">279+85</f>
        <v>364</v>
      </c>
      <c r="C3" s="145">
        <f t="shared" si="9"/>
        <v>364</v>
      </c>
      <c r="D3" s="145">
        <v>299</v>
      </c>
      <c r="E3" s="239">
        <f t="shared" si="0"/>
        <v>0.8214285714285714</v>
      </c>
      <c r="F3" s="145">
        <f>67+28</f>
        <v>95</v>
      </c>
      <c r="G3" s="145">
        <f t="shared" si="1"/>
        <v>204</v>
      </c>
      <c r="H3" s="239">
        <f t="shared" si="2"/>
        <v>0.68227424749163879</v>
      </c>
      <c r="I3" s="145">
        <v>149</v>
      </c>
      <c r="J3" s="145">
        <f>D3*營業基本資訊!$D$5</f>
        <v>154.87681733333335</v>
      </c>
      <c r="K3" s="145">
        <f>D3*營業基本資訊!$D$6</f>
        <v>0</v>
      </c>
      <c r="L3" s="145">
        <f t="shared" si="3"/>
        <v>5.98</v>
      </c>
      <c r="M3" s="145">
        <f t="shared" si="4"/>
        <v>59.800000000000004</v>
      </c>
      <c r="N3" s="145">
        <f t="shared" si="5"/>
        <v>14.950000000000001</v>
      </c>
      <c r="O3" s="145">
        <f t="shared" si="6"/>
        <v>384.60681733333337</v>
      </c>
      <c r="P3" s="240">
        <f t="shared" si="7"/>
        <v>-180.60681733333337</v>
      </c>
      <c r="Q3" s="241">
        <f t="shared" si="8"/>
        <v>-0.60403617837235235</v>
      </c>
    </row>
    <row r="4" spans="1:17" ht="15.75">
      <c r="A4" s="145" t="s">
        <v>308</v>
      </c>
      <c r="B4" s="145">
        <f t="shared" ref="B4:C4" si="10">279+150</f>
        <v>429</v>
      </c>
      <c r="C4" s="145">
        <f t="shared" si="10"/>
        <v>429</v>
      </c>
      <c r="D4" s="145">
        <v>349</v>
      </c>
      <c r="E4" s="239">
        <f t="shared" si="0"/>
        <v>0.81351981351981351</v>
      </c>
      <c r="F4" s="145">
        <f>67+32</f>
        <v>99</v>
      </c>
      <c r="G4" s="145">
        <f t="shared" si="1"/>
        <v>250</v>
      </c>
      <c r="H4" s="239">
        <f t="shared" si="2"/>
        <v>0.71633237822349571</v>
      </c>
      <c r="I4" s="145">
        <v>149</v>
      </c>
      <c r="J4" s="145">
        <f>D4*營業基本資訊!$D$5</f>
        <v>180.77595066666669</v>
      </c>
      <c r="K4" s="145">
        <f>D4*營業基本資訊!$D$6</f>
        <v>0</v>
      </c>
      <c r="L4" s="145">
        <f t="shared" si="3"/>
        <v>6.98</v>
      </c>
      <c r="M4" s="145">
        <f t="shared" si="4"/>
        <v>69.8</v>
      </c>
      <c r="N4" s="145">
        <f t="shared" si="5"/>
        <v>17.45</v>
      </c>
      <c r="O4" s="145">
        <f t="shared" si="6"/>
        <v>424.00595066666671</v>
      </c>
      <c r="P4" s="240">
        <f t="shared" si="7"/>
        <v>-174.00595066666671</v>
      </c>
      <c r="Q4" s="241">
        <f t="shared" si="8"/>
        <v>-0.49858438586437454</v>
      </c>
    </row>
    <row r="5" spans="1:17" ht="15.75">
      <c r="A5" s="145" t="s">
        <v>309</v>
      </c>
      <c r="B5" s="145">
        <f t="shared" ref="B5:C5" si="11">279+259</f>
        <v>538</v>
      </c>
      <c r="C5" s="145">
        <f t="shared" si="11"/>
        <v>538</v>
      </c>
      <c r="D5" s="145">
        <v>439</v>
      </c>
      <c r="E5" s="239">
        <f t="shared" si="0"/>
        <v>0.81598513011152418</v>
      </c>
      <c r="F5" s="145">
        <f>67+77</f>
        <v>144</v>
      </c>
      <c r="G5" s="145">
        <f t="shared" si="1"/>
        <v>295</v>
      </c>
      <c r="H5" s="239">
        <f t="shared" si="2"/>
        <v>0.67198177676537585</v>
      </c>
      <c r="I5" s="145">
        <v>149</v>
      </c>
      <c r="J5" s="145">
        <f>D5*營業基本資訊!$D$5</f>
        <v>227.39439066666668</v>
      </c>
      <c r="K5" s="145">
        <f>D5*營業基本資訊!$D$6</f>
        <v>0</v>
      </c>
      <c r="L5" s="145">
        <f t="shared" si="3"/>
        <v>8.7799999999999994</v>
      </c>
      <c r="M5" s="145">
        <f t="shared" si="4"/>
        <v>87.800000000000011</v>
      </c>
      <c r="N5" s="145">
        <f t="shared" si="5"/>
        <v>21.950000000000003</v>
      </c>
      <c r="O5" s="145">
        <f t="shared" si="6"/>
        <v>494.92439066666668</v>
      </c>
      <c r="P5" s="240">
        <f t="shared" si="7"/>
        <v>-199.92439066666668</v>
      </c>
      <c r="Q5" s="241">
        <f t="shared" si="8"/>
        <v>-0.45540863477600613</v>
      </c>
    </row>
    <row r="6" spans="1:17" ht="15.75">
      <c r="B6" s="242">
        <f>330+360</f>
        <v>690</v>
      </c>
      <c r="C6" s="145"/>
      <c r="D6" s="145"/>
      <c r="H6" s="241"/>
      <c r="M6" s="145"/>
      <c r="Q6" s="241"/>
    </row>
    <row r="7" spans="1:17" ht="15.75">
      <c r="C7" s="145"/>
      <c r="D7" s="145"/>
      <c r="H7" s="241"/>
    </row>
    <row r="8" spans="1:17" ht="15.75">
      <c r="C8" s="145"/>
      <c r="D8" s="145"/>
      <c r="H8" s="241"/>
    </row>
    <row r="9" spans="1:17" ht="39">
      <c r="A9" s="171" t="s">
        <v>310</v>
      </c>
      <c r="B9" s="170" t="s">
        <v>148</v>
      </c>
      <c r="C9" s="170" t="s">
        <v>311</v>
      </c>
      <c r="D9" s="170" t="s">
        <v>312</v>
      </c>
      <c r="E9" s="170" t="s">
        <v>303</v>
      </c>
      <c r="F9" s="173" t="s">
        <v>76</v>
      </c>
      <c r="G9" s="170" t="s">
        <v>77</v>
      </c>
      <c r="H9" s="170" t="s">
        <v>78</v>
      </c>
      <c r="I9" s="174" t="s">
        <v>79</v>
      </c>
      <c r="J9" s="175" t="s">
        <v>10</v>
      </c>
      <c r="K9" s="175" t="s">
        <v>12</v>
      </c>
      <c r="L9" s="175" t="s">
        <v>305</v>
      </c>
      <c r="M9" s="175"/>
      <c r="N9" s="175" t="s">
        <v>81</v>
      </c>
      <c r="O9" s="175" t="s">
        <v>82</v>
      </c>
      <c r="P9" s="176" t="s">
        <v>83</v>
      </c>
      <c r="Q9" s="176" t="s">
        <v>84</v>
      </c>
    </row>
    <row r="10" spans="1:17" ht="15.75">
      <c r="A10" s="145" t="s">
        <v>200</v>
      </c>
      <c r="B10" s="145">
        <v>380</v>
      </c>
      <c r="C10" s="145">
        <v>360</v>
      </c>
      <c r="D10" s="145">
        <v>329</v>
      </c>
      <c r="E10" s="239">
        <f t="shared" ref="E10:E14" si="12">D10/B10</f>
        <v>0.86578947368421055</v>
      </c>
      <c r="F10" s="145">
        <v>108</v>
      </c>
      <c r="G10" s="145">
        <f t="shared" ref="G10:G14" si="13">D10-F10</f>
        <v>221</v>
      </c>
      <c r="H10" s="239">
        <f t="shared" ref="H10:H14" si="14">G10/D10</f>
        <v>0.67173252279635254</v>
      </c>
      <c r="I10" s="145">
        <v>0</v>
      </c>
      <c r="J10" s="145">
        <f>D10*營業基本資訊!$D$5</f>
        <v>170.41629733333335</v>
      </c>
      <c r="K10" s="145">
        <v>0</v>
      </c>
      <c r="L10" s="145">
        <f t="shared" ref="L10:L14" si="15">D10*0.02</f>
        <v>6.58</v>
      </c>
      <c r="M10" s="145"/>
      <c r="N10" s="145">
        <f t="shared" ref="N10:N14" si="16">D10*0.05</f>
        <v>16.45</v>
      </c>
      <c r="O10" s="145">
        <f t="shared" ref="O10:O14" si="17">SUM(I10:N10)</f>
        <v>193.44629733333335</v>
      </c>
      <c r="P10" s="240">
        <f t="shared" ref="P10:P14" si="18">G10-O10</f>
        <v>27.553702666666652</v>
      </c>
      <c r="Q10" s="241">
        <f t="shared" ref="Q10:Q14" si="19">P10/D10</f>
        <v>8.3749856129685871E-2</v>
      </c>
    </row>
    <row r="11" spans="1:17" ht="15.75">
      <c r="A11" s="145" t="s">
        <v>198</v>
      </c>
      <c r="B11" s="145">
        <v>480</v>
      </c>
      <c r="C11" s="145">
        <v>450</v>
      </c>
      <c r="D11" s="145">
        <v>399</v>
      </c>
      <c r="E11" s="239">
        <f t="shared" si="12"/>
        <v>0.83125000000000004</v>
      </c>
      <c r="F11" s="145">
        <v>60</v>
      </c>
      <c r="G11" s="145">
        <f t="shared" si="13"/>
        <v>339</v>
      </c>
      <c r="H11" s="239">
        <f t="shared" si="14"/>
        <v>0.84962406015037595</v>
      </c>
      <c r="I11" s="145">
        <v>0</v>
      </c>
      <c r="J11" s="145">
        <f>D11*營業基本資訊!$D$5</f>
        <v>206.67508400000003</v>
      </c>
      <c r="K11" s="145">
        <v>0</v>
      </c>
      <c r="L11" s="145">
        <f t="shared" si="15"/>
        <v>7.98</v>
      </c>
      <c r="M11" s="145"/>
      <c r="N11" s="145">
        <f t="shared" si="16"/>
        <v>19.950000000000003</v>
      </c>
      <c r="O11" s="145">
        <f t="shared" si="17"/>
        <v>234.60508400000003</v>
      </c>
      <c r="P11" s="240">
        <f t="shared" si="18"/>
        <v>104.39491599999997</v>
      </c>
      <c r="Q11" s="241">
        <f t="shared" si="19"/>
        <v>0.26164139348370918</v>
      </c>
    </row>
    <row r="12" spans="1:17" ht="15.75">
      <c r="A12" s="145" t="s">
        <v>196</v>
      </c>
      <c r="B12" s="145">
        <v>350</v>
      </c>
      <c r="C12" s="145">
        <v>330</v>
      </c>
      <c r="D12" s="145">
        <v>299</v>
      </c>
      <c r="E12" s="239">
        <f t="shared" si="12"/>
        <v>0.85428571428571431</v>
      </c>
      <c r="F12" s="145">
        <v>98</v>
      </c>
      <c r="G12" s="145">
        <f t="shared" si="13"/>
        <v>201</v>
      </c>
      <c r="H12" s="239">
        <f t="shared" si="14"/>
        <v>0.67224080267558528</v>
      </c>
      <c r="I12" s="145">
        <v>0</v>
      </c>
      <c r="J12" s="145">
        <f>D12*營業基本資訊!$D$5</f>
        <v>154.87681733333335</v>
      </c>
      <c r="K12" s="145">
        <v>0</v>
      </c>
      <c r="L12" s="145">
        <f t="shared" si="15"/>
        <v>5.98</v>
      </c>
      <c r="M12" s="145"/>
      <c r="N12" s="145">
        <f t="shared" si="16"/>
        <v>14.950000000000001</v>
      </c>
      <c r="O12" s="145">
        <f t="shared" si="17"/>
        <v>175.80681733333333</v>
      </c>
      <c r="P12" s="240">
        <f t="shared" si="18"/>
        <v>25.193182666666672</v>
      </c>
      <c r="Q12" s="241">
        <f t="shared" si="19"/>
        <v>8.4258136008918641E-2</v>
      </c>
    </row>
    <row r="13" spans="1:17" ht="15.75">
      <c r="A13" s="145" t="s">
        <v>313</v>
      </c>
      <c r="B13" s="145">
        <v>80</v>
      </c>
      <c r="C13" s="145">
        <v>80</v>
      </c>
      <c r="D13" s="145">
        <v>69</v>
      </c>
      <c r="E13" s="239">
        <f t="shared" si="12"/>
        <v>0.86250000000000004</v>
      </c>
      <c r="F13" s="145">
        <v>28</v>
      </c>
      <c r="G13" s="145">
        <f t="shared" si="13"/>
        <v>41</v>
      </c>
      <c r="H13" s="239">
        <f t="shared" si="14"/>
        <v>0.59420289855072461</v>
      </c>
      <c r="I13" s="145">
        <v>0</v>
      </c>
      <c r="J13" s="145">
        <f>D13*營業基本資訊!$D$5</f>
        <v>35.740804000000004</v>
      </c>
      <c r="K13" s="145">
        <v>0</v>
      </c>
      <c r="L13" s="145">
        <f t="shared" si="15"/>
        <v>1.3800000000000001</v>
      </c>
      <c r="M13" s="145"/>
      <c r="N13" s="145">
        <f t="shared" si="16"/>
        <v>3.45</v>
      </c>
      <c r="O13" s="145">
        <f t="shared" si="17"/>
        <v>40.57080400000001</v>
      </c>
      <c r="P13" s="240">
        <f t="shared" si="18"/>
        <v>0.42919599999999036</v>
      </c>
      <c r="Q13" s="241">
        <f t="shared" si="19"/>
        <v>6.220231884057831E-3</v>
      </c>
    </row>
    <row r="14" spans="1:17" ht="15.75">
      <c r="A14" s="145" t="s">
        <v>203</v>
      </c>
      <c r="B14" s="145">
        <v>180</v>
      </c>
      <c r="C14" s="145">
        <v>180</v>
      </c>
      <c r="D14" s="145">
        <f>B14*0.85</f>
        <v>153</v>
      </c>
      <c r="E14" s="239">
        <f t="shared" si="12"/>
        <v>0.85</v>
      </c>
      <c r="F14" s="145">
        <v>23</v>
      </c>
      <c r="G14" s="145">
        <f t="shared" si="13"/>
        <v>130</v>
      </c>
      <c r="H14" s="239">
        <f t="shared" si="14"/>
        <v>0.84967320261437906</v>
      </c>
      <c r="I14" s="145">
        <v>0</v>
      </c>
      <c r="J14" s="145">
        <f>D14*營業基本資訊!$D$5</f>
        <v>79.251348000000007</v>
      </c>
      <c r="K14" s="145">
        <v>0</v>
      </c>
      <c r="L14" s="145">
        <f t="shared" si="15"/>
        <v>3.06</v>
      </c>
      <c r="M14" s="145"/>
      <c r="N14" s="145">
        <f t="shared" si="16"/>
        <v>7.65</v>
      </c>
      <c r="O14" s="145">
        <f t="shared" si="17"/>
        <v>89.961348000000015</v>
      </c>
      <c r="P14" s="240">
        <f t="shared" si="18"/>
        <v>40.038651999999985</v>
      </c>
      <c r="Q14" s="241">
        <f t="shared" si="19"/>
        <v>0.2616905359477123</v>
      </c>
    </row>
    <row r="15" spans="1:17" ht="15.75">
      <c r="C15" s="145"/>
      <c r="D15" s="145"/>
      <c r="H15" s="241"/>
    </row>
    <row r="16" spans="1:17" ht="15.75">
      <c r="C16" s="145"/>
      <c r="D16" s="145"/>
      <c r="H16" s="241"/>
    </row>
    <row r="17" spans="1:17" ht="15.75">
      <c r="C17" s="145"/>
      <c r="D17" s="145"/>
      <c r="H17" s="241"/>
    </row>
    <row r="18" spans="1:17" ht="15.75">
      <c r="C18" s="145"/>
      <c r="D18" s="145"/>
      <c r="H18" s="241"/>
    </row>
    <row r="19" spans="1:17" ht="15.75">
      <c r="B19" s="306" t="s">
        <v>314</v>
      </c>
      <c r="C19" s="243" t="s">
        <v>315</v>
      </c>
      <c r="D19" s="244">
        <f>SUM(P2:P5)/5</f>
        <v>-142.27686453333337</v>
      </c>
      <c r="H19" s="241"/>
    </row>
    <row r="20" spans="1:17" ht="15.75">
      <c r="B20" s="295"/>
      <c r="C20" s="243" t="s">
        <v>316</v>
      </c>
      <c r="D20" s="243">
        <v>0.01</v>
      </c>
      <c r="H20" s="241"/>
    </row>
    <row r="21" spans="1:17" ht="15.75">
      <c r="B21" s="295"/>
      <c r="C21" s="245" t="s">
        <v>317</v>
      </c>
      <c r="D21" s="245">
        <v>0</v>
      </c>
      <c r="H21" s="241"/>
    </row>
    <row r="22" spans="1:17" ht="15.75">
      <c r="B22" s="295"/>
      <c r="C22" s="145" t="s">
        <v>318</v>
      </c>
      <c r="D22" s="243">
        <f>SUM(D2:D5)/5+(SUM(D10:D14)/5/10)</f>
        <v>298.18</v>
      </c>
      <c r="H22" s="241"/>
    </row>
    <row r="23" spans="1:17" ht="15.75">
      <c r="B23" s="295"/>
      <c r="C23" s="243" t="s">
        <v>319</v>
      </c>
      <c r="D23" s="244">
        <f>D19+D21*D20</f>
        <v>-142.27686453333337</v>
      </c>
      <c r="H23" s="241"/>
    </row>
    <row r="24" spans="1:17" ht="15.75">
      <c r="B24" s="295"/>
      <c r="C24" s="243" t="s">
        <v>320</v>
      </c>
      <c r="D24" s="243">
        <v>200</v>
      </c>
      <c r="E24" s="246">
        <v>500</v>
      </c>
      <c r="F24" s="246">
        <v>1000</v>
      </c>
      <c r="H24" s="241"/>
    </row>
    <row r="25" spans="1:17" ht="19.5">
      <c r="B25" s="295"/>
      <c r="C25" s="247" t="s">
        <v>321</v>
      </c>
      <c r="D25" s="248">
        <f>D24*D22</f>
        <v>59636</v>
      </c>
      <c r="E25" s="249">
        <f>E24*D22</f>
        <v>149090</v>
      </c>
      <c r="F25" s="249">
        <f>F24*D22</f>
        <v>298180</v>
      </c>
      <c r="H25" s="241"/>
    </row>
    <row r="26" spans="1:17" ht="19.5">
      <c r="B26" s="296"/>
      <c r="C26" s="247" t="s">
        <v>322</v>
      </c>
      <c r="D26" s="248">
        <f>D23*D24</f>
        <v>-28455.372906666675</v>
      </c>
      <c r="E26" s="249">
        <f>D23*E24</f>
        <v>-71138.432266666685</v>
      </c>
      <c r="F26" s="250">
        <f>F24*D23</f>
        <v>-142276.86453333337</v>
      </c>
      <c r="H26" s="241"/>
    </row>
    <row r="27" spans="1:17" ht="15.75">
      <c r="C27" s="145"/>
      <c r="D27" s="145"/>
      <c r="H27" s="241"/>
    </row>
    <row r="28" spans="1:17" ht="39">
      <c r="A28" s="171" t="s">
        <v>323</v>
      </c>
      <c r="B28" s="170" t="s">
        <v>148</v>
      </c>
      <c r="C28" s="170" t="s">
        <v>301</v>
      </c>
      <c r="D28" s="170" t="s">
        <v>324</v>
      </c>
      <c r="E28" s="170" t="s">
        <v>325</v>
      </c>
      <c r="F28" s="173" t="s">
        <v>76</v>
      </c>
      <c r="G28" s="170" t="s">
        <v>77</v>
      </c>
      <c r="H28" s="170" t="s">
        <v>78</v>
      </c>
      <c r="I28" s="174" t="s">
        <v>79</v>
      </c>
      <c r="J28" s="175" t="s">
        <v>10</v>
      </c>
      <c r="K28" s="175" t="s">
        <v>326</v>
      </c>
      <c r="L28" s="175" t="s">
        <v>305</v>
      </c>
      <c r="M28" s="175"/>
      <c r="N28" s="175" t="s">
        <v>81</v>
      </c>
      <c r="O28" s="175" t="s">
        <v>82</v>
      </c>
      <c r="P28" s="176" t="s">
        <v>83</v>
      </c>
      <c r="Q28" s="176" t="s">
        <v>84</v>
      </c>
    </row>
    <row r="29" spans="1:17" ht="15.75">
      <c r="A29" s="145" t="s">
        <v>327</v>
      </c>
      <c r="B29" s="145">
        <f t="shared" ref="B29:C29" si="20">279*6</f>
        <v>1674</v>
      </c>
      <c r="C29" s="145">
        <f t="shared" si="20"/>
        <v>1674</v>
      </c>
      <c r="D29" s="145">
        <v>1399</v>
      </c>
      <c r="E29" s="239">
        <f t="shared" ref="E29:E32" si="21">D29/B29</f>
        <v>0.83572281959378736</v>
      </c>
      <c r="F29" s="145">
        <f>67*6</f>
        <v>402</v>
      </c>
      <c r="G29" s="145">
        <f t="shared" ref="G29:G32" si="22">D29-F29</f>
        <v>997</v>
      </c>
      <c r="H29" s="239">
        <f t="shared" ref="H29:H32" si="23">G29/D29</f>
        <v>0.71265189421015007</v>
      </c>
      <c r="I29" s="145">
        <v>149</v>
      </c>
      <c r="J29" s="145">
        <f>D29*營業基本資訊!$D$5</f>
        <v>724.65775066666674</v>
      </c>
      <c r="K29" s="145">
        <f t="shared" ref="K29:K32" si="24">D29*0.1</f>
        <v>139.9</v>
      </c>
      <c r="L29" s="145">
        <f t="shared" ref="L29:L32" si="25">D29*0.02</f>
        <v>27.98</v>
      </c>
      <c r="M29" s="145"/>
      <c r="N29" s="145">
        <f t="shared" ref="N29:N32" si="26">D29*0.05</f>
        <v>69.95</v>
      </c>
      <c r="O29" s="145">
        <f t="shared" ref="O29:O32" si="27">SUM(I29:N29)</f>
        <v>1111.4877506666667</v>
      </c>
      <c r="P29" s="240">
        <f t="shared" ref="P29:P32" si="28">G29-O29</f>
        <v>-114.48775066666667</v>
      </c>
      <c r="Q29" s="241">
        <f t="shared" ref="Q29:Q32" si="29">P29/D29</f>
        <v>-8.1835418632356452E-2</v>
      </c>
    </row>
    <row r="30" spans="1:17" ht="15.75">
      <c r="A30" s="145" t="s">
        <v>328</v>
      </c>
      <c r="B30" s="145">
        <f>279*3+180*2+220</f>
        <v>1417</v>
      </c>
      <c r="C30" s="251">
        <f>739+540</f>
        <v>1279</v>
      </c>
      <c r="D30" s="145">
        <v>1199</v>
      </c>
      <c r="E30" s="239">
        <f t="shared" si="21"/>
        <v>0.84615384615384615</v>
      </c>
      <c r="F30" s="145">
        <f>67*3+38*2+61+33</f>
        <v>371</v>
      </c>
      <c r="G30" s="145">
        <f t="shared" si="22"/>
        <v>828</v>
      </c>
      <c r="H30" s="239">
        <f t="shared" si="23"/>
        <v>0.69057547956630527</v>
      </c>
      <c r="I30" s="145">
        <v>149</v>
      </c>
      <c r="J30" s="145">
        <f>D30*營業基本資訊!$D$5</f>
        <v>621.06121733333339</v>
      </c>
      <c r="K30" s="145">
        <f t="shared" si="24"/>
        <v>119.9</v>
      </c>
      <c r="L30" s="145">
        <f t="shared" si="25"/>
        <v>23.98</v>
      </c>
      <c r="M30" s="145"/>
      <c r="N30" s="145">
        <f t="shared" si="26"/>
        <v>59.95</v>
      </c>
      <c r="O30" s="145">
        <f t="shared" si="27"/>
        <v>973.89121733333343</v>
      </c>
      <c r="P30" s="240">
        <f t="shared" si="28"/>
        <v>-145.89121733333343</v>
      </c>
      <c r="Q30" s="241">
        <f t="shared" si="29"/>
        <v>-0.12167741228801787</v>
      </c>
    </row>
    <row r="31" spans="1:17" ht="15.75">
      <c r="A31" s="145" t="s">
        <v>329</v>
      </c>
      <c r="B31" s="145">
        <f>2*(150+250+280)</f>
        <v>1360</v>
      </c>
      <c r="C31" s="251">
        <v>1360</v>
      </c>
      <c r="D31" s="145">
        <v>1199</v>
      </c>
      <c r="E31" s="239">
        <f t="shared" si="21"/>
        <v>0.88161764705882351</v>
      </c>
      <c r="F31" s="145">
        <f>2*(32+52+67)</f>
        <v>302</v>
      </c>
      <c r="G31" s="145">
        <f t="shared" si="22"/>
        <v>897</v>
      </c>
      <c r="H31" s="239">
        <f t="shared" si="23"/>
        <v>0.74812343619683064</v>
      </c>
      <c r="I31" s="145">
        <v>149</v>
      </c>
      <c r="J31" s="145">
        <f>D31*營業基本資訊!$D$5</f>
        <v>621.06121733333339</v>
      </c>
      <c r="K31" s="145">
        <f t="shared" si="24"/>
        <v>119.9</v>
      </c>
      <c r="L31" s="145">
        <f t="shared" si="25"/>
        <v>23.98</v>
      </c>
      <c r="M31" s="145"/>
      <c r="N31" s="145">
        <f t="shared" si="26"/>
        <v>59.95</v>
      </c>
      <c r="O31" s="145">
        <f t="shared" si="27"/>
        <v>973.89121733333343</v>
      </c>
      <c r="P31" s="240">
        <f t="shared" si="28"/>
        <v>-76.891217333333429</v>
      </c>
      <c r="Q31" s="241">
        <f t="shared" si="29"/>
        <v>-6.4129455657492437E-2</v>
      </c>
    </row>
    <row r="32" spans="1:17" ht="15.75">
      <c r="A32" s="145" t="s">
        <v>330</v>
      </c>
      <c r="B32" s="145">
        <f t="shared" ref="B32:C32" si="30">297*2+250+280+100+85</f>
        <v>1309</v>
      </c>
      <c r="C32" s="145">
        <f t="shared" si="30"/>
        <v>1309</v>
      </c>
      <c r="D32" s="145">
        <v>1099</v>
      </c>
      <c r="E32" s="239">
        <f t="shared" si="21"/>
        <v>0.83957219251336901</v>
      </c>
      <c r="F32" s="145">
        <f>67*2+52+67+44+28</f>
        <v>325</v>
      </c>
      <c r="G32" s="145">
        <f t="shared" si="22"/>
        <v>774</v>
      </c>
      <c r="H32" s="239">
        <f t="shared" si="23"/>
        <v>0.70427661510464057</v>
      </c>
      <c r="I32" s="145">
        <v>149</v>
      </c>
      <c r="J32" s="145">
        <f>D32*營業基本資訊!$D$5</f>
        <v>569.26295066666671</v>
      </c>
      <c r="K32" s="145">
        <f t="shared" si="24"/>
        <v>109.9</v>
      </c>
      <c r="L32" s="145">
        <f t="shared" si="25"/>
        <v>21.98</v>
      </c>
      <c r="M32" s="145"/>
      <c r="N32" s="145">
        <f t="shared" si="26"/>
        <v>54.95</v>
      </c>
      <c r="O32" s="145">
        <f t="shared" si="27"/>
        <v>905.09295066666675</v>
      </c>
      <c r="P32" s="240">
        <f t="shared" si="28"/>
        <v>-131.09295066666675</v>
      </c>
      <c r="Q32" s="241">
        <f t="shared" si="29"/>
        <v>-0.11928384956020632</v>
      </c>
    </row>
    <row r="33" spans="1:17" ht="15.75">
      <c r="A33" s="252" t="s">
        <v>331</v>
      </c>
      <c r="B33" s="145"/>
      <c r="C33" s="145"/>
      <c r="D33" s="145"/>
      <c r="E33" s="239"/>
      <c r="F33" s="145">
        <f>SUM(F29:F32)</f>
        <v>1400</v>
      </c>
      <c r="G33" s="145"/>
      <c r="H33" s="239"/>
      <c r="I33" s="145">
        <f t="shared" ref="I33:L33" si="31">SUM(I29:I32)</f>
        <v>596</v>
      </c>
      <c r="J33" s="145">
        <f t="shared" si="31"/>
        <v>2536.0431360000002</v>
      </c>
      <c r="K33" s="145">
        <f t="shared" si="31"/>
        <v>489.6</v>
      </c>
      <c r="L33" s="145">
        <f t="shared" si="31"/>
        <v>97.92</v>
      </c>
      <c r="M33" s="145"/>
      <c r="N33" s="145">
        <f t="shared" ref="N33:P33" si="32">SUM(N29:N32)</f>
        <v>244.8</v>
      </c>
      <c r="O33" s="145">
        <f t="shared" si="32"/>
        <v>3964.3631359999999</v>
      </c>
      <c r="P33" s="145">
        <f t="shared" si="32"/>
        <v>-468.36313600000028</v>
      </c>
      <c r="Q33" s="241"/>
    </row>
    <row r="34" spans="1:17" ht="15.75">
      <c r="A34" s="145" t="s">
        <v>332</v>
      </c>
      <c r="B34" s="145"/>
      <c r="C34" s="145"/>
      <c r="D34" s="145"/>
      <c r="E34" s="239"/>
      <c r="F34" s="145">
        <f>F33/4</f>
        <v>350</v>
      </c>
      <c r="G34" s="145"/>
      <c r="H34" s="239"/>
      <c r="I34" s="145">
        <f t="shared" ref="I34:L34" si="33">I33/4</f>
        <v>149</v>
      </c>
      <c r="J34" s="145">
        <f t="shared" si="33"/>
        <v>634.01078400000006</v>
      </c>
      <c r="K34" s="145">
        <f t="shared" si="33"/>
        <v>122.4</v>
      </c>
      <c r="L34" s="145">
        <f t="shared" si="33"/>
        <v>24.48</v>
      </c>
      <c r="M34" s="145"/>
      <c r="N34" s="145">
        <f t="shared" ref="N34:P34" si="34">N33/4</f>
        <v>61.2</v>
      </c>
      <c r="O34" s="145">
        <f t="shared" si="34"/>
        <v>991.09078399999999</v>
      </c>
      <c r="P34" s="145">
        <f t="shared" si="34"/>
        <v>-117.09078400000007</v>
      </c>
      <c r="Q34" s="241"/>
    </row>
    <row r="35" spans="1:17" ht="15.75">
      <c r="A35" s="145"/>
      <c r="B35" s="145"/>
      <c r="C35" s="145"/>
      <c r="D35" s="145"/>
      <c r="E35" s="239"/>
      <c r="F35" s="145"/>
      <c r="G35" s="145"/>
      <c r="H35" s="239"/>
      <c r="I35" s="145"/>
      <c r="J35" s="145"/>
      <c r="K35" s="145"/>
      <c r="L35" s="145"/>
      <c r="M35" s="145"/>
      <c r="N35" s="145"/>
      <c r="O35" s="145"/>
      <c r="P35" s="240"/>
      <c r="Q35" s="241"/>
    </row>
    <row r="36" spans="1:17" ht="39">
      <c r="A36" s="171" t="s">
        <v>310</v>
      </c>
      <c r="B36" s="170" t="s">
        <v>148</v>
      </c>
      <c r="C36" s="170" t="s">
        <v>301</v>
      </c>
      <c r="D36" s="170" t="s">
        <v>333</v>
      </c>
      <c r="E36" s="170" t="s">
        <v>75</v>
      </c>
      <c r="F36" s="173" t="s">
        <v>76</v>
      </c>
      <c r="G36" s="170" t="s">
        <v>77</v>
      </c>
      <c r="H36" s="170" t="s">
        <v>78</v>
      </c>
      <c r="I36" s="174" t="s">
        <v>79</v>
      </c>
      <c r="J36" s="175" t="s">
        <v>10</v>
      </c>
      <c r="K36" s="175" t="s">
        <v>12</v>
      </c>
      <c r="L36" s="175" t="s">
        <v>305</v>
      </c>
      <c r="M36" s="175"/>
      <c r="N36" s="175" t="s">
        <v>81</v>
      </c>
      <c r="O36" s="175" t="s">
        <v>82</v>
      </c>
      <c r="P36" s="176" t="s">
        <v>83</v>
      </c>
      <c r="Q36" s="176" t="s">
        <v>84</v>
      </c>
    </row>
    <row r="37" spans="1:17" ht="15.75">
      <c r="A37" s="145" t="s">
        <v>334</v>
      </c>
      <c r="B37" s="145">
        <v>1200</v>
      </c>
      <c r="C37" s="145">
        <v>1030</v>
      </c>
      <c r="D37" s="145">
        <v>999</v>
      </c>
      <c r="E37" s="239">
        <f t="shared" ref="E37:E41" si="35">D37/B37</f>
        <v>0.83250000000000002</v>
      </c>
      <c r="F37" s="145">
        <f>126+115+136</f>
        <v>377</v>
      </c>
      <c r="G37" s="145">
        <f t="shared" ref="G37:G41" si="36">D37-F37</f>
        <v>622</v>
      </c>
      <c r="H37" s="239">
        <f t="shared" ref="H37:H41" si="37">G37/D37</f>
        <v>0.62262262262262258</v>
      </c>
      <c r="I37" s="145">
        <v>0</v>
      </c>
      <c r="J37" s="145">
        <f>D37*營業基本資訊!$D$5</f>
        <v>517.46468400000003</v>
      </c>
      <c r="K37" s="145">
        <v>0</v>
      </c>
      <c r="L37" s="145">
        <f>D37*營業基本資訊!$D$7</f>
        <v>0</v>
      </c>
      <c r="M37" s="145"/>
      <c r="N37" s="145">
        <f t="shared" ref="N37:N41" si="38">D37*0.05</f>
        <v>49.95</v>
      </c>
      <c r="O37" s="145">
        <f t="shared" ref="O37:O41" si="39">SUM(I37:N37)</f>
        <v>567.41468400000008</v>
      </c>
      <c r="P37" s="240">
        <f t="shared" ref="P37:P41" si="40">G37-O37</f>
        <v>54.585315999999921</v>
      </c>
      <c r="Q37" s="241">
        <f t="shared" ref="Q37:Q41" si="41">P37/D37</f>
        <v>5.4639955955955874E-2</v>
      </c>
    </row>
    <row r="38" spans="1:17" ht="15.75">
      <c r="A38" s="145" t="s">
        <v>335</v>
      </c>
      <c r="B38" s="145">
        <f t="shared" ref="B38:C38" si="42">85*3</f>
        <v>255</v>
      </c>
      <c r="C38" s="145">
        <f t="shared" si="42"/>
        <v>255</v>
      </c>
      <c r="D38" s="145">
        <v>219</v>
      </c>
      <c r="E38" s="239">
        <f t="shared" si="35"/>
        <v>0.85882352941176465</v>
      </c>
      <c r="F38" s="145">
        <f>28*3</f>
        <v>84</v>
      </c>
      <c r="G38" s="145">
        <f t="shared" si="36"/>
        <v>135</v>
      </c>
      <c r="H38" s="239">
        <f t="shared" si="37"/>
        <v>0.61643835616438358</v>
      </c>
      <c r="I38" s="145">
        <v>0</v>
      </c>
      <c r="J38" s="145">
        <f>D38*營業基本資訊!$D$5</f>
        <v>113.43820400000001</v>
      </c>
      <c r="K38" s="145">
        <v>0</v>
      </c>
      <c r="L38" s="145">
        <f>D38*營業基本資訊!$D$7</f>
        <v>0</v>
      </c>
      <c r="M38" s="145"/>
      <c r="N38" s="145">
        <f t="shared" si="38"/>
        <v>10.950000000000001</v>
      </c>
      <c r="O38" s="145">
        <f t="shared" si="39"/>
        <v>124.38820400000002</v>
      </c>
      <c r="P38" s="240">
        <f t="shared" si="40"/>
        <v>10.611795999999984</v>
      </c>
      <c r="Q38" s="241">
        <f t="shared" si="41"/>
        <v>4.8455689497716822E-2</v>
      </c>
    </row>
    <row r="39" spans="1:17" ht="15.75">
      <c r="A39" s="145" t="s">
        <v>336</v>
      </c>
      <c r="B39" s="145">
        <v>300</v>
      </c>
      <c r="C39" s="145">
        <v>300</v>
      </c>
      <c r="D39" s="145">
        <v>269</v>
      </c>
      <c r="E39" s="239">
        <f t="shared" si="35"/>
        <v>0.89666666666666661</v>
      </c>
      <c r="F39" s="145">
        <f>44*3</f>
        <v>132</v>
      </c>
      <c r="G39" s="145">
        <f t="shared" si="36"/>
        <v>137</v>
      </c>
      <c r="H39" s="239">
        <f t="shared" si="37"/>
        <v>0.50929368029739774</v>
      </c>
      <c r="I39" s="145">
        <v>0</v>
      </c>
      <c r="J39" s="145">
        <f>D39*營業基本資訊!$D$5</f>
        <v>139.33733733333335</v>
      </c>
      <c r="K39" s="145">
        <v>0</v>
      </c>
      <c r="L39" s="145">
        <f>D39*營業基本資訊!$D$7</f>
        <v>0</v>
      </c>
      <c r="M39" s="145"/>
      <c r="N39" s="145">
        <f t="shared" si="38"/>
        <v>13.450000000000001</v>
      </c>
      <c r="O39" s="145">
        <f t="shared" si="39"/>
        <v>152.78733733333334</v>
      </c>
      <c r="P39" s="240">
        <f t="shared" si="40"/>
        <v>-15.78733733333334</v>
      </c>
      <c r="Q39" s="241">
        <f t="shared" si="41"/>
        <v>-5.8688986369268926E-2</v>
      </c>
    </row>
    <row r="40" spans="1:17" ht="15.75">
      <c r="A40" s="145" t="s">
        <v>200</v>
      </c>
      <c r="B40" s="145">
        <v>380</v>
      </c>
      <c r="C40" s="145">
        <v>360</v>
      </c>
      <c r="D40" s="145">
        <v>339</v>
      </c>
      <c r="E40" s="239">
        <f t="shared" si="35"/>
        <v>0.89210526315789473</v>
      </c>
      <c r="F40" s="145">
        <v>108</v>
      </c>
      <c r="G40" s="145">
        <f t="shared" si="36"/>
        <v>231</v>
      </c>
      <c r="H40" s="239">
        <f t="shared" si="37"/>
        <v>0.68141592920353977</v>
      </c>
      <c r="I40" s="145">
        <v>0</v>
      </c>
      <c r="J40" s="145">
        <f>D40*營業基本資訊!$D$5</f>
        <v>175.596124</v>
      </c>
      <c r="K40" s="145">
        <v>0</v>
      </c>
      <c r="L40" s="145">
        <f>D40*營業基本資訊!$D$7</f>
        <v>0</v>
      </c>
      <c r="M40" s="145"/>
      <c r="N40" s="145">
        <f t="shared" si="38"/>
        <v>16.95</v>
      </c>
      <c r="O40" s="145">
        <f t="shared" si="39"/>
        <v>192.54612399999999</v>
      </c>
      <c r="P40" s="240">
        <f t="shared" si="40"/>
        <v>38.453876000000008</v>
      </c>
      <c r="Q40" s="241">
        <f t="shared" si="41"/>
        <v>0.11343326253687318</v>
      </c>
    </row>
    <row r="41" spans="1:17" ht="15.75">
      <c r="A41" s="145" t="s">
        <v>196</v>
      </c>
      <c r="B41" s="145">
        <v>350</v>
      </c>
      <c r="C41" s="145">
        <v>330</v>
      </c>
      <c r="D41" s="145">
        <v>309</v>
      </c>
      <c r="E41" s="239">
        <f t="shared" si="35"/>
        <v>0.8828571428571429</v>
      </c>
      <c r="F41" s="145">
        <v>98</v>
      </c>
      <c r="G41" s="145">
        <f t="shared" si="36"/>
        <v>211</v>
      </c>
      <c r="H41" s="239">
        <f t="shared" si="37"/>
        <v>0.68284789644012944</v>
      </c>
      <c r="I41" s="145">
        <v>0</v>
      </c>
      <c r="J41" s="145">
        <f>D41*營業基本資訊!$D$5</f>
        <v>160.05664400000001</v>
      </c>
      <c r="K41" s="145">
        <v>0</v>
      </c>
      <c r="L41" s="145">
        <f>D41*營業基本資訊!$D$7</f>
        <v>0</v>
      </c>
      <c r="M41" s="145"/>
      <c r="N41" s="145">
        <f t="shared" si="38"/>
        <v>15.450000000000001</v>
      </c>
      <c r="O41" s="145">
        <f t="shared" si="39"/>
        <v>175.50664399999999</v>
      </c>
      <c r="P41" s="240">
        <f t="shared" si="40"/>
        <v>35.493356000000006</v>
      </c>
      <c r="Q41" s="241">
        <f t="shared" si="41"/>
        <v>0.11486522977346281</v>
      </c>
    </row>
    <row r="44" spans="1:17" ht="15.75">
      <c r="C44" s="307" t="s">
        <v>337</v>
      </c>
      <c r="D44" s="308"/>
      <c r="E44" s="309"/>
      <c r="F44" s="253">
        <f>(E51-J44-F34)/E51</f>
        <v>0.42232026143790846</v>
      </c>
      <c r="H44" s="305" t="s">
        <v>338</v>
      </c>
      <c r="I44" s="278"/>
      <c r="J44" s="242">
        <f>I34+L34+N34+K34</f>
        <v>357.08000000000004</v>
      </c>
    </row>
    <row r="45" spans="1:17" ht="15.75">
      <c r="C45" s="307" t="s">
        <v>339</v>
      </c>
      <c r="D45" s="308"/>
      <c r="E45" s="309"/>
      <c r="F45" s="248">
        <f>J46/F44</f>
        <v>153911.63042637159</v>
      </c>
      <c r="H45" s="305" t="s">
        <v>340</v>
      </c>
      <c r="I45" s="278"/>
      <c r="J45" s="242">
        <v>2000</v>
      </c>
    </row>
    <row r="46" spans="1:17" ht="15.75">
      <c r="C46" s="307" t="s">
        <v>341</v>
      </c>
      <c r="D46" s="308"/>
      <c r="E46" s="309"/>
      <c r="F46" s="254">
        <f>F45/E51</f>
        <v>125.74479609997678</v>
      </c>
      <c r="H46" s="305" t="s">
        <v>342</v>
      </c>
      <c r="I46" s="278"/>
      <c r="J46" s="242">
        <f>65000</f>
        <v>65000</v>
      </c>
    </row>
    <row r="47" spans="1:17" ht="15.75">
      <c r="C47" s="145"/>
      <c r="D47" s="145"/>
    </row>
    <row r="48" spans="1:17" ht="15.75">
      <c r="B48" s="306" t="s">
        <v>314</v>
      </c>
      <c r="C48" s="243"/>
      <c r="D48" s="243" t="s">
        <v>315</v>
      </c>
      <c r="E48" s="255">
        <f>SUM(P29:P32)/4</f>
        <v>-117.09078400000007</v>
      </c>
    </row>
    <row r="49" spans="2:10" ht="15.75">
      <c r="B49" s="295"/>
      <c r="C49" s="243"/>
      <c r="D49" s="245" t="s">
        <v>343</v>
      </c>
      <c r="E49" s="245">
        <v>0.1</v>
      </c>
      <c r="F49" s="145"/>
      <c r="G49" s="145"/>
      <c r="H49" s="145"/>
    </row>
    <row r="50" spans="2:10" ht="15.75">
      <c r="B50" s="295"/>
      <c r="C50" s="243"/>
      <c r="D50" s="245" t="s">
        <v>344</v>
      </c>
      <c r="E50" s="245">
        <f>SUM(P37:P41)/5</f>
        <v>24.671401333333314</v>
      </c>
      <c r="F50" s="145"/>
      <c r="G50" s="145"/>
      <c r="H50" s="145"/>
    </row>
    <row r="51" spans="2:10" ht="15.75">
      <c r="B51" s="295"/>
      <c r="C51" s="145"/>
      <c r="D51" s="243" t="s">
        <v>345</v>
      </c>
      <c r="E51" s="243">
        <f>SUM(D29:D32)/4</f>
        <v>1224</v>
      </c>
      <c r="F51" s="145"/>
      <c r="G51" s="145"/>
      <c r="H51" s="278"/>
      <c r="I51" s="278"/>
    </row>
    <row r="52" spans="2:10" ht="15.75" hidden="1">
      <c r="B52" s="295"/>
      <c r="C52" s="145"/>
      <c r="D52" s="243" t="s">
        <v>346</v>
      </c>
      <c r="E52" s="244">
        <f>E48</f>
        <v>-117.09078400000007</v>
      </c>
      <c r="F52" s="145"/>
      <c r="G52" s="145"/>
      <c r="H52" s="145"/>
    </row>
    <row r="53" spans="2:10" ht="15.75">
      <c r="B53" s="295"/>
      <c r="C53" s="243"/>
      <c r="D53" s="243" t="s">
        <v>84</v>
      </c>
      <c r="E53" s="256">
        <f>E52/E51</f>
        <v>-9.5662405228758227E-2</v>
      </c>
      <c r="F53" s="145"/>
      <c r="G53" s="145"/>
      <c r="H53" s="145"/>
    </row>
    <row r="54" spans="2:10" ht="15.75">
      <c r="B54" s="295"/>
      <c r="C54" s="243"/>
      <c r="D54" s="243" t="s">
        <v>347</v>
      </c>
      <c r="E54" s="145">
        <v>300</v>
      </c>
      <c r="F54" s="243">
        <v>200</v>
      </c>
      <c r="G54" s="243">
        <v>170</v>
      </c>
      <c r="H54" s="243">
        <v>100</v>
      </c>
      <c r="I54" s="243">
        <v>70</v>
      </c>
      <c r="J54" s="243">
        <v>20</v>
      </c>
    </row>
    <row r="55" spans="2:10" ht="19.5">
      <c r="B55" s="295"/>
      <c r="C55" s="247"/>
      <c r="D55" s="247" t="s">
        <v>321</v>
      </c>
      <c r="E55" s="248">
        <f>E51*E54</f>
        <v>367200</v>
      </c>
      <c r="F55" s="248">
        <f>E51*F54</f>
        <v>244800</v>
      </c>
      <c r="G55" s="248">
        <f>G54*E51</f>
        <v>208080</v>
      </c>
      <c r="H55" s="248">
        <f>H54*E51</f>
        <v>122400</v>
      </c>
      <c r="I55" s="248">
        <f>I54*E51</f>
        <v>85680</v>
      </c>
      <c r="J55" s="248">
        <f>J54*E51</f>
        <v>24480</v>
      </c>
    </row>
    <row r="56" spans="2:10" ht="19.5">
      <c r="B56" s="296"/>
      <c r="C56" s="247"/>
      <c r="D56" s="247" t="s">
        <v>322</v>
      </c>
      <c r="E56" s="257">
        <f>E48*E54</f>
        <v>-35127.235200000025</v>
      </c>
      <c r="F56" s="257">
        <f>E52*F54</f>
        <v>-23418.156800000015</v>
      </c>
      <c r="G56" s="248">
        <f>E52*G54</f>
        <v>-19905.433280000012</v>
      </c>
      <c r="H56" s="248">
        <f>H54*E52</f>
        <v>-11709.078400000008</v>
      </c>
      <c r="I56" s="248">
        <f>I54*E52</f>
        <v>-8196.3548800000044</v>
      </c>
      <c r="J56" s="248">
        <f>J54*E51</f>
        <v>24480</v>
      </c>
    </row>
    <row r="57" spans="2:10" ht="15.75">
      <c r="C57" s="145"/>
      <c r="D57" s="145"/>
    </row>
    <row r="58" spans="2:10" ht="15.75">
      <c r="C58" s="145"/>
      <c r="D58" s="145"/>
    </row>
    <row r="59" spans="2:10" ht="15.75">
      <c r="C59" s="145"/>
      <c r="D59" s="145"/>
    </row>
    <row r="60" spans="2:10" ht="15.75">
      <c r="C60" s="145"/>
      <c r="D60" s="145"/>
    </row>
    <row r="61" spans="2:10" ht="15.75">
      <c r="C61" s="145"/>
      <c r="D61" s="145"/>
    </row>
    <row r="62" spans="2:10" ht="15.75">
      <c r="C62" s="145"/>
      <c r="D62" s="145"/>
    </row>
    <row r="63" spans="2:10" ht="15.75">
      <c r="C63" s="145"/>
      <c r="D63" s="145"/>
    </row>
    <row r="64" spans="2:10" ht="15.75">
      <c r="C64" s="145"/>
      <c r="D64" s="145"/>
    </row>
    <row r="65" spans="3:4" ht="15.75">
      <c r="C65" s="145"/>
      <c r="D65" s="145"/>
    </row>
    <row r="66" spans="3:4" ht="15.75">
      <c r="C66" s="145"/>
      <c r="D66" s="145"/>
    </row>
    <row r="67" spans="3:4" ht="15.75">
      <c r="C67" s="145"/>
      <c r="D67" s="145"/>
    </row>
    <row r="68" spans="3:4" ht="15.75">
      <c r="C68" s="145"/>
      <c r="D68" s="145"/>
    </row>
    <row r="69" spans="3:4" ht="15.75">
      <c r="C69" s="145"/>
      <c r="D69" s="145"/>
    </row>
    <row r="70" spans="3:4" ht="15.75">
      <c r="C70" s="145"/>
      <c r="D70" s="145"/>
    </row>
    <row r="71" spans="3:4" ht="15.75">
      <c r="C71" s="145"/>
      <c r="D71" s="145"/>
    </row>
    <row r="72" spans="3:4" ht="15.75">
      <c r="C72" s="145"/>
      <c r="D72" s="145"/>
    </row>
    <row r="73" spans="3:4" ht="15.75">
      <c r="C73" s="145"/>
      <c r="D73" s="145"/>
    </row>
    <row r="74" spans="3:4" ht="15.75">
      <c r="C74" s="145"/>
      <c r="D74" s="145"/>
    </row>
    <row r="75" spans="3:4" ht="15.75">
      <c r="C75" s="145"/>
      <c r="D75" s="145"/>
    </row>
    <row r="76" spans="3:4" ht="15.75">
      <c r="C76" s="145"/>
      <c r="D76" s="145"/>
    </row>
    <row r="77" spans="3:4" ht="15.75">
      <c r="C77" s="145"/>
      <c r="D77" s="145"/>
    </row>
    <row r="78" spans="3:4" ht="15.75">
      <c r="C78" s="145"/>
      <c r="D78" s="145"/>
    </row>
    <row r="79" spans="3:4" ht="15.75">
      <c r="C79" s="145"/>
      <c r="D79" s="145"/>
    </row>
    <row r="80" spans="3:4" ht="15.75">
      <c r="C80" s="145"/>
      <c r="D80" s="145"/>
    </row>
    <row r="81" spans="3:4" ht="15.75">
      <c r="C81" s="145"/>
      <c r="D81" s="145"/>
    </row>
    <row r="82" spans="3:4" ht="15.75">
      <c r="C82" s="145"/>
      <c r="D82" s="145"/>
    </row>
    <row r="83" spans="3:4" ht="15.75">
      <c r="C83" s="145"/>
      <c r="D83" s="145"/>
    </row>
    <row r="84" spans="3:4" ht="15.75">
      <c r="C84" s="145"/>
      <c r="D84" s="145"/>
    </row>
    <row r="85" spans="3:4" ht="15.75">
      <c r="C85" s="145"/>
      <c r="D85" s="145"/>
    </row>
    <row r="86" spans="3:4" ht="15.75">
      <c r="C86" s="145"/>
      <c r="D86" s="145"/>
    </row>
    <row r="87" spans="3:4" ht="15.75">
      <c r="C87" s="145"/>
      <c r="D87" s="145"/>
    </row>
    <row r="88" spans="3:4" ht="15.75">
      <c r="C88" s="145"/>
      <c r="D88" s="145"/>
    </row>
    <row r="89" spans="3:4" ht="15.75">
      <c r="C89" s="145"/>
      <c r="D89" s="145"/>
    </row>
    <row r="90" spans="3:4" ht="15.75">
      <c r="C90" s="145"/>
      <c r="D90" s="145"/>
    </row>
    <row r="91" spans="3:4" ht="15.75">
      <c r="C91" s="145"/>
      <c r="D91" s="145"/>
    </row>
    <row r="92" spans="3:4" ht="15.75">
      <c r="C92" s="145"/>
      <c r="D92" s="145"/>
    </row>
    <row r="93" spans="3:4" ht="15.75">
      <c r="C93" s="145"/>
      <c r="D93" s="145"/>
    </row>
    <row r="94" spans="3:4" ht="15.75">
      <c r="C94" s="145"/>
      <c r="D94" s="145"/>
    </row>
    <row r="95" spans="3:4" ht="15.75">
      <c r="C95" s="145"/>
      <c r="D95" s="145"/>
    </row>
    <row r="96" spans="3:4" ht="15.75">
      <c r="C96" s="145"/>
      <c r="D96" s="145"/>
    </row>
    <row r="97" spans="3:4" ht="15.75">
      <c r="C97" s="145"/>
      <c r="D97" s="145"/>
    </row>
    <row r="98" spans="3:4" ht="15.75">
      <c r="C98" s="145"/>
      <c r="D98" s="145"/>
    </row>
    <row r="99" spans="3:4" ht="15.75">
      <c r="C99" s="145"/>
      <c r="D99" s="145"/>
    </row>
    <row r="100" spans="3:4" ht="15.75">
      <c r="C100" s="145"/>
      <c r="D100" s="145"/>
    </row>
    <row r="101" spans="3:4" ht="15.75">
      <c r="C101" s="145"/>
      <c r="D101" s="145"/>
    </row>
    <row r="102" spans="3:4" ht="15.75">
      <c r="C102" s="145"/>
      <c r="D102" s="145"/>
    </row>
    <row r="103" spans="3:4" ht="15.75">
      <c r="C103" s="145"/>
      <c r="D103" s="145"/>
    </row>
    <row r="104" spans="3:4" ht="15.75">
      <c r="C104" s="145"/>
      <c r="D104" s="145"/>
    </row>
    <row r="105" spans="3:4" ht="15.75">
      <c r="C105" s="145"/>
      <c r="D105" s="145"/>
    </row>
    <row r="106" spans="3:4" ht="15.75">
      <c r="C106" s="145"/>
      <c r="D106" s="145"/>
    </row>
    <row r="107" spans="3:4" ht="15.75">
      <c r="C107" s="145"/>
      <c r="D107" s="145"/>
    </row>
    <row r="108" spans="3:4" ht="15.75">
      <c r="C108" s="145"/>
      <c r="D108" s="145"/>
    </row>
    <row r="109" spans="3:4" ht="15.75">
      <c r="C109" s="145"/>
      <c r="D109" s="145"/>
    </row>
    <row r="110" spans="3:4" ht="15.75">
      <c r="C110" s="145"/>
      <c r="D110" s="145"/>
    </row>
    <row r="111" spans="3:4" ht="15.75">
      <c r="C111" s="145"/>
      <c r="D111" s="145"/>
    </row>
    <row r="112" spans="3:4" ht="15.75">
      <c r="C112" s="145"/>
      <c r="D112" s="145"/>
    </row>
    <row r="113" spans="3:4" ht="15.75">
      <c r="C113" s="145"/>
      <c r="D113" s="145"/>
    </row>
    <row r="114" spans="3:4" ht="15.75">
      <c r="C114" s="145"/>
      <c r="D114" s="145"/>
    </row>
    <row r="115" spans="3:4" ht="15.75">
      <c r="C115" s="145"/>
      <c r="D115" s="145"/>
    </row>
    <row r="116" spans="3:4" ht="15.75">
      <c r="C116" s="145"/>
      <c r="D116" s="145"/>
    </row>
    <row r="117" spans="3:4" ht="15.75">
      <c r="C117" s="145"/>
      <c r="D117" s="145"/>
    </row>
    <row r="118" spans="3:4" ht="15.75">
      <c r="C118" s="145"/>
      <c r="D118" s="145"/>
    </row>
    <row r="119" spans="3:4" ht="15.75">
      <c r="C119" s="145"/>
      <c r="D119" s="145"/>
    </row>
    <row r="120" spans="3:4" ht="15.75">
      <c r="C120" s="145"/>
      <c r="D120" s="145"/>
    </row>
    <row r="121" spans="3:4" ht="15.75">
      <c r="C121" s="145"/>
      <c r="D121" s="145"/>
    </row>
    <row r="122" spans="3:4" ht="15.75">
      <c r="C122" s="145"/>
      <c r="D122" s="145"/>
    </row>
    <row r="123" spans="3:4" ht="15.75">
      <c r="C123" s="145"/>
      <c r="D123" s="145"/>
    </row>
    <row r="124" spans="3:4" ht="15.75">
      <c r="C124" s="145"/>
      <c r="D124" s="145"/>
    </row>
    <row r="125" spans="3:4" ht="15.75">
      <c r="C125" s="145"/>
      <c r="D125" s="145"/>
    </row>
    <row r="126" spans="3:4" ht="15.75">
      <c r="C126" s="145"/>
      <c r="D126" s="145"/>
    </row>
    <row r="127" spans="3:4" ht="15.75">
      <c r="C127" s="145"/>
      <c r="D127" s="145"/>
    </row>
    <row r="128" spans="3:4" ht="15.75">
      <c r="C128" s="145"/>
      <c r="D128" s="145"/>
    </row>
    <row r="129" spans="3:4" ht="15.75">
      <c r="C129" s="145"/>
      <c r="D129" s="145"/>
    </row>
    <row r="130" spans="3:4" ht="15.75">
      <c r="C130" s="145"/>
      <c r="D130" s="145"/>
    </row>
    <row r="131" spans="3:4" ht="15.75">
      <c r="C131" s="145"/>
      <c r="D131" s="145"/>
    </row>
    <row r="132" spans="3:4" ht="15.75">
      <c r="C132" s="145"/>
      <c r="D132" s="145"/>
    </row>
    <row r="133" spans="3:4" ht="15.75">
      <c r="C133" s="145"/>
      <c r="D133" s="145"/>
    </row>
    <row r="134" spans="3:4" ht="15.75">
      <c r="C134" s="145"/>
      <c r="D134" s="145"/>
    </row>
    <row r="135" spans="3:4" ht="15.75">
      <c r="C135" s="145"/>
      <c r="D135" s="145"/>
    </row>
    <row r="136" spans="3:4" ht="15.75">
      <c r="C136" s="145"/>
      <c r="D136" s="145"/>
    </row>
    <row r="137" spans="3:4" ht="15.75">
      <c r="C137" s="145"/>
      <c r="D137" s="145"/>
    </row>
    <row r="138" spans="3:4" ht="15.75">
      <c r="C138" s="145"/>
      <c r="D138" s="145"/>
    </row>
    <row r="139" spans="3:4" ht="15.75">
      <c r="C139" s="145"/>
      <c r="D139" s="145"/>
    </row>
    <row r="140" spans="3:4" ht="15.75">
      <c r="C140" s="145"/>
      <c r="D140" s="145"/>
    </row>
    <row r="141" spans="3:4" ht="15.75">
      <c r="C141" s="145"/>
      <c r="D141" s="145"/>
    </row>
    <row r="142" spans="3:4" ht="15.75">
      <c r="C142" s="145"/>
      <c r="D142" s="145"/>
    </row>
    <row r="143" spans="3:4" ht="15.75">
      <c r="C143" s="145"/>
      <c r="D143" s="145"/>
    </row>
    <row r="144" spans="3:4" ht="15.75">
      <c r="C144" s="145"/>
      <c r="D144" s="145"/>
    </row>
    <row r="145" spans="3:4" ht="15.75">
      <c r="C145" s="145"/>
      <c r="D145" s="145"/>
    </row>
    <row r="146" spans="3:4" ht="15.75">
      <c r="C146" s="145"/>
      <c r="D146" s="145"/>
    </row>
    <row r="147" spans="3:4" ht="15.75">
      <c r="C147" s="145"/>
      <c r="D147" s="145"/>
    </row>
    <row r="148" spans="3:4" ht="15.75">
      <c r="C148" s="145"/>
      <c r="D148" s="145"/>
    </row>
    <row r="149" spans="3:4" ht="15.75">
      <c r="C149" s="145"/>
      <c r="D149" s="145"/>
    </row>
    <row r="150" spans="3:4" ht="15.75">
      <c r="C150" s="145"/>
      <c r="D150" s="145"/>
    </row>
    <row r="151" spans="3:4" ht="15.75">
      <c r="C151" s="145"/>
      <c r="D151" s="145"/>
    </row>
    <row r="152" spans="3:4" ht="15.75">
      <c r="C152" s="145"/>
      <c r="D152" s="145"/>
    </row>
    <row r="153" spans="3:4" ht="15.75">
      <c r="C153" s="145"/>
      <c r="D153" s="145"/>
    </row>
    <row r="154" spans="3:4" ht="15.75">
      <c r="C154" s="145"/>
      <c r="D154" s="145"/>
    </row>
    <row r="155" spans="3:4" ht="15.75">
      <c r="C155" s="145"/>
      <c r="D155" s="145"/>
    </row>
    <row r="156" spans="3:4" ht="15.75">
      <c r="C156" s="145"/>
      <c r="D156" s="145"/>
    </row>
    <row r="157" spans="3:4" ht="15.75">
      <c r="C157" s="145"/>
      <c r="D157" s="145"/>
    </row>
    <row r="158" spans="3:4" ht="15.75">
      <c r="C158" s="145"/>
      <c r="D158" s="145"/>
    </row>
    <row r="159" spans="3:4" ht="15.75">
      <c r="C159" s="145"/>
      <c r="D159" s="145"/>
    </row>
    <row r="160" spans="3:4" ht="15.75">
      <c r="C160" s="145"/>
      <c r="D160" s="145"/>
    </row>
    <row r="161" spans="3:4" ht="15.75">
      <c r="C161" s="145"/>
      <c r="D161" s="145"/>
    </row>
    <row r="162" spans="3:4" ht="15.75">
      <c r="C162" s="145"/>
      <c r="D162" s="145"/>
    </row>
    <row r="163" spans="3:4" ht="15.75">
      <c r="C163" s="145"/>
      <c r="D163" s="145"/>
    </row>
    <row r="164" spans="3:4" ht="15.75">
      <c r="C164" s="145"/>
      <c r="D164" s="145"/>
    </row>
    <row r="165" spans="3:4" ht="15.75">
      <c r="C165" s="145"/>
      <c r="D165" s="145"/>
    </row>
    <row r="166" spans="3:4" ht="15.75">
      <c r="C166" s="145"/>
      <c r="D166" s="145"/>
    </row>
    <row r="167" spans="3:4" ht="15.75">
      <c r="C167" s="145"/>
      <c r="D167" s="145"/>
    </row>
    <row r="168" spans="3:4" ht="15.75">
      <c r="C168" s="145"/>
      <c r="D168" s="145"/>
    </row>
    <row r="169" spans="3:4" ht="15.75">
      <c r="C169" s="145"/>
      <c r="D169" s="145"/>
    </row>
    <row r="170" spans="3:4" ht="15.75">
      <c r="C170" s="145"/>
      <c r="D170" s="145"/>
    </row>
    <row r="171" spans="3:4" ht="15.75">
      <c r="C171" s="145"/>
      <c r="D171" s="145"/>
    </row>
    <row r="172" spans="3:4" ht="15.75">
      <c r="C172" s="145"/>
      <c r="D172" s="145"/>
    </row>
    <row r="173" spans="3:4" ht="15.75">
      <c r="C173" s="145"/>
      <c r="D173" s="145"/>
    </row>
    <row r="174" spans="3:4" ht="15.75">
      <c r="C174" s="145"/>
      <c r="D174" s="145"/>
    </row>
    <row r="175" spans="3:4" ht="15.75">
      <c r="C175" s="145"/>
      <c r="D175" s="145"/>
    </row>
    <row r="176" spans="3:4" ht="15.75">
      <c r="C176" s="145"/>
      <c r="D176" s="145"/>
    </row>
    <row r="177" spans="3:4" ht="15.75">
      <c r="C177" s="145"/>
      <c r="D177" s="145"/>
    </row>
    <row r="178" spans="3:4" ht="15.75">
      <c r="C178" s="145"/>
      <c r="D178" s="145"/>
    </row>
    <row r="179" spans="3:4" ht="15.75">
      <c r="C179" s="145"/>
      <c r="D179" s="145"/>
    </row>
    <row r="180" spans="3:4" ht="15.75">
      <c r="C180" s="145"/>
      <c r="D180" s="145"/>
    </row>
    <row r="181" spans="3:4" ht="15.75">
      <c r="C181" s="145"/>
      <c r="D181" s="145"/>
    </row>
    <row r="182" spans="3:4" ht="15.75">
      <c r="C182" s="145"/>
      <c r="D182" s="145"/>
    </row>
    <row r="183" spans="3:4" ht="15.75">
      <c r="C183" s="145"/>
      <c r="D183" s="145"/>
    </row>
    <row r="184" spans="3:4" ht="15.75">
      <c r="C184" s="145"/>
      <c r="D184" s="145"/>
    </row>
    <row r="185" spans="3:4" ht="15.75">
      <c r="C185" s="145"/>
      <c r="D185" s="145"/>
    </row>
    <row r="186" spans="3:4" ht="15.75">
      <c r="C186" s="145"/>
      <c r="D186" s="145"/>
    </row>
    <row r="187" spans="3:4" ht="15.75">
      <c r="C187" s="145"/>
      <c r="D187" s="145"/>
    </row>
    <row r="188" spans="3:4" ht="15.75">
      <c r="C188" s="145"/>
      <c r="D188" s="145"/>
    </row>
    <row r="189" spans="3:4" ht="15.75">
      <c r="C189" s="145"/>
      <c r="D189" s="145"/>
    </row>
    <row r="190" spans="3:4" ht="15.75">
      <c r="C190" s="145"/>
      <c r="D190" s="145"/>
    </row>
    <row r="191" spans="3:4" ht="15.75">
      <c r="C191" s="145"/>
      <c r="D191" s="145"/>
    </row>
    <row r="192" spans="3:4" ht="15.75">
      <c r="C192" s="145"/>
      <c r="D192" s="145"/>
    </row>
    <row r="193" spans="3:4" ht="15.75">
      <c r="C193" s="145"/>
      <c r="D193" s="145"/>
    </row>
    <row r="194" spans="3:4" ht="15.75">
      <c r="C194" s="145"/>
      <c r="D194" s="145"/>
    </row>
    <row r="195" spans="3:4" ht="15.75">
      <c r="C195" s="145"/>
      <c r="D195" s="145"/>
    </row>
    <row r="196" spans="3:4" ht="15.75">
      <c r="C196" s="145"/>
      <c r="D196" s="145"/>
    </row>
    <row r="197" spans="3:4" ht="15.75">
      <c r="C197" s="145"/>
      <c r="D197" s="145"/>
    </row>
    <row r="198" spans="3:4" ht="15.75">
      <c r="C198" s="145"/>
      <c r="D198" s="145"/>
    </row>
    <row r="199" spans="3:4" ht="15.75">
      <c r="C199" s="145"/>
      <c r="D199" s="145"/>
    </row>
    <row r="200" spans="3:4" ht="15.75">
      <c r="C200" s="145"/>
      <c r="D200" s="145"/>
    </row>
    <row r="201" spans="3:4" ht="15.75">
      <c r="C201" s="145"/>
      <c r="D201" s="145"/>
    </row>
    <row r="202" spans="3:4" ht="15.75">
      <c r="C202" s="145"/>
      <c r="D202" s="145"/>
    </row>
    <row r="203" spans="3:4" ht="15.75">
      <c r="C203" s="145"/>
      <c r="D203" s="145"/>
    </row>
    <row r="204" spans="3:4" ht="15.75">
      <c r="C204" s="145"/>
      <c r="D204" s="145"/>
    </row>
    <row r="205" spans="3:4" ht="15.75">
      <c r="C205" s="145"/>
      <c r="D205" s="145"/>
    </row>
    <row r="206" spans="3:4" ht="15.75">
      <c r="C206" s="145"/>
      <c r="D206" s="145"/>
    </row>
    <row r="207" spans="3:4" ht="15.75">
      <c r="C207" s="145"/>
      <c r="D207" s="145"/>
    </row>
    <row r="208" spans="3:4" ht="15.75">
      <c r="C208" s="145"/>
      <c r="D208" s="145"/>
    </row>
    <row r="209" spans="3:4" ht="15.75">
      <c r="C209" s="145"/>
      <c r="D209" s="145"/>
    </row>
    <row r="210" spans="3:4" ht="15.75">
      <c r="C210" s="145"/>
      <c r="D210" s="145"/>
    </row>
    <row r="211" spans="3:4" ht="15.75">
      <c r="C211" s="145"/>
      <c r="D211" s="145"/>
    </row>
    <row r="212" spans="3:4" ht="15.75">
      <c r="C212" s="145"/>
      <c r="D212" s="145"/>
    </row>
    <row r="213" spans="3:4" ht="15.75">
      <c r="C213" s="145"/>
      <c r="D213" s="145"/>
    </row>
    <row r="214" spans="3:4" ht="15.75">
      <c r="C214" s="145"/>
      <c r="D214" s="145"/>
    </row>
    <row r="215" spans="3:4" ht="15.75">
      <c r="C215" s="145"/>
      <c r="D215" s="145"/>
    </row>
    <row r="216" spans="3:4" ht="15.75">
      <c r="C216" s="145"/>
      <c r="D216" s="145"/>
    </row>
    <row r="217" spans="3:4" ht="15.75">
      <c r="C217" s="145"/>
      <c r="D217" s="145"/>
    </row>
    <row r="218" spans="3:4" ht="15.75">
      <c r="C218" s="145"/>
      <c r="D218" s="145"/>
    </row>
    <row r="219" spans="3:4" ht="15.75">
      <c r="C219" s="145"/>
      <c r="D219" s="145"/>
    </row>
    <row r="220" spans="3:4" ht="15.75">
      <c r="C220" s="145"/>
      <c r="D220" s="145"/>
    </row>
    <row r="221" spans="3:4" ht="15.75">
      <c r="C221" s="145"/>
      <c r="D221" s="145"/>
    </row>
    <row r="222" spans="3:4" ht="15.75">
      <c r="C222" s="145"/>
      <c r="D222" s="145"/>
    </row>
    <row r="223" spans="3:4" ht="15.75">
      <c r="C223" s="145"/>
      <c r="D223" s="145"/>
    </row>
    <row r="224" spans="3:4" ht="15.75">
      <c r="C224" s="145"/>
      <c r="D224" s="145"/>
    </row>
    <row r="225" spans="3:4" ht="15.75">
      <c r="C225" s="145"/>
      <c r="D225" s="145"/>
    </row>
    <row r="226" spans="3:4" ht="15.75">
      <c r="C226" s="145"/>
      <c r="D226" s="145"/>
    </row>
    <row r="227" spans="3:4" ht="15.75">
      <c r="C227" s="145"/>
      <c r="D227" s="145"/>
    </row>
    <row r="228" spans="3:4" ht="15.75">
      <c r="C228" s="145"/>
      <c r="D228" s="145"/>
    </row>
    <row r="229" spans="3:4" ht="15.75">
      <c r="C229" s="145"/>
      <c r="D229" s="145"/>
    </row>
    <row r="230" spans="3:4" ht="15.75">
      <c r="C230" s="145"/>
      <c r="D230" s="145"/>
    </row>
    <row r="231" spans="3:4" ht="15.75">
      <c r="C231" s="145"/>
      <c r="D231" s="145"/>
    </row>
    <row r="232" spans="3:4" ht="15.75">
      <c r="C232" s="145"/>
      <c r="D232" s="145"/>
    </row>
    <row r="233" spans="3:4" ht="15.75">
      <c r="C233" s="145"/>
      <c r="D233" s="145"/>
    </row>
    <row r="234" spans="3:4" ht="15.75">
      <c r="C234" s="145"/>
      <c r="D234" s="145"/>
    </row>
    <row r="235" spans="3:4" ht="15.75">
      <c r="C235" s="145"/>
      <c r="D235" s="145"/>
    </row>
    <row r="236" spans="3:4" ht="15.75">
      <c r="C236" s="145"/>
      <c r="D236" s="145"/>
    </row>
    <row r="237" spans="3:4" ht="15.75">
      <c r="C237" s="145"/>
      <c r="D237" s="145"/>
    </row>
    <row r="238" spans="3:4" ht="15.75">
      <c r="C238" s="145"/>
      <c r="D238" s="145"/>
    </row>
    <row r="239" spans="3:4" ht="15.75">
      <c r="C239" s="145"/>
      <c r="D239" s="145"/>
    </row>
    <row r="240" spans="3:4" ht="15.75">
      <c r="C240" s="145"/>
      <c r="D240" s="145"/>
    </row>
    <row r="241" spans="3:4" ht="15.75">
      <c r="C241" s="145"/>
      <c r="D241" s="145"/>
    </row>
    <row r="242" spans="3:4" ht="15.75">
      <c r="C242" s="145"/>
      <c r="D242" s="145"/>
    </row>
    <row r="243" spans="3:4" ht="15.75">
      <c r="C243" s="145"/>
      <c r="D243" s="145"/>
    </row>
    <row r="244" spans="3:4" ht="15.75">
      <c r="C244" s="145"/>
      <c r="D244" s="145"/>
    </row>
    <row r="245" spans="3:4" ht="15.75">
      <c r="C245" s="145"/>
      <c r="D245" s="145"/>
    </row>
    <row r="246" spans="3:4" ht="15.75">
      <c r="C246" s="145"/>
      <c r="D246" s="145"/>
    </row>
    <row r="247" spans="3:4" ht="15.75">
      <c r="C247" s="145"/>
      <c r="D247" s="145"/>
    </row>
    <row r="248" spans="3:4" ht="15.75">
      <c r="C248" s="145"/>
      <c r="D248" s="145"/>
    </row>
    <row r="249" spans="3:4" ht="15.75">
      <c r="C249" s="145"/>
      <c r="D249" s="145"/>
    </row>
    <row r="250" spans="3:4" ht="15.75">
      <c r="C250" s="145"/>
      <c r="D250" s="145"/>
    </row>
    <row r="251" spans="3:4" ht="15.75">
      <c r="C251" s="145"/>
      <c r="D251" s="145"/>
    </row>
    <row r="252" spans="3:4" ht="15.75">
      <c r="C252" s="145"/>
      <c r="D252" s="145"/>
    </row>
    <row r="253" spans="3:4" ht="15.75">
      <c r="C253" s="145"/>
      <c r="D253" s="145"/>
    </row>
    <row r="254" spans="3:4" ht="15.75">
      <c r="C254" s="145"/>
      <c r="D254" s="145"/>
    </row>
    <row r="255" spans="3:4" ht="15.75">
      <c r="C255" s="145"/>
      <c r="D255" s="145"/>
    </row>
    <row r="256" spans="3:4" ht="15.75">
      <c r="C256" s="145"/>
      <c r="D256" s="145"/>
    </row>
    <row r="257" spans="3:4" ht="15.75">
      <c r="C257" s="145"/>
      <c r="D257" s="145"/>
    </row>
    <row r="258" spans="3:4" ht="15.75">
      <c r="C258" s="145"/>
      <c r="D258" s="145"/>
    </row>
    <row r="259" spans="3:4" ht="15.75">
      <c r="C259" s="145"/>
      <c r="D259" s="145"/>
    </row>
    <row r="260" spans="3:4" ht="15.75">
      <c r="C260" s="145"/>
      <c r="D260" s="145"/>
    </row>
    <row r="261" spans="3:4" ht="15.75">
      <c r="C261" s="145"/>
      <c r="D261" s="145"/>
    </row>
    <row r="262" spans="3:4" ht="15.75">
      <c r="C262" s="145"/>
      <c r="D262" s="145"/>
    </row>
    <row r="263" spans="3:4" ht="15.75">
      <c r="C263" s="145"/>
      <c r="D263" s="145"/>
    </row>
    <row r="264" spans="3:4" ht="15.75">
      <c r="C264" s="145"/>
      <c r="D264" s="145"/>
    </row>
    <row r="265" spans="3:4" ht="15.75">
      <c r="C265" s="145"/>
      <c r="D265" s="145"/>
    </row>
    <row r="266" spans="3:4" ht="15.75">
      <c r="C266" s="145"/>
      <c r="D266" s="145"/>
    </row>
    <row r="267" spans="3:4" ht="15.75">
      <c r="C267" s="145"/>
      <c r="D267" s="145"/>
    </row>
    <row r="268" spans="3:4" ht="15.75">
      <c r="C268" s="145"/>
      <c r="D268" s="145"/>
    </row>
    <row r="269" spans="3:4" ht="15.75">
      <c r="C269" s="145"/>
      <c r="D269" s="145"/>
    </row>
    <row r="270" spans="3:4" ht="15.75">
      <c r="C270" s="145"/>
      <c r="D270" s="145"/>
    </row>
    <row r="271" spans="3:4" ht="15.75">
      <c r="C271" s="145"/>
      <c r="D271" s="145"/>
    </row>
    <row r="272" spans="3:4" ht="15.75">
      <c r="C272" s="145"/>
      <c r="D272" s="145"/>
    </row>
    <row r="273" spans="3:4" ht="15.75">
      <c r="C273" s="145"/>
      <c r="D273" s="145"/>
    </row>
    <row r="274" spans="3:4" ht="15.75">
      <c r="C274" s="145"/>
      <c r="D274" s="145"/>
    </row>
    <row r="275" spans="3:4" ht="15.75">
      <c r="C275" s="145"/>
      <c r="D275" s="145"/>
    </row>
    <row r="276" spans="3:4" ht="15.75">
      <c r="C276" s="145"/>
      <c r="D276" s="145"/>
    </row>
    <row r="277" spans="3:4" ht="15.75">
      <c r="C277" s="145"/>
      <c r="D277" s="145"/>
    </row>
    <row r="278" spans="3:4" ht="15.75">
      <c r="C278" s="145"/>
      <c r="D278" s="145"/>
    </row>
    <row r="279" spans="3:4" ht="15.75">
      <c r="C279" s="145"/>
      <c r="D279" s="145"/>
    </row>
    <row r="280" spans="3:4" ht="15.75">
      <c r="C280" s="145"/>
      <c r="D280" s="145"/>
    </row>
    <row r="281" spans="3:4" ht="15.75">
      <c r="C281" s="145"/>
      <c r="D281" s="145"/>
    </row>
    <row r="282" spans="3:4" ht="15.75">
      <c r="C282" s="145"/>
      <c r="D282" s="145"/>
    </row>
    <row r="283" spans="3:4" ht="15.75">
      <c r="C283" s="145"/>
      <c r="D283" s="145"/>
    </row>
    <row r="284" spans="3:4" ht="15.75">
      <c r="C284" s="145"/>
      <c r="D284" s="145"/>
    </row>
    <row r="285" spans="3:4" ht="15.75">
      <c r="C285" s="145"/>
      <c r="D285" s="145"/>
    </row>
    <row r="286" spans="3:4" ht="15.75">
      <c r="C286" s="145"/>
      <c r="D286" s="145"/>
    </row>
    <row r="287" spans="3:4" ht="15.75">
      <c r="C287" s="145"/>
      <c r="D287" s="145"/>
    </row>
    <row r="288" spans="3:4" ht="15.75">
      <c r="C288" s="145"/>
      <c r="D288" s="145"/>
    </row>
    <row r="289" spans="3:4" ht="15.75">
      <c r="C289" s="145"/>
      <c r="D289" s="145"/>
    </row>
    <row r="290" spans="3:4" ht="15.75">
      <c r="C290" s="145"/>
      <c r="D290" s="145"/>
    </row>
    <row r="291" spans="3:4" ht="15.75">
      <c r="C291" s="145"/>
      <c r="D291" s="145"/>
    </row>
    <row r="292" spans="3:4" ht="15.75">
      <c r="C292" s="145"/>
      <c r="D292" s="145"/>
    </row>
    <row r="293" spans="3:4" ht="15.75">
      <c r="C293" s="145"/>
      <c r="D293" s="145"/>
    </row>
    <row r="294" spans="3:4" ht="15.75">
      <c r="C294" s="145"/>
      <c r="D294" s="145"/>
    </row>
    <row r="295" spans="3:4" ht="15.75">
      <c r="C295" s="145"/>
      <c r="D295" s="145"/>
    </row>
    <row r="296" spans="3:4" ht="15.75">
      <c r="C296" s="145"/>
      <c r="D296" s="145"/>
    </row>
    <row r="297" spans="3:4" ht="15.75">
      <c r="C297" s="145"/>
      <c r="D297" s="145"/>
    </row>
    <row r="298" spans="3:4" ht="15.75">
      <c r="C298" s="145"/>
      <c r="D298" s="145"/>
    </row>
    <row r="299" spans="3:4" ht="15.75">
      <c r="C299" s="145"/>
      <c r="D299" s="145"/>
    </row>
    <row r="300" spans="3:4" ht="15.75">
      <c r="C300" s="145"/>
      <c r="D300" s="145"/>
    </row>
    <row r="301" spans="3:4" ht="15.75">
      <c r="C301" s="145"/>
      <c r="D301" s="145"/>
    </row>
    <row r="302" spans="3:4" ht="15.75">
      <c r="C302" s="145"/>
      <c r="D302" s="145"/>
    </row>
    <row r="303" spans="3:4" ht="15.75">
      <c r="C303" s="145"/>
      <c r="D303" s="145"/>
    </row>
    <row r="304" spans="3:4" ht="15.75">
      <c r="C304" s="145"/>
      <c r="D304" s="145"/>
    </row>
    <row r="305" spans="3:4" ht="15.75">
      <c r="C305" s="145"/>
      <c r="D305" s="145"/>
    </row>
    <row r="306" spans="3:4" ht="15.75">
      <c r="C306" s="145"/>
      <c r="D306" s="145"/>
    </row>
    <row r="307" spans="3:4" ht="15.75">
      <c r="C307" s="145"/>
      <c r="D307" s="145"/>
    </row>
    <row r="308" spans="3:4" ht="15.75">
      <c r="C308" s="145"/>
      <c r="D308" s="145"/>
    </row>
    <row r="309" spans="3:4" ht="15.75">
      <c r="C309" s="145"/>
      <c r="D309" s="145"/>
    </row>
    <row r="310" spans="3:4" ht="15.75">
      <c r="C310" s="145"/>
      <c r="D310" s="145"/>
    </row>
    <row r="311" spans="3:4" ht="15.75">
      <c r="C311" s="145"/>
      <c r="D311" s="145"/>
    </row>
    <row r="312" spans="3:4" ht="15.75">
      <c r="C312" s="145"/>
      <c r="D312" s="145"/>
    </row>
    <row r="313" spans="3:4" ht="15.75">
      <c r="C313" s="145"/>
      <c r="D313" s="145"/>
    </row>
    <row r="314" spans="3:4" ht="15.75">
      <c r="C314" s="145"/>
      <c r="D314" s="145"/>
    </row>
    <row r="315" spans="3:4" ht="15.75">
      <c r="C315" s="145"/>
      <c r="D315" s="145"/>
    </row>
    <row r="316" spans="3:4" ht="15.75">
      <c r="C316" s="145"/>
      <c r="D316" s="145"/>
    </row>
    <row r="317" spans="3:4" ht="15.75">
      <c r="C317" s="145"/>
      <c r="D317" s="145"/>
    </row>
    <row r="318" spans="3:4" ht="15.75">
      <c r="C318" s="145"/>
      <c r="D318" s="145"/>
    </row>
    <row r="319" spans="3:4" ht="15.75">
      <c r="C319" s="145"/>
      <c r="D319" s="145"/>
    </row>
    <row r="320" spans="3:4" ht="15.75">
      <c r="C320" s="145"/>
      <c r="D320" s="145"/>
    </row>
    <row r="321" spans="3:4" ht="15.75">
      <c r="C321" s="145"/>
      <c r="D321" s="145"/>
    </row>
    <row r="322" spans="3:4" ht="15.75">
      <c r="C322" s="145"/>
      <c r="D322" s="145"/>
    </row>
    <row r="323" spans="3:4" ht="15.75">
      <c r="C323" s="145"/>
      <c r="D323" s="145"/>
    </row>
    <row r="324" spans="3:4" ht="15.75">
      <c r="C324" s="145"/>
      <c r="D324" s="145"/>
    </row>
    <row r="325" spans="3:4" ht="15.75">
      <c r="C325" s="145"/>
      <c r="D325" s="145"/>
    </row>
    <row r="326" spans="3:4" ht="15.75">
      <c r="C326" s="145"/>
      <c r="D326" s="145"/>
    </row>
    <row r="327" spans="3:4" ht="15.75">
      <c r="C327" s="145"/>
      <c r="D327" s="145"/>
    </row>
    <row r="328" spans="3:4" ht="15.75">
      <c r="C328" s="145"/>
      <c r="D328" s="145"/>
    </row>
    <row r="329" spans="3:4" ht="15.75">
      <c r="C329" s="145"/>
      <c r="D329" s="145"/>
    </row>
    <row r="330" spans="3:4" ht="15.75">
      <c r="C330" s="145"/>
      <c r="D330" s="145"/>
    </row>
    <row r="331" spans="3:4" ht="15.75">
      <c r="C331" s="145"/>
      <c r="D331" s="145"/>
    </row>
    <row r="332" spans="3:4" ht="15.75">
      <c r="C332" s="145"/>
      <c r="D332" s="145"/>
    </row>
    <row r="333" spans="3:4" ht="15.75">
      <c r="C333" s="145"/>
      <c r="D333" s="145"/>
    </row>
    <row r="334" spans="3:4" ht="15.75">
      <c r="C334" s="145"/>
      <c r="D334" s="145"/>
    </row>
    <row r="335" spans="3:4" ht="15.75">
      <c r="C335" s="145"/>
      <c r="D335" s="145"/>
    </row>
    <row r="336" spans="3:4" ht="15.75">
      <c r="C336" s="145"/>
      <c r="D336" s="145"/>
    </row>
    <row r="337" spans="3:4" ht="15.75">
      <c r="C337" s="145"/>
      <c r="D337" s="145"/>
    </row>
    <row r="338" spans="3:4" ht="15.75">
      <c r="C338" s="145"/>
      <c r="D338" s="145"/>
    </row>
    <row r="339" spans="3:4" ht="15.75">
      <c r="C339" s="145"/>
      <c r="D339" s="145"/>
    </row>
    <row r="340" spans="3:4" ht="15.75">
      <c r="C340" s="145"/>
      <c r="D340" s="145"/>
    </row>
    <row r="341" spans="3:4" ht="15.75">
      <c r="C341" s="145"/>
      <c r="D341" s="145"/>
    </row>
    <row r="342" spans="3:4" ht="15.75">
      <c r="C342" s="145"/>
      <c r="D342" s="145"/>
    </row>
    <row r="343" spans="3:4" ht="15.75">
      <c r="C343" s="145"/>
      <c r="D343" s="145"/>
    </row>
    <row r="344" spans="3:4" ht="15.75">
      <c r="C344" s="145"/>
      <c r="D344" s="145"/>
    </row>
    <row r="345" spans="3:4" ht="15.75">
      <c r="C345" s="145"/>
      <c r="D345" s="145"/>
    </row>
    <row r="346" spans="3:4" ht="15.75">
      <c r="C346" s="145"/>
      <c r="D346" s="145"/>
    </row>
    <row r="347" spans="3:4" ht="15.75">
      <c r="C347" s="145"/>
      <c r="D347" s="145"/>
    </row>
    <row r="348" spans="3:4" ht="15.75">
      <c r="C348" s="145"/>
      <c r="D348" s="145"/>
    </row>
    <row r="349" spans="3:4" ht="15.75">
      <c r="C349" s="145"/>
      <c r="D349" s="145"/>
    </row>
    <row r="350" spans="3:4" ht="15.75">
      <c r="C350" s="145"/>
      <c r="D350" s="145"/>
    </row>
    <row r="351" spans="3:4" ht="15.75">
      <c r="C351" s="145"/>
      <c r="D351" s="145"/>
    </row>
    <row r="352" spans="3:4" ht="15.75">
      <c r="C352" s="145"/>
      <c r="D352" s="145"/>
    </row>
    <row r="353" spans="3:4" ht="15.75">
      <c r="C353" s="145"/>
      <c r="D353" s="145"/>
    </row>
    <row r="354" spans="3:4" ht="15.75">
      <c r="C354" s="145"/>
      <c r="D354" s="145"/>
    </row>
    <row r="355" spans="3:4" ht="15.75">
      <c r="C355" s="145"/>
      <c r="D355" s="145"/>
    </row>
    <row r="356" spans="3:4" ht="15.75">
      <c r="C356" s="145"/>
      <c r="D356" s="145"/>
    </row>
    <row r="357" spans="3:4" ht="15.75">
      <c r="C357" s="145"/>
      <c r="D357" s="145"/>
    </row>
    <row r="358" spans="3:4" ht="15.75">
      <c r="C358" s="145"/>
      <c r="D358" s="145"/>
    </row>
    <row r="359" spans="3:4" ht="15.75">
      <c r="C359" s="145"/>
      <c r="D359" s="145"/>
    </row>
    <row r="360" spans="3:4" ht="15.75">
      <c r="C360" s="145"/>
      <c r="D360" s="145"/>
    </row>
    <row r="361" spans="3:4" ht="15.75">
      <c r="C361" s="145"/>
      <c r="D361" s="145"/>
    </row>
    <row r="362" spans="3:4" ht="15.75">
      <c r="C362" s="145"/>
      <c r="D362" s="145"/>
    </row>
    <row r="363" spans="3:4" ht="15.75">
      <c r="C363" s="145"/>
      <c r="D363" s="145"/>
    </row>
    <row r="364" spans="3:4" ht="15.75">
      <c r="C364" s="145"/>
      <c r="D364" s="145"/>
    </row>
    <row r="365" spans="3:4" ht="15.75">
      <c r="C365" s="145"/>
      <c r="D365" s="145"/>
    </row>
    <row r="366" spans="3:4" ht="15.75">
      <c r="C366" s="145"/>
      <c r="D366" s="145"/>
    </row>
    <row r="367" spans="3:4" ht="15.75">
      <c r="C367" s="145"/>
      <c r="D367" s="145"/>
    </row>
    <row r="368" spans="3:4" ht="15.75">
      <c r="C368" s="145"/>
      <c r="D368" s="145"/>
    </row>
    <row r="369" spans="3:4" ht="15.75">
      <c r="C369" s="145"/>
      <c r="D369" s="145"/>
    </row>
    <row r="370" spans="3:4" ht="15.75">
      <c r="C370" s="145"/>
      <c r="D370" s="145"/>
    </row>
    <row r="371" spans="3:4" ht="15.75">
      <c r="C371" s="145"/>
      <c r="D371" s="145"/>
    </row>
    <row r="372" spans="3:4" ht="15.75">
      <c r="C372" s="145"/>
      <c r="D372" s="145"/>
    </row>
    <row r="373" spans="3:4" ht="15.75">
      <c r="C373" s="145"/>
      <c r="D373" s="145"/>
    </row>
    <row r="374" spans="3:4" ht="15.75">
      <c r="C374" s="145"/>
      <c r="D374" s="145"/>
    </row>
    <row r="375" spans="3:4" ht="15.75">
      <c r="C375" s="145"/>
      <c r="D375" s="145"/>
    </row>
    <row r="376" spans="3:4" ht="15.75">
      <c r="C376" s="145"/>
      <c r="D376" s="145"/>
    </row>
    <row r="377" spans="3:4" ht="15.75">
      <c r="C377" s="145"/>
      <c r="D377" s="145"/>
    </row>
    <row r="378" spans="3:4" ht="15.75">
      <c r="C378" s="145"/>
      <c r="D378" s="145"/>
    </row>
    <row r="379" spans="3:4" ht="15.75">
      <c r="C379" s="145"/>
      <c r="D379" s="145"/>
    </row>
    <row r="380" spans="3:4" ht="15.75">
      <c r="C380" s="145"/>
      <c r="D380" s="145"/>
    </row>
    <row r="381" spans="3:4" ht="15.75">
      <c r="C381" s="145"/>
      <c r="D381" s="145"/>
    </row>
    <row r="382" spans="3:4" ht="15.75">
      <c r="C382" s="145"/>
      <c r="D382" s="145"/>
    </row>
    <row r="383" spans="3:4" ht="15.75">
      <c r="C383" s="145"/>
      <c r="D383" s="145"/>
    </row>
    <row r="384" spans="3:4" ht="15.75">
      <c r="C384" s="145"/>
      <c r="D384" s="145"/>
    </row>
    <row r="385" spans="3:4" ht="15.75">
      <c r="C385" s="145"/>
      <c r="D385" s="145"/>
    </row>
    <row r="386" spans="3:4" ht="15.75">
      <c r="C386" s="145"/>
      <c r="D386" s="145"/>
    </row>
    <row r="387" spans="3:4" ht="15.75">
      <c r="C387" s="145"/>
      <c r="D387" s="145"/>
    </row>
    <row r="388" spans="3:4" ht="15.75">
      <c r="C388" s="145"/>
      <c r="D388" s="145"/>
    </row>
    <row r="389" spans="3:4" ht="15.75">
      <c r="C389" s="145"/>
      <c r="D389" s="145"/>
    </row>
    <row r="390" spans="3:4" ht="15.75">
      <c r="C390" s="145"/>
      <c r="D390" s="145"/>
    </row>
    <row r="391" spans="3:4" ht="15.75">
      <c r="C391" s="145"/>
      <c r="D391" s="145"/>
    </row>
    <row r="392" spans="3:4" ht="15.75">
      <c r="C392" s="145"/>
      <c r="D392" s="145"/>
    </row>
    <row r="393" spans="3:4" ht="15.75">
      <c r="C393" s="145"/>
      <c r="D393" s="145"/>
    </row>
    <row r="394" spans="3:4" ht="15.75">
      <c r="C394" s="145"/>
      <c r="D394" s="145"/>
    </row>
    <row r="395" spans="3:4" ht="15.75">
      <c r="C395" s="145"/>
      <c r="D395" s="145"/>
    </row>
    <row r="396" spans="3:4" ht="15.75">
      <c r="C396" s="145"/>
      <c r="D396" s="145"/>
    </row>
    <row r="397" spans="3:4" ht="15.75">
      <c r="C397" s="145"/>
      <c r="D397" s="145"/>
    </row>
    <row r="398" spans="3:4" ht="15.75">
      <c r="C398" s="145"/>
      <c r="D398" s="145"/>
    </row>
    <row r="399" spans="3:4" ht="15.75">
      <c r="C399" s="145"/>
      <c r="D399" s="145"/>
    </row>
    <row r="400" spans="3:4" ht="15.75">
      <c r="C400" s="145"/>
      <c r="D400" s="145"/>
    </row>
    <row r="401" spans="3:4" ht="15.75">
      <c r="C401" s="145"/>
      <c r="D401" s="145"/>
    </row>
    <row r="402" spans="3:4" ht="15.75">
      <c r="C402" s="145"/>
      <c r="D402" s="145"/>
    </row>
    <row r="403" spans="3:4" ht="15.75">
      <c r="C403" s="145"/>
      <c r="D403" s="145"/>
    </row>
    <row r="404" spans="3:4" ht="15.75">
      <c r="C404" s="145"/>
      <c r="D404" s="145"/>
    </row>
    <row r="405" spans="3:4" ht="15.75">
      <c r="C405" s="145"/>
      <c r="D405" s="145"/>
    </row>
    <row r="406" spans="3:4" ht="15.75">
      <c r="C406" s="145"/>
      <c r="D406" s="145"/>
    </row>
    <row r="407" spans="3:4" ht="15.75">
      <c r="C407" s="145"/>
      <c r="D407" s="145"/>
    </row>
    <row r="408" spans="3:4" ht="15.75">
      <c r="C408" s="145"/>
      <c r="D408" s="145"/>
    </row>
    <row r="409" spans="3:4" ht="15.75">
      <c r="C409" s="145"/>
      <c r="D409" s="145"/>
    </row>
    <row r="410" spans="3:4" ht="15.75">
      <c r="C410" s="145"/>
      <c r="D410" s="145"/>
    </row>
    <row r="411" spans="3:4" ht="15.75">
      <c r="C411" s="145"/>
      <c r="D411" s="145"/>
    </row>
    <row r="412" spans="3:4" ht="15.75">
      <c r="C412" s="145"/>
      <c r="D412" s="145"/>
    </row>
    <row r="413" spans="3:4" ht="15.75">
      <c r="C413" s="145"/>
      <c r="D413" s="145"/>
    </row>
    <row r="414" spans="3:4" ht="15.75">
      <c r="C414" s="145"/>
      <c r="D414" s="145"/>
    </row>
    <row r="415" spans="3:4" ht="15.75">
      <c r="C415" s="145"/>
      <c r="D415" s="145"/>
    </row>
    <row r="416" spans="3:4" ht="15.75">
      <c r="C416" s="145"/>
      <c r="D416" s="145"/>
    </row>
    <row r="417" spans="3:4" ht="15.75">
      <c r="C417" s="145"/>
      <c r="D417" s="145"/>
    </row>
    <row r="418" spans="3:4" ht="15.75">
      <c r="C418" s="145"/>
      <c r="D418" s="145"/>
    </row>
    <row r="419" spans="3:4" ht="15.75">
      <c r="C419" s="145"/>
      <c r="D419" s="145"/>
    </row>
    <row r="420" spans="3:4" ht="15.75">
      <c r="C420" s="145"/>
      <c r="D420" s="145"/>
    </row>
    <row r="421" spans="3:4" ht="15.75">
      <c r="C421" s="145"/>
      <c r="D421" s="145"/>
    </row>
    <row r="422" spans="3:4" ht="15.75">
      <c r="C422" s="145"/>
      <c r="D422" s="145"/>
    </row>
    <row r="423" spans="3:4" ht="15.75">
      <c r="C423" s="145"/>
      <c r="D423" s="145"/>
    </row>
    <row r="424" spans="3:4" ht="15.75">
      <c r="C424" s="145"/>
      <c r="D424" s="145"/>
    </row>
    <row r="425" spans="3:4" ht="15.75">
      <c r="C425" s="145"/>
      <c r="D425" s="145"/>
    </row>
    <row r="426" spans="3:4" ht="15.75">
      <c r="C426" s="145"/>
      <c r="D426" s="145"/>
    </row>
    <row r="427" spans="3:4" ht="15.75">
      <c r="C427" s="145"/>
      <c r="D427" s="145"/>
    </row>
    <row r="428" spans="3:4" ht="15.75">
      <c r="C428" s="145"/>
      <c r="D428" s="145"/>
    </row>
    <row r="429" spans="3:4" ht="15.75">
      <c r="C429" s="145"/>
      <c r="D429" s="145"/>
    </row>
    <row r="430" spans="3:4" ht="15.75">
      <c r="C430" s="145"/>
      <c r="D430" s="145"/>
    </row>
    <row r="431" spans="3:4" ht="15.75">
      <c r="C431" s="145"/>
      <c r="D431" s="145"/>
    </row>
    <row r="432" spans="3:4" ht="15.75">
      <c r="C432" s="145"/>
      <c r="D432" s="145"/>
    </row>
    <row r="433" spans="3:4" ht="15.75">
      <c r="C433" s="145"/>
      <c r="D433" s="145"/>
    </row>
    <row r="434" spans="3:4" ht="15.75">
      <c r="C434" s="145"/>
      <c r="D434" s="145"/>
    </row>
    <row r="435" spans="3:4" ht="15.75">
      <c r="C435" s="145"/>
      <c r="D435" s="145"/>
    </row>
    <row r="436" spans="3:4" ht="15.75">
      <c r="C436" s="145"/>
      <c r="D436" s="145"/>
    </row>
    <row r="437" spans="3:4" ht="15.75">
      <c r="C437" s="145"/>
      <c r="D437" s="145"/>
    </row>
    <row r="438" spans="3:4" ht="15.75">
      <c r="C438" s="145"/>
      <c r="D438" s="145"/>
    </row>
    <row r="439" spans="3:4" ht="15.75">
      <c r="C439" s="145"/>
      <c r="D439" s="145"/>
    </row>
    <row r="440" spans="3:4" ht="15.75">
      <c r="C440" s="145"/>
      <c r="D440" s="145"/>
    </row>
    <row r="441" spans="3:4" ht="15.75">
      <c r="C441" s="145"/>
      <c r="D441" s="145"/>
    </row>
    <row r="442" spans="3:4" ht="15.75">
      <c r="C442" s="145"/>
      <c r="D442" s="145"/>
    </row>
    <row r="443" spans="3:4" ht="15.75">
      <c r="C443" s="145"/>
      <c r="D443" s="145"/>
    </row>
    <row r="444" spans="3:4" ht="15.75">
      <c r="C444" s="145"/>
      <c r="D444" s="145"/>
    </row>
    <row r="445" spans="3:4" ht="15.75">
      <c r="C445" s="145"/>
      <c r="D445" s="145"/>
    </row>
    <row r="446" spans="3:4" ht="15.75">
      <c r="C446" s="145"/>
      <c r="D446" s="145"/>
    </row>
    <row r="447" spans="3:4" ht="15.75">
      <c r="C447" s="145"/>
      <c r="D447" s="145"/>
    </row>
    <row r="448" spans="3:4" ht="15.75">
      <c r="C448" s="145"/>
      <c r="D448" s="145"/>
    </row>
    <row r="449" spans="3:4" ht="15.75">
      <c r="C449" s="145"/>
      <c r="D449" s="145"/>
    </row>
    <row r="450" spans="3:4" ht="15.75">
      <c r="C450" s="145"/>
      <c r="D450" s="145"/>
    </row>
    <row r="451" spans="3:4" ht="15.75">
      <c r="C451" s="145"/>
      <c r="D451" s="145"/>
    </row>
    <row r="452" spans="3:4" ht="15.75">
      <c r="C452" s="145"/>
      <c r="D452" s="145"/>
    </row>
    <row r="453" spans="3:4" ht="15.75">
      <c r="C453" s="145"/>
      <c r="D453" s="145"/>
    </row>
    <row r="454" spans="3:4" ht="15.75">
      <c r="C454" s="145"/>
      <c r="D454" s="145"/>
    </row>
    <row r="455" spans="3:4" ht="15.75">
      <c r="C455" s="145"/>
      <c r="D455" s="145"/>
    </row>
    <row r="456" spans="3:4" ht="15.75">
      <c r="C456" s="145"/>
      <c r="D456" s="145"/>
    </row>
    <row r="457" spans="3:4" ht="15.75">
      <c r="C457" s="145"/>
      <c r="D457" s="145"/>
    </row>
    <row r="458" spans="3:4" ht="15.75">
      <c r="C458" s="145"/>
      <c r="D458" s="145"/>
    </row>
    <row r="459" spans="3:4" ht="15.75">
      <c r="C459" s="145"/>
      <c r="D459" s="145"/>
    </row>
    <row r="460" spans="3:4" ht="15.75">
      <c r="C460" s="145"/>
      <c r="D460" s="145"/>
    </row>
    <row r="461" spans="3:4" ht="15.75">
      <c r="C461" s="145"/>
      <c r="D461" s="145"/>
    </row>
    <row r="462" spans="3:4" ht="15.75">
      <c r="C462" s="145"/>
      <c r="D462" s="145"/>
    </row>
    <row r="463" spans="3:4" ht="15.75">
      <c r="C463" s="145"/>
      <c r="D463" s="145"/>
    </row>
    <row r="464" spans="3:4" ht="15.75">
      <c r="C464" s="145"/>
      <c r="D464" s="145"/>
    </row>
    <row r="465" spans="3:4" ht="15.75">
      <c r="C465" s="145"/>
      <c r="D465" s="145"/>
    </row>
    <row r="466" spans="3:4" ht="15.75">
      <c r="C466" s="145"/>
      <c r="D466" s="145"/>
    </row>
    <row r="467" spans="3:4" ht="15.75">
      <c r="C467" s="145"/>
      <c r="D467" s="145"/>
    </row>
    <row r="468" spans="3:4" ht="15.75">
      <c r="C468" s="145"/>
      <c r="D468" s="145"/>
    </row>
    <row r="469" spans="3:4" ht="15.75">
      <c r="C469" s="145"/>
      <c r="D469" s="145"/>
    </row>
    <row r="470" spans="3:4" ht="15.75">
      <c r="C470" s="145"/>
      <c r="D470" s="145"/>
    </row>
    <row r="471" spans="3:4" ht="15.75">
      <c r="C471" s="145"/>
      <c r="D471" s="145"/>
    </row>
    <row r="472" spans="3:4" ht="15.75">
      <c r="C472" s="145"/>
      <c r="D472" s="145"/>
    </row>
    <row r="473" spans="3:4" ht="15.75">
      <c r="C473" s="145"/>
      <c r="D473" s="145"/>
    </row>
    <row r="474" spans="3:4" ht="15.75">
      <c r="C474" s="145"/>
      <c r="D474" s="145"/>
    </row>
    <row r="475" spans="3:4" ht="15.75">
      <c r="C475" s="145"/>
      <c r="D475" s="145"/>
    </row>
    <row r="476" spans="3:4" ht="15.75">
      <c r="C476" s="145"/>
      <c r="D476" s="145"/>
    </row>
    <row r="477" spans="3:4" ht="15.75">
      <c r="C477" s="145"/>
      <c r="D477" s="145"/>
    </row>
    <row r="478" spans="3:4" ht="15.75">
      <c r="C478" s="145"/>
      <c r="D478" s="145"/>
    </row>
    <row r="479" spans="3:4" ht="15.75">
      <c r="C479" s="145"/>
      <c r="D479" s="145"/>
    </row>
    <row r="480" spans="3:4" ht="15.75">
      <c r="C480" s="145"/>
      <c r="D480" s="145"/>
    </row>
    <row r="481" spans="3:4" ht="15.75">
      <c r="C481" s="145"/>
      <c r="D481" s="145"/>
    </row>
    <row r="482" spans="3:4" ht="15.75">
      <c r="C482" s="145"/>
      <c r="D482" s="145"/>
    </row>
    <row r="483" spans="3:4" ht="15.75">
      <c r="C483" s="145"/>
      <c r="D483" s="145"/>
    </row>
    <row r="484" spans="3:4" ht="15.75">
      <c r="C484" s="145"/>
      <c r="D484" s="145"/>
    </row>
    <row r="485" spans="3:4" ht="15.75">
      <c r="C485" s="145"/>
      <c r="D485" s="145"/>
    </row>
    <row r="486" spans="3:4" ht="15.75">
      <c r="C486" s="145"/>
      <c r="D486" s="145"/>
    </row>
    <row r="487" spans="3:4" ht="15.75">
      <c r="C487" s="145"/>
      <c r="D487" s="145"/>
    </row>
    <row r="488" spans="3:4" ht="15.75">
      <c r="C488" s="145"/>
      <c r="D488" s="145"/>
    </row>
    <row r="489" spans="3:4" ht="15.75">
      <c r="C489" s="145"/>
      <c r="D489" s="145"/>
    </row>
    <row r="490" spans="3:4" ht="15.75">
      <c r="C490" s="145"/>
      <c r="D490" s="145"/>
    </row>
    <row r="491" spans="3:4" ht="15.75">
      <c r="C491" s="145"/>
      <c r="D491" s="145"/>
    </row>
    <row r="492" spans="3:4" ht="15.75">
      <c r="C492" s="145"/>
      <c r="D492" s="145"/>
    </row>
    <row r="493" spans="3:4" ht="15.75">
      <c r="C493" s="145"/>
      <c r="D493" s="145"/>
    </row>
    <row r="494" spans="3:4" ht="15.75">
      <c r="C494" s="145"/>
      <c r="D494" s="145"/>
    </row>
    <row r="495" spans="3:4" ht="15.75">
      <c r="C495" s="145"/>
      <c r="D495" s="145"/>
    </row>
    <row r="496" spans="3:4" ht="15.75">
      <c r="C496" s="145"/>
      <c r="D496" s="145"/>
    </row>
    <row r="497" spans="3:4" ht="15.75">
      <c r="C497" s="145"/>
      <c r="D497" s="145"/>
    </row>
    <row r="498" spans="3:4" ht="15.75">
      <c r="C498" s="145"/>
      <c r="D498" s="145"/>
    </row>
    <row r="499" spans="3:4" ht="15.75">
      <c r="C499" s="145"/>
      <c r="D499" s="145"/>
    </row>
    <row r="500" spans="3:4" ht="15.75">
      <c r="C500" s="145"/>
      <c r="D500" s="145"/>
    </row>
    <row r="501" spans="3:4" ht="15.75">
      <c r="C501" s="145"/>
      <c r="D501" s="145"/>
    </row>
    <row r="502" spans="3:4" ht="15.75">
      <c r="C502" s="145"/>
      <c r="D502" s="145"/>
    </row>
    <row r="503" spans="3:4" ht="15.75">
      <c r="C503" s="145"/>
      <c r="D503" s="145"/>
    </row>
    <row r="504" spans="3:4" ht="15.75">
      <c r="C504" s="145"/>
      <c r="D504" s="145"/>
    </row>
    <row r="505" spans="3:4" ht="15.75">
      <c r="C505" s="145"/>
      <c r="D505" s="145"/>
    </row>
    <row r="506" spans="3:4" ht="15.75">
      <c r="C506" s="145"/>
      <c r="D506" s="145"/>
    </row>
    <row r="507" spans="3:4" ht="15.75">
      <c r="C507" s="145"/>
      <c r="D507" s="145"/>
    </row>
    <row r="508" spans="3:4" ht="15.75">
      <c r="C508" s="145"/>
      <c r="D508" s="145"/>
    </row>
    <row r="509" spans="3:4" ht="15.75">
      <c r="C509" s="145"/>
      <c r="D509" s="145"/>
    </row>
    <row r="510" spans="3:4" ht="15.75">
      <c r="C510" s="145"/>
      <c r="D510" s="145"/>
    </row>
    <row r="511" spans="3:4" ht="15.75">
      <c r="C511" s="145"/>
      <c r="D511" s="145"/>
    </row>
    <row r="512" spans="3:4" ht="15.75">
      <c r="C512" s="145"/>
      <c r="D512" s="145"/>
    </row>
    <row r="513" spans="3:4" ht="15.75">
      <c r="C513" s="145"/>
      <c r="D513" s="145"/>
    </row>
    <row r="514" spans="3:4" ht="15.75">
      <c r="C514" s="145"/>
      <c r="D514" s="145"/>
    </row>
    <row r="515" spans="3:4" ht="15.75">
      <c r="C515" s="145"/>
      <c r="D515" s="145"/>
    </row>
    <row r="516" spans="3:4" ht="15.75">
      <c r="C516" s="145"/>
      <c r="D516" s="145"/>
    </row>
    <row r="517" spans="3:4" ht="15.75">
      <c r="C517" s="145"/>
      <c r="D517" s="145"/>
    </row>
    <row r="518" spans="3:4" ht="15.75">
      <c r="C518" s="145"/>
      <c r="D518" s="145"/>
    </row>
    <row r="519" spans="3:4" ht="15.75">
      <c r="C519" s="145"/>
      <c r="D519" s="145"/>
    </row>
    <row r="520" spans="3:4" ht="15.75">
      <c r="C520" s="145"/>
      <c r="D520" s="145"/>
    </row>
    <row r="521" spans="3:4" ht="15.75">
      <c r="C521" s="145"/>
      <c r="D521" s="145"/>
    </row>
    <row r="522" spans="3:4" ht="15.75">
      <c r="C522" s="145"/>
      <c r="D522" s="145"/>
    </row>
    <row r="523" spans="3:4" ht="15.75">
      <c r="C523" s="145"/>
      <c r="D523" s="145"/>
    </row>
    <row r="524" spans="3:4" ht="15.75">
      <c r="C524" s="145"/>
      <c r="D524" s="145"/>
    </row>
    <row r="525" spans="3:4" ht="15.75">
      <c r="C525" s="145"/>
      <c r="D525" s="145"/>
    </row>
    <row r="526" spans="3:4" ht="15.75">
      <c r="C526" s="145"/>
      <c r="D526" s="145"/>
    </row>
    <row r="527" spans="3:4" ht="15.75">
      <c r="C527" s="145"/>
      <c r="D527" s="145"/>
    </row>
    <row r="528" spans="3:4" ht="15.75">
      <c r="C528" s="145"/>
      <c r="D528" s="145"/>
    </row>
    <row r="529" spans="3:4" ht="15.75">
      <c r="C529" s="145"/>
      <c r="D529" s="145"/>
    </row>
    <row r="530" spans="3:4" ht="15.75">
      <c r="C530" s="145"/>
      <c r="D530" s="145"/>
    </row>
    <row r="531" spans="3:4" ht="15.75">
      <c r="C531" s="145"/>
      <c r="D531" s="145"/>
    </row>
    <row r="532" spans="3:4" ht="15.75">
      <c r="C532" s="145"/>
      <c r="D532" s="145"/>
    </row>
    <row r="533" spans="3:4" ht="15.75">
      <c r="C533" s="145"/>
      <c r="D533" s="145"/>
    </row>
    <row r="534" spans="3:4" ht="15.75">
      <c r="C534" s="145"/>
      <c r="D534" s="145"/>
    </row>
    <row r="535" spans="3:4" ht="15.75">
      <c r="C535" s="145"/>
      <c r="D535" s="145"/>
    </row>
    <row r="536" spans="3:4" ht="15.75">
      <c r="C536" s="145"/>
      <c r="D536" s="145"/>
    </row>
    <row r="537" spans="3:4" ht="15.75">
      <c r="C537" s="145"/>
      <c r="D537" s="145"/>
    </row>
    <row r="538" spans="3:4" ht="15.75">
      <c r="C538" s="145"/>
      <c r="D538" s="145"/>
    </row>
    <row r="539" spans="3:4" ht="15.75">
      <c r="C539" s="145"/>
      <c r="D539" s="145"/>
    </row>
    <row r="540" spans="3:4" ht="15.75">
      <c r="C540" s="145"/>
      <c r="D540" s="145"/>
    </row>
    <row r="541" spans="3:4" ht="15.75">
      <c r="C541" s="145"/>
      <c r="D541" s="145"/>
    </row>
    <row r="542" spans="3:4" ht="15.75">
      <c r="C542" s="145"/>
      <c r="D542" s="145"/>
    </row>
    <row r="543" spans="3:4" ht="15.75">
      <c r="C543" s="145"/>
      <c r="D543" s="145"/>
    </row>
    <row r="544" spans="3:4" ht="15.75">
      <c r="C544" s="145"/>
      <c r="D544" s="145"/>
    </row>
    <row r="545" spans="3:4" ht="15.75">
      <c r="C545" s="145"/>
      <c r="D545" s="145"/>
    </row>
    <row r="546" spans="3:4" ht="15.75">
      <c r="C546" s="145"/>
      <c r="D546" s="145"/>
    </row>
    <row r="547" spans="3:4" ht="15.75">
      <c r="C547" s="145"/>
      <c r="D547" s="145"/>
    </row>
    <row r="548" spans="3:4" ht="15.75">
      <c r="C548" s="145"/>
      <c r="D548" s="145"/>
    </row>
    <row r="549" spans="3:4" ht="15.75">
      <c r="C549" s="145"/>
      <c r="D549" s="145"/>
    </row>
    <row r="550" spans="3:4" ht="15.75">
      <c r="C550" s="145"/>
      <c r="D550" s="145"/>
    </row>
    <row r="551" spans="3:4" ht="15.75">
      <c r="C551" s="145"/>
      <c r="D551" s="145"/>
    </row>
    <row r="552" spans="3:4" ht="15.75">
      <c r="C552" s="145"/>
      <c r="D552" s="145"/>
    </row>
    <row r="553" spans="3:4" ht="15.75">
      <c r="C553" s="145"/>
      <c r="D553" s="145"/>
    </row>
    <row r="554" spans="3:4" ht="15.75">
      <c r="C554" s="145"/>
      <c r="D554" s="145"/>
    </row>
    <row r="555" spans="3:4" ht="15.75">
      <c r="C555" s="145"/>
      <c r="D555" s="145"/>
    </row>
    <row r="556" spans="3:4" ht="15.75">
      <c r="C556" s="145"/>
      <c r="D556" s="145"/>
    </row>
    <row r="557" spans="3:4" ht="15.75">
      <c r="C557" s="145"/>
      <c r="D557" s="145"/>
    </row>
    <row r="558" spans="3:4" ht="15.75">
      <c r="C558" s="145"/>
      <c r="D558" s="145"/>
    </row>
    <row r="559" spans="3:4" ht="15.75">
      <c r="C559" s="145"/>
      <c r="D559" s="145"/>
    </row>
    <row r="560" spans="3:4" ht="15.75">
      <c r="C560" s="145"/>
      <c r="D560" s="145"/>
    </row>
    <row r="561" spans="3:4" ht="15.75">
      <c r="C561" s="145"/>
      <c r="D561" s="145"/>
    </row>
    <row r="562" spans="3:4" ht="15.75">
      <c r="C562" s="145"/>
      <c r="D562" s="145"/>
    </row>
    <row r="563" spans="3:4" ht="15.75">
      <c r="C563" s="145"/>
      <c r="D563" s="145"/>
    </row>
    <row r="564" spans="3:4" ht="15.75">
      <c r="C564" s="145"/>
      <c r="D564" s="145"/>
    </row>
    <row r="565" spans="3:4" ht="15.75">
      <c r="C565" s="145"/>
      <c r="D565" s="145"/>
    </row>
    <row r="566" spans="3:4" ht="15.75">
      <c r="C566" s="145"/>
      <c r="D566" s="145"/>
    </row>
    <row r="567" spans="3:4" ht="15.75">
      <c r="C567" s="145"/>
      <c r="D567" s="145"/>
    </row>
    <row r="568" spans="3:4" ht="15.75">
      <c r="C568" s="145"/>
      <c r="D568" s="145"/>
    </row>
    <row r="569" spans="3:4" ht="15.75">
      <c r="C569" s="145"/>
      <c r="D569" s="145"/>
    </row>
    <row r="570" spans="3:4" ht="15.75">
      <c r="C570" s="145"/>
      <c r="D570" s="145"/>
    </row>
    <row r="571" spans="3:4" ht="15.75">
      <c r="C571" s="145"/>
      <c r="D571" s="145"/>
    </row>
    <row r="572" spans="3:4" ht="15.75">
      <c r="C572" s="145"/>
      <c r="D572" s="145"/>
    </row>
    <row r="573" spans="3:4" ht="15.75">
      <c r="C573" s="145"/>
      <c r="D573" s="145"/>
    </row>
    <row r="574" spans="3:4" ht="15.75">
      <c r="C574" s="145"/>
      <c r="D574" s="145"/>
    </row>
    <row r="575" spans="3:4" ht="15.75">
      <c r="C575" s="145"/>
      <c r="D575" s="145"/>
    </row>
    <row r="576" spans="3:4" ht="15.75">
      <c r="C576" s="145"/>
      <c r="D576" s="145"/>
    </row>
    <row r="577" spans="3:4" ht="15.75">
      <c r="C577" s="145"/>
      <c r="D577" s="145"/>
    </row>
    <row r="578" spans="3:4" ht="15.75">
      <c r="C578" s="145"/>
      <c r="D578" s="145"/>
    </row>
    <row r="579" spans="3:4" ht="15.75">
      <c r="C579" s="145"/>
      <c r="D579" s="145"/>
    </row>
    <row r="580" spans="3:4" ht="15.75">
      <c r="C580" s="145"/>
      <c r="D580" s="145"/>
    </row>
    <row r="581" spans="3:4" ht="15.75">
      <c r="C581" s="145"/>
      <c r="D581" s="145"/>
    </row>
    <row r="582" spans="3:4" ht="15.75">
      <c r="C582" s="145"/>
      <c r="D582" s="145"/>
    </row>
    <row r="583" spans="3:4" ht="15.75">
      <c r="C583" s="145"/>
      <c r="D583" s="145"/>
    </row>
    <row r="584" spans="3:4" ht="15.75">
      <c r="C584" s="145"/>
      <c r="D584" s="145"/>
    </row>
    <row r="585" spans="3:4" ht="15.75">
      <c r="C585" s="145"/>
      <c r="D585" s="145"/>
    </row>
    <row r="586" spans="3:4" ht="15.75">
      <c r="C586" s="145"/>
      <c r="D586" s="145"/>
    </row>
    <row r="587" spans="3:4" ht="15.75">
      <c r="C587" s="145"/>
      <c r="D587" s="145"/>
    </row>
    <row r="588" spans="3:4" ht="15.75">
      <c r="C588" s="145"/>
      <c r="D588" s="145"/>
    </row>
    <row r="589" spans="3:4" ht="15.75">
      <c r="C589" s="145"/>
      <c r="D589" s="145"/>
    </row>
    <row r="590" spans="3:4" ht="15.75">
      <c r="C590" s="145"/>
      <c r="D590" s="145"/>
    </row>
    <row r="591" spans="3:4" ht="15.75">
      <c r="C591" s="145"/>
      <c r="D591" s="145"/>
    </row>
    <row r="592" spans="3:4" ht="15.75">
      <c r="C592" s="145"/>
      <c r="D592" s="145"/>
    </row>
    <row r="593" spans="3:4" ht="15.75">
      <c r="C593" s="145"/>
      <c r="D593" s="145"/>
    </row>
    <row r="594" spans="3:4" ht="15.75">
      <c r="C594" s="145"/>
      <c r="D594" s="145"/>
    </row>
    <row r="595" spans="3:4" ht="15.75">
      <c r="C595" s="145"/>
      <c r="D595" s="145"/>
    </row>
    <row r="596" spans="3:4" ht="15.75">
      <c r="C596" s="145"/>
      <c r="D596" s="145"/>
    </row>
    <row r="597" spans="3:4" ht="15.75">
      <c r="C597" s="145"/>
      <c r="D597" s="145"/>
    </row>
    <row r="598" spans="3:4" ht="15.75">
      <c r="C598" s="145"/>
      <c r="D598" s="145"/>
    </row>
    <row r="599" spans="3:4" ht="15.75">
      <c r="C599" s="145"/>
      <c r="D599" s="145"/>
    </row>
    <row r="600" spans="3:4" ht="15.75">
      <c r="C600" s="145"/>
      <c r="D600" s="145"/>
    </row>
    <row r="601" spans="3:4" ht="15.75">
      <c r="C601" s="145"/>
      <c r="D601" s="145"/>
    </row>
    <row r="602" spans="3:4" ht="15.75">
      <c r="C602" s="145"/>
      <c r="D602" s="145"/>
    </row>
    <row r="603" spans="3:4" ht="15.75">
      <c r="C603" s="145"/>
      <c r="D603" s="145"/>
    </row>
    <row r="604" spans="3:4" ht="15.75">
      <c r="C604" s="145"/>
      <c r="D604" s="145"/>
    </row>
    <row r="605" spans="3:4" ht="15.75">
      <c r="C605" s="145"/>
      <c r="D605" s="145"/>
    </row>
    <row r="606" spans="3:4" ht="15.75">
      <c r="C606" s="145"/>
      <c r="D606" s="145"/>
    </row>
    <row r="607" spans="3:4" ht="15.75">
      <c r="C607" s="145"/>
      <c r="D607" s="145"/>
    </row>
    <row r="608" spans="3:4" ht="15.75">
      <c r="C608" s="145"/>
      <c r="D608" s="145"/>
    </row>
    <row r="609" spans="3:4" ht="15.75">
      <c r="C609" s="145"/>
      <c r="D609" s="145"/>
    </row>
    <row r="610" spans="3:4" ht="15.75">
      <c r="C610" s="145"/>
      <c r="D610" s="145"/>
    </row>
    <row r="611" spans="3:4" ht="15.75">
      <c r="C611" s="145"/>
      <c r="D611" s="145"/>
    </row>
    <row r="612" spans="3:4" ht="15.75">
      <c r="C612" s="145"/>
      <c r="D612" s="145"/>
    </row>
    <row r="613" spans="3:4" ht="15.75">
      <c r="C613" s="145"/>
      <c r="D613" s="145"/>
    </row>
    <row r="614" spans="3:4" ht="15.75">
      <c r="C614" s="145"/>
      <c r="D614" s="145"/>
    </row>
    <row r="615" spans="3:4" ht="15.75">
      <c r="C615" s="145"/>
      <c r="D615" s="145"/>
    </row>
    <row r="616" spans="3:4" ht="15.75">
      <c r="C616" s="145"/>
      <c r="D616" s="145"/>
    </row>
    <row r="617" spans="3:4" ht="15.75">
      <c r="C617" s="145"/>
      <c r="D617" s="145"/>
    </row>
    <row r="618" spans="3:4" ht="15.75">
      <c r="C618" s="145"/>
      <c r="D618" s="145"/>
    </row>
    <row r="619" spans="3:4" ht="15.75">
      <c r="C619" s="145"/>
      <c r="D619" s="145"/>
    </row>
    <row r="620" spans="3:4" ht="15.75">
      <c r="C620" s="145"/>
      <c r="D620" s="145"/>
    </row>
    <row r="621" spans="3:4" ht="15.75">
      <c r="C621" s="145"/>
      <c r="D621" s="145"/>
    </row>
    <row r="622" spans="3:4" ht="15.75">
      <c r="C622" s="145"/>
      <c r="D622" s="145"/>
    </row>
    <row r="623" spans="3:4" ht="15.75">
      <c r="C623" s="145"/>
      <c r="D623" s="145"/>
    </row>
    <row r="624" spans="3:4" ht="15.75">
      <c r="C624" s="145"/>
      <c r="D624" s="145"/>
    </row>
    <row r="625" spans="3:4" ht="15.75">
      <c r="C625" s="145"/>
      <c r="D625" s="145"/>
    </row>
    <row r="626" spans="3:4" ht="15.75">
      <c r="C626" s="145"/>
      <c r="D626" s="145"/>
    </row>
    <row r="627" spans="3:4" ht="15.75">
      <c r="C627" s="145"/>
      <c r="D627" s="145"/>
    </row>
    <row r="628" spans="3:4" ht="15.75">
      <c r="C628" s="145"/>
      <c r="D628" s="145"/>
    </row>
    <row r="629" spans="3:4" ht="15.75">
      <c r="C629" s="145"/>
      <c r="D629" s="145"/>
    </row>
    <row r="630" spans="3:4" ht="15.75">
      <c r="C630" s="145"/>
      <c r="D630" s="145"/>
    </row>
    <row r="631" spans="3:4" ht="15.75">
      <c r="C631" s="145"/>
      <c r="D631" s="145"/>
    </row>
    <row r="632" spans="3:4" ht="15.75">
      <c r="C632" s="145"/>
      <c r="D632" s="145"/>
    </row>
    <row r="633" spans="3:4" ht="15.75">
      <c r="C633" s="145"/>
      <c r="D633" s="145"/>
    </row>
    <row r="634" spans="3:4" ht="15.75">
      <c r="C634" s="145"/>
      <c r="D634" s="145"/>
    </row>
    <row r="635" spans="3:4" ht="15.75">
      <c r="C635" s="145"/>
      <c r="D635" s="145"/>
    </row>
    <row r="636" spans="3:4" ht="15.75">
      <c r="C636" s="145"/>
      <c r="D636" s="145"/>
    </row>
    <row r="637" spans="3:4" ht="15.75">
      <c r="C637" s="145"/>
      <c r="D637" s="145"/>
    </row>
    <row r="638" spans="3:4" ht="15.75">
      <c r="C638" s="145"/>
      <c r="D638" s="145"/>
    </row>
    <row r="639" spans="3:4" ht="15.75">
      <c r="C639" s="145"/>
      <c r="D639" s="145"/>
    </row>
    <row r="640" spans="3:4" ht="15.75">
      <c r="C640" s="145"/>
      <c r="D640" s="145"/>
    </row>
    <row r="641" spans="3:4" ht="15.75">
      <c r="C641" s="145"/>
      <c r="D641" s="145"/>
    </row>
    <row r="642" spans="3:4" ht="15.75">
      <c r="C642" s="145"/>
      <c r="D642" s="145"/>
    </row>
    <row r="643" spans="3:4" ht="15.75">
      <c r="C643" s="145"/>
      <c r="D643" s="145"/>
    </row>
    <row r="644" spans="3:4" ht="15.75">
      <c r="C644" s="145"/>
      <c r="D644" s="145"/>
    </row>
    <row r="645" spans="3:4" ht="15.75">
      <c r="C645" s="145"/>
      <c r="D645" s="145"/>
    </row>
    <row r="646" spans="3:4" ht="15.75">
      <c r="C646" s="145"/>
      <c r="D646" s="145"/>
    </row>
    <row r="647" spans="3:4" ht="15.75">
      <c r="C647" s="145"/>
      <c r="D647" s="145"/>
    </row>
    <row r="648" spans="3:4" ht="15.75">
      <c r="C648" s="145"/>
      <c r="D648" s="145"/>
    </row>
    <row r="649" spans="3:4" ht="15.75">
      <c r="C649" s="145"/>
      <c r="D649" s="145"/>
    </row>
    <row r="650" spans="3:4" ht="15.75">
      <c r="C650" s="145"/>
      <c r="D650" s="145"/>
    </row>
    <row r="651" spans="3:4" ht="15.75">
      <c r="C651" s="145"/>
      <c r="D651" s="145"/>
    </row>
    <row r="652" spans="3:4" ht="15.75">
      <c r="C652" s="145"/>
      <c r="D652" s="145"/>
    </row>
    <row r="653" spans="3:4" ht="15.75">
      <c r="C653" s="145"/>
      <c r="D653" s="145"/>
    </row>
    <row r="654" spans="3:4" ht="15.75">
      <c r="C654" s="145"/>
      <c r="D654" s="145"/>
    </row>
    <row r="655" spans="3:4" ht="15.75">
      <c r="C655" s="145"/>
      <c r="D655" s="145"/>
    </row>
    <row r="656" spans="3:4" ht="15.75">
      <c r="C656" s="145"/>
      <c r="D656" s="145"/>
    </row>
    <row r="657" spans="3:4" ht="15.75">
      <c r="C657" s="145"/>
      <c r="D657" s="145"/>
    </row>
    <row r="658" spans="3:4" ht="15.75">
      <c r="C658" s="145"/>
      <c r="D658" s="145"/>
    </row>
    <row r="659" spans="3:4" ht="15.75">
      <c r="C659" s="145"/>
      <c r="D659" s="145"/>
    </row>
    <row r="660" spans="3:4" ht="15.75">
      <c r="C660" s="145"/>
      <c r="D660" s="145"/>
    </row>
    <row r="661" spans="3:4" ht="15.75">
      <c r="C661" s="145"/>
      <c r="D661" s="145"/>
    </row>
    <row r="662" spans="3:4" ht="15.75">
      <c r="C662" s="145"/>
      <c r="D662" s="145"/>
    </row>
    <row r="663" spans="3:4" ht="15.75">
      <c r="C663" s="145"/>
      <c r="D663" s="145"/>
    </row>
    <row r="664" spans="3:4" ht="15.75">
      <c r="C664" s="145"/>
      <c r="D664" s="145"/>
    </row>
    <row r="665" spans="3:4" ht="15.75">
      <c r="C665" s="145"/>
      <c r="D665" s="145"/>
    </row>
    <row r="666" spans="3:4" ht="15.75">
      <c r="C666" s="145"/>
      <c r="D666" s="145"/>
    </row>
    <row r="667" spans="3:4" ht="15.75">
      <c r="C667" s="145"/>
      <c r="D667" s="145"/>
    </row>
    <row r="668" spans="3:4" ht="15.75">
      <c r="C668" s="145"/>
      <c r="D668" s="145"/>
    </row>
    <row r="669" spans="3:4" ht="15.75">
      <c r="C669" s="145"/>
      <c r="D669" s="145"/>
    </row>
    <row r="670" spans="3:4" ht="15.75">
      <c r="C670" s="145"/>
      <c r="D670" s="145"/>
    </row>
    <row r="671" spans="3:4" ht="15.75">
      <c r="C671" s="145"/>
      <c r="D671" s="145"/>
    </row>
    <row r="672" spans="3:4" ht="15.75">
      <c r="C672" s="145"/>
      <c r="D672" s="145"/>
    </row>
    <row r="673" spans="3:4" ht="15.75">
      <c r="C673" s="145"/>
      <c r="D673" s="145"/>
    </row>
    <row r="674" spans="3:4" ht="15.75">
      <c r="C674" s="145"/>
      <c r="D674" s="145"/>
    </row>
    <row r="675" spans="3:4" ht="15.75">
      <c r="C675" s="145"/>
      <c r="D675" s="145"/>
    </row>
    <row r="676" spans="3:4" ht="15.75">
      <c r="C676" s="145"/>
      <c r="D676" s="145"/>
    </row>
    <row r="677" spans="3:4" ht="15.75">
      <c r="C677" s="145"/>
      <c r="D677" s="145"/>
    </row>
    <row r="678" spans="3:4" ht="15.75">
      <c r="C678" s="145"/>
      <c r="D678" s="145"/>
    </row>
    <row r="679" spans="3:4" ht="15.75">
      <c r="C679" s="145"/>
      <c r="D679" s="145"/>
    </row>
    <row r="680" spans="3:4" ht="15.75">
      <c r="C680" s="145"/>
      <c r="D680" s="145"/>
    </row>
    <row r="681" spans="3:4" ht="15.75">
      <c r="C681" s="145"/>
      <c r="D681" s="145"/>
    </row>
    <row r="682" spans="3:4" ht="15.75">
      <c r="C682" s="145"/>
      <c r="D682" s="145"/>
    </row>
    <row r="683" spans="3:4" ht="15.75">
      <c r="C683" s="145"/>
      <c r="D683" s="145"/>
    </row>
    <row r="684" spans="3:4" ht="15.75">
      <c r="C684" s="145"/>
      <c r="D684" s="145"/>
    </row>
    <row r="685" spans="3:4" ht="15.75">
      <c r="C685" s="145"/>
      <c r="D685" s="145"/>
    </row>
    <row r="686" spans="3:4" ht="15.75">
      <c r="C686" s="145"/>
      <c r="D686" s="145"/>
    </row>
    <row r="687" spans="3:4" ht="15.75">
      <c r="C687" s="145"/>
      <c r="D687" s="145"/>
    </row>
    <row r="688" spans="3:4" ht="15.75">
      <c r="C688" s="145"/>
      <c r="D688" s="145"/>
    </row>
    <row r="689" spans="3:4" ht="15.75">
      <c r="C689" s="145"/>
      <c r="D689" s="145"/>
    </row>
    <row r="690" spans="3:4" ht="15.75">
      <c r="C690" s="145"/>
      <c r="D690" s="145"/>
    </row>
    <row r="691" spans="3:4" ht="15.75">
      <c r="C691" s="145"/>
      <c r="D691" s="145"/>
    </row>
    <row r="692" spans="3:4" ht="15.75">
      <c r="C692" s="145"/>
      <c r="D692" s="145"/>
    </row>
    <row r="693" spans="3:4" ht="15.75">
      <c r="C693" s="145"/>
      <c r="D693" s="145"/>
    </row>
    <row r="694" spans="3:4" ht="15.75">
      <c r="C694" s="145"/>
      <c r="D694" s="145"/>
    </row>
    <row r="695" spans="3:4" ht="15.75">
      <c r="C695" s="145"/>
      <c r="D695" s="145"/>
    </row>
    <row r="696" spans="3:4" ht="15.75">
      <c r="C696" s="145"/>
      <c r="D696" s="145"/>
    </row>
    <row r="697" spans="3:4" ht="15.75">
      <c r="C697" s="145"/>
      <c r="D697" s="145"/>
    </row>
    <row r="698" spans="3:4" ht="15.75">
      <c r="C698" s="145"/>
      <c r="D698" s="145"/>
    </row>
    <row r="699" spans="3:4" ht="15.75">
      <c r="C699" s="145"/>
      <c r="D699" s="145"/>
    </row>
    <row r="700" spans="3:4" ht="15.75">
      <c r="C700" s="145"/>
      <c r="D700" s="145"/>
    </row>
    <row r="701" spans="3:4" ht="15.75">
      <c r="C701" s="145"/>
      <c r="D701" s="145"/>
    </row>
    <row r="702" spans="3:4" ht="15.75">
      <c r="C702" s="145"/>
      <c r="D702" s="145"/>
    </row>
    <row r="703" spans="3:4" ht="15.75">
      <c r="C703" s="145"/>
      <c r="D703" s="145"/>
    </row>
    <row r="704" spans="3:4" ht="15.75">
      <c r="C704" s="145"/>
      <c r="D704" s="145"/>
    </row>
    <row r="705" spans="3:4" ht="15.75">
      <c r="C705" s="145"/>
      <c r="D705" s="145"/>
    </row>
    <row r="706" spans="3:4" ht="15.75">
      <c r="C706" s="145"/>
      <c r="D706" s="145"/>
    </row>
    <row r="707" spans="3:4" ht="15.75">
      <c r="C707" s="145"/>
      <c r="D707" s="145"/>
    </row>
    <row r="708" spans="3:4" ht="15.75">
      <c r="C708" s="145"/>
      <c r="D708" s="145"/>
    </row>
    <row r="709" spans="3:4" ht="15.75">
      <c r="C709" s="145"/>
      <c r="D709" s="145"/>
    </row>
    <row r="710" spans="3:4" ht="15.75">
      <c r="C710" s="145"/>
      <c r="D710" s="145"/>
    </row>
    <row r="711" spans="3:4" ht="15.75">
      <c r="C711" s="145"/>
      <c r="D711" s="145"/>
    </row>
    <row r="712" spans="3:4" ht="15.75">
      <c r="C712" s="145"/>
      <c r="D712" s="145"/>
    </row>
    <row r="713" spans="3:4" ht="15.75">
      <c r="C713" s="145"/>
      <c r="D713" s="145"/>
    </row>
    <row r="714" spans="3:4" ht="15.75">
      <c r="C714" s="145"/>
      <c r="D714" s="145"/>
    </row>
    <row r="715" spans="3:4" ht="15.75">
      <c r="C715" s="145"/>
      <c r="D715" s="145"/>
    </row>
    <row r="716" spans="3:4" ht="15.75">
      <c r="C716" s="145"/>
      <c r="D716" s="145"/>
    </row>
    <row r="717" spans="3:4" ht="15.75">
      <c r="C717" s="145"/>
      <c r="D717" s="145"/>
    </row>
    <row r="718" spans="3:4" ht="15.75">
      <c r="C718" s="145"/>
      <c r="D718" s="145"/>
    </row>
    <row r="719" spans="3:4" ht="15.75">
      <c r="C719" s="145"/>
      <c r="D719" s="145"/>
    </row>
    <row r="720" spans="3:4" ht="15.75">
      <c r="C720" s="145"/>
      <c r="D720" s="145"/>
    </row>
    <row r="721" spans="3:4" ht="15.75">
      <c r="C721" s="145"/>
      <c r="D721" s="145"/>
    </row>
    <row r="722" spans="3:4" ht="15.75">
      <c r="C722" s="145"/>
      <c r="D722" s="145"/>
    </row>
    <row r="723" spans="3:4" ht="15.75">
      <c r="C723" s="145"/>
      <c r="D723" s="145"/>
    </row>
    <row r="724" spans="3:4" ht="15.75">
      <c r="C724" s="145"/>
      <c r="D724" s="145"/>
    </row>
    <row r="725" spans="3:4" ht="15.75">
      <c r="C725" s="145"/>
      <c r="D725" s="145"/>
    </row>
    <row r="726" spans="3:4" ht="15.75">
      <c r="C726" s="145"/>
      <c r="D726" s="145"/>
    </row>
    <row r="727" spans="3:4" ht="15.75">
      <c r="C727" s="145"/>
      <c r="D727" s="145"/>
    </row>
    <row r="728" spans="3:4" ht="15.75">
      <c r="C728" s="145"/>
      <c r="D728" s="145"/>
    </row>
    <row r="729" spans="3:4" ht="15.75">
      <c r="C729" s="145"/>
      <c r="D729" s="145"/>
    </row>
    <row r="730" spans="3:4" ht="15.75">
      <c r="C730" s="145"/>
      <c r="D730" s="145"/>
    </row>
    <row r="731" spans="3:4" ht="15.75">
      <c r="C731" s="145"/>
      <c r="D731" s="145"/>
    </row>
    <row r="732" spans="3:4" ht="15.75">
      <c r="C732" s="145"/>
      <c r="D732" s="145"/>
    </row>
    <row r="733" spans="3:4" ht="15.75">
      <c r="C733" s="145"/>
      <c r="D733" s="145"/>
    </row>
    <row r="734" spans="3:4" ht="15.75">
      <c r="C734" s="145"/>
      <c r="D734" s="145"/>
    </row>
    <row r="735" spans="3:4" ht="15.75">
      <c r="C735" s="145"/>
      <c r="D735" s="145"/>
    </row>
    <row r="736" spans="3:4" ht="15.75">
      <c r="C736" s="145"/>
      <c r="D736" s="145"/>
    </row>
    <row r="737" spans="3:4" ht="15.75">
      <c r="C737" s="145"/>
      <c r="D737" s="145"/>
    </row>
    <row r="738" spans="3:4" ht="15.75">
      <c r="C738" s="145"/>
      <c r="D738" s="145"/>
    </row>
    <row r="739" spans="3:4" ht="15.75">
      <c r="C739" s="145"/>
      <c r="D739" s="145"/>
    </row>
    <row r="740" spans="3:4" ht="15.75">
      <c r="C740" s="145"/>
      <c r="D740" s="145"/>
    </row>
    <row r="741" spans="3:4" ht="15.75">
      <c r="C741" s="145"/>
      <c r="D741" s="145"/>
    </row>
    <row r="742" spans="3:4" ht="15.75">
      <c r="C742" s="145"/>
      <c r="D742" s="145"/>
    </row>
    <row r="743" spans="3:4" ht="15.75">
      <c r="C743" s="145"/>
      <c r="D743" s="145"/>
    </row>
    <row r="744" spans="3:4" ht="15.75">
      <c r="C744" s="145"/>
      <c r="D744" s="145"/>
    </row>
    <row r="745" spans="3:4" ht="15.75">
      <c r="C745" s="145"/>
      <c r="D745" s="145"/>
    </row>
    <row r="746" spans="3:4" ht="15.75">
      <c r="C746" s="145"/>
      <c r="D746" s="145"/>
    </row>
    <row r="747" spans="3:4" ht="15.75">
      <c r="C747" s="145"/>
      <c r="D747" s="145"/>
    </row>
    <row r="748" spans="3:4" ht="15.75">
      <c r="C748" s="145"/>
      <c r="D748" s="145"/>
    </row>
    <row r="749" spans="3:4" ht="15.75">
      <c r="C749" s="145"/>
      <c r="D749" s="145"/>
    </row>
    <row r="750" spans="3:4" ht="15.75">
      <c r="C750" s="145"/>
      <c r="D750" s="145"/>
    </row>
    <row r="751" spans="3:4" ht="15.75">
      <c r="C751" s="145"/>
      <c r="D751" s="145"/>
    </row>
    <row r="752" spans="3:4" ht="15.75">
      <c r="C752" s="145"/>
      <c r="D752" s="145"/>
    </row>
    <row r="753" spans="3:4" ht="15.75">
      <c r="C753" s="145"/>
      <c r="D753" s="145"/>
    </row>
    <row r="754" spans="3:4" ht="15.75">
      <c r="C754" s="145"/>
      <c r="D754" s="145"/>
    </row>
    <row r="755" spans="3:4" ht="15.75">
      <c r="C755" s="145"/>
      <c r="D755" s="145"/>
    </row>
    <row r="756" spans="3:4" ht="15.75">
      <c r="C756" s="145"/>
      <c r="D756" s="145"/>
    </row>
    <row r="757" spans="3:4" ht="15.75">
      <c r="C757" s="145"/>
      <c r="D757" s="145"/>
    </row>
    <row r="758" spans="3:4" ht="15.75">
      <c r="C758" s="145"/>
      <c r="D758" s="145"/>
    </row>
    <row r="759" spans="3:4" ht="15.75">
      <c r="C759" s="145"/>
      <c r="D759" s="145"/>
    </row>
    <row r="760" spans="3:4" ht="15.75">
      <c r="C760" s="145"/>
      <c r="D760" s="145"/>
    </row>
    <row r="761" spans="3:4" ht="15.75">
      <c r="C761" s="145"/>
      <c r="D761" s="145"/>
    </row>
    <row r="762" spans="3:4" ht="15.75">
      <c r="C762" s="145"/>
      <c r="D762" s="145"/>
    </row>
    <row r="763" spans="3:4" ht="15.75">
      <c r="C763" s="145"/>
      <c r="D763" s="145"/>
    </row>
    <row r="764" spans="3:4" ht="15.75">
      <c r="C764" s="145"/>
      <c r="D764" s="145"/>
    </row>
    <row r="765" spans="3:4" ht="15.75">
      <c r="C765" s="145"/>
      <c r="D765" s="145"/>
    </row>
    <row r="766" spans="3:4" ht="15.75">
      <c r="C766" s="145"/>
      <c r="D766" s="145"/>
    </row>
    <row r="767" spans="3:4" ht="15.75">
      <c r="C767" s="145"/>
      <c r="D767" s="145"/>
    </row>
    <row r="768" spans="3:4" ht="15.75">
      <c r="C768" s="145"/>
      <c r="D768" s="145"/>
    </row>
    <row r="769" spans="3:4" ht="15.75">
      <c r="C769" s="145"/>
      <c r="D769" s="145"/>
    </row>
    <row r="770" spans="3:4" ht="15.75">
      <c r="C770" s="145"/>
      <c r="D770" s="145"/>
    </row>
    <row r="771" spans="3:4" ht="15.75">
      <c r="C771" s="145"/>
      <c r="D771" s="145"/>
    </row>
    <row r="772" spans="3:4" ht="15.75">
      <c r="C772" s="145"/>
      <c r="D772" s="145"/>
    </row>
    <row r="773" spans="3:4" ht="15.75">
      <c r="C773" s="145"/>
      <c r="D773" s="145"/>
    </row>
    <row r="774" spans="3:4" ht="15.75">
      <c r="C774" s="145"/>
      <c r="D774" s="145"/>
    </row>
    <row r="775" spans="3:4" ht="15.75">
      <c r="C775" s="145"/>
      <c r="D775" s="145"/>
    </row>
    <row r="776" spans="3:4" ht="15.75">
      <c r="C776" s="145"/>
      <c r="D776" s="145"/>
    </row>
    <row r="777" spans="3:4" ht="15.75">
      <c r="C777" s="145"/>
      <c r="D777" s="145"/>
    </row>
    <row r="778" spans="3:4" ht="15.75">
      <c r="C778" s="145"/>
      <c r="D778" s="145"/>
    </row>
    <row r="779" spans="3:4" ht="15.75">
      <c r="C779" s="145"/>
      <c r="D779" s="145"/>
    </row>
    <row r="780" spans="3:4" ht="15.75">
      <c r="C780" s="145"/>
      <c r="D780" s="145"/>
    </row>
    <row r="781" spans="3:4" ht="15.75">
      <c r="C781" s="145"/>
      <c r="D781" s="145"/>
    </row>
    <row r="782" spans="3:4" ht="15.75">
      <c r="C782" s="145"/>
      <c r="D782" s="145"/>
    </row>
    <row r="783" spans="3:4" ht="15.75">
      <c r="C783" s="145"/>
      <c r="D783" s="145"/>
    </row>
    <row r="784" spans="3:4" ht="15.75">
      <c r="C784" s="145"/>
      <c r="D784" s="145"/>
    </row>
    <row r="785" spans="3:4" ht="15.75">
      <c r="C785" s="145"/>
      <c r="D785" s="145"/>
    </row>
    <row r="786" spans="3:4" ht="15.75">
      <c r="C786" s="145"/>
      <c r="D786" s="145"/>
    </row>
    <row r="787" spans="3:4" ht="15.75">
      <c r="C787" s="145"/>
      <c r="D787" s="145"/>
    </row>
    <row r="788" spans="3:4" ht="15.75">
      <c r="C788" s="145"/>
      <c r="D788" s="145"/>
    </row>
    <row r="789" spans="3:4" ht="15.75">
      <c r="C789" s="145"/>
      <c r="D789" s="145"/>
    </row>
    <row r="790" spans="3:4" ht="15.75">
      <c r="C790" s="145"/>
      <c r="D790" s="145"/>
    </row>
    <row r="791" spans="3:4" ht="15.75">
      <c r="C791" s="145"/>
      <c r="D791" s="145"/>
    </row>
    <row r="792" spans="3:4" ht="15.75">
      <c r="C792" s="145"/>
      <c r="D792" s="145"/>
    </row>
    <row r="793" spans="3:4" ht="15.75">
      <c r="C793" s="145"/>
      <c r="D793" s="145"/>
    </row>
    <row r="794" spans="3:4" ht="15.75">
      <c r="C794" s="145"/>
      <c r="D794" s="145"/>
    </row>
    <row r="795" spans="3:4" ht="15.75">
      <c r="C795" s="145"/>
      <c r="D795" s="145"/>
    </row>
    <row r="796" spans="3:4" ht="15.75">
      <c r="C796" s="145"/>
      <c r="D796" s="145"/>
    </row>
    <row r="797" spans="3:4" ht="15.75">
      <c r="C797" s="145"/>
      <c r="D797" s="145"/>
    </row>
    <row r="798" spans="3:4" ht="15.75">
      <c r="C798" s="145"/>
      <c r="D798" s="145"/>
    </row>
    <row r="799" spans="3:4" ht="15.75">
      <c r="C799" s="145"/>
      <c r="D799" s="145"/>
    </row>
    <row r="800" spans="3:4" ht="15.75">
      <c r="C800" s="145"/>
      <c r="D800" s="145"/>
    </row>
    <row r="801" spans="3:4" ht="15.75">
      <c r="C801" s="145"/>
      <c r="D801" s="145"/>
    </row>
    <row r="802" spans="3:4" ht="15.75">
      <c r="C802" s="145"/>
      <c r="D802" s="145"/>
    </row>
    <row r="803" spans="3:4" ht="15.75">
      <c r="C803" s="145"/>
      <c r="D803" s="145"/>
    </row>
    <row r="804" spans="3:4" ht="15.75">
      <c r="C804" s="145"/>
      <c r="D804" s="145"/>
    </row>
    <row r="805" spans="3:4" ht="15.75">
      <c r="C805" s="145"/>
      <c r="D805" s="145"/>
    </row>
    <row r="806" spans="3:4" ht="15.75">
      <c r="C806" s="145"/>
      <c r="D806" s="145"/>
    </row>
    <row r="807" spans="3:4" ht="15.75">
      <c r="C807" s="145"/>
      <c r="D807" s="145"/>
    </row>
    <row r="808" spans="3:4" ht="15.75">
      <c r="C808" s="145"/>
      <c r="D808" s="145"/>
    </row>
    <row r="809" spans="3:4" ht="15.75">
      <c r="C809" s="145"/>
      <c r="D809" s="145"/>
    </row>
    <row r="810" spans="3:4" ht="15.75">
      <c r="C810" s="145"/>
      <c r="D810" s="145"/>
    </row>
    <row r="811" spans="3:4" ht="15.75">
      <c r="C811" s="145"/>
      <c r="D811" s="145"/>
    </row>
    <row r="812" spans="3:4" ht="15.75">
      <c r="C812" s="145"/>
      <c r="D812" s="145"/>
    </row>
    <row r="813" spans="3:4" ht="15.75">
      <c r="C813" s="145"/>
      <c r="D813" s="145"/>
    </row>
    <row r="814" spans="3:4" ht="15.75">
      <c r="C814" s="145"/>
      <c r="D814" s="145"/>
    </row>
    <row r="815" spans="3:4" ht="15.75">
      <c r="C815" s="145"/>
      <c r="D815" s="145"/>
    </row>
    <row r="816" spans="3:4" ht="15.75">
      <c r="C816" s="145"/>
      <c r="D816" s="145"/>
    </row>
    <row r="817" spans="3:4" ht="15.75">
      <c r="C817" s="145"/>
      <c r="D817" s="145"/>
    </row>
    <row r="818" spans="3:4" ht="15.75">
      <c r="C818" s="145"/>
      <c r="D818" s="145"/>
    </row>
    <row r="819" spans="3:4" ht="15.75">
      <c r="C819" s="145"/>
      <c r="D819" s="145"/>
    </row>
    <row r="820" spans="3:4" ht="15.75">
      <c r="C820" s="145"/>
      <c r="D820" s="145"/>
    </row>
    <row r="821" spans="3:4" ht="15.75">
      <c r="C821" s="145"/>
      <c r="D821" s="145"/>
    </row>
    <row r="822" spans="3:4" ht="15.75">
      <c r="C822" s="145"/>
      <c r="D822" s="145"/>
    </row>
    <row r="823" spans="3:4" ht="15.75">
      <c r="C823" s="145"/>
      <c r="D823" s="145"/>
    </row>
    <row r="824" spans="3:4" ht="15.75">
      <c r="C824" s="145"/>
      <c r="D824" s="145"/>
    </row>
    <row r="825" spans="3:4" ht="15.75">
      <c r="C825" s="145"/>
      <c r="D825" s="145"/>
    </row>
    <row r="826" spans="3:4" ht="15.75">
      <c r="C826" s="145"/>
      <c r="D826" s="145"/>
    </row>
    <row r="827" spans="3:4" ht="15.75">
      <c r="C827" s="145"/>
      <c r="D827" s="145"/>
    </row>
    <row r="828" spans="3:4" ht="15.75">
      <c r="C828" s="145"/>
      <c r="D828" s="145"/>
    </row>
    <row r="829" spans="3:4" ht="15.75">
      <c r="C829" s="145"/>
      <c r="D829" s="145"/>
    </row>
    <row r="830" spans="3:4" ht="15.75">
      <c r="C830" s="145"/>
      <c r="D830" s="145"/>
    </row>
    <row r="831" spans="3:4" ht="15.75">
      <c r="C831" s="145"/>
      <c r="D831" s="145"/>
    </row>
    <row r="832" spans="3:4" ht="15.75">
      <c r="C832" s="145"/>
      <c r="D832" s="145"/>
    </row>
    <row r="833" spans="3:4" ht="15.75">
      <c r="C833" s="145"/>
      <c r="D833" s="145"/>
    </row>
    <row r="834" spans="3:4" ht="15.75">
      <c r="C834" s="145"/>
      <c r="D834" s="145"/>
    </row>
    <row r="835" spans="3:4" ht="15.75">
      <c r="C835" s="145"/>
      <c r="D835" s="145"/>
    </row>
    <row r="836" spans="3:4" ht="15.75">
      <c r="C836" s="145"/>
      <c r="D836" s="145"/>
    </row>
    <row r="837" spans="3:4" ht="15.75">
      <c r="C837" s="145"/>
      <c r="D837" s="145"/>
    </row>
    <row r="838" spans="3:4" ht="15.75">
      <c r="C838" s="145"/>
      <c r="D838" s="145"/>
    </row>
    <row r="839" spans="3:4" ht="15.75">
      <c r="C839" s="145"/>
      <c r="D839" s="145"/>
    </row>
    <row r="840" spans="3:4" ht="15.75">
      <c r="C840" s="145"/>
      <c r="D840" s="145"/>
    </row>
    <row r="841" spans="3:4" ht="15.75">
      <c r="C841" s="145"/>
      <c r="D841" s="145"/>
    </row>
    <row r="842" spans="3:4" ht="15.75">
      <c r="C842" s="145"/>
      <c r="D842" s="145"/>
    </row>
    <row r="843" spans="3:4" ht="15.75">
      <c r="C843" s="145"/>
      <c r="D843" s="145"/>
    </row>
    <row r="844" spans="3:4" ht="15.75">
      <c r="C844" s="145"/>
      <c r="D844" s="145"/>
    </row>
    <row r="845" spans="3:4" ht="15.75">
      <c r="C845" s="145"/>
      <c r="D845" s="145"/>
    </row>
    <row r="846" spans="3:4" ht="15.75">
      <c r="C846" s="145"/>
      <c r="D846" s="145"/>
    </row>
    <row r="847" spans="3:4" ht="15.75">
      <c r="C847" s="145"/>
      <c r="D847" s="145"/>
    </row>
    <row r="848" spans="3:4" ht="15.75">
      <c r="C848" s="145"/>
      <c r="D848" s="145"/>
    </row>
    <row r="849" spans="3:4" ht="15.75">
      <c r="C849" s="145"/>
      <c r="D849" s="145"/>
    </row>
    <row r="850" spans="3:4" ht="15.75">
      <c r="C850" s="145"/>
      <c r="D850" s="145"/>
    </row>
    <row r="851" spans="3:4" ht="15.75">
      <c r="C851" s="145"/>
      <c r="D851" s="145"/>
    </row>
    <row r="852" spans="3:4" ht="15.75">
      <c r="C852" s="145"/>
      <c r="D852" s="145"/>
    </row>
    <row r="853" spans="3:4" ht="15.75">
      <c r="C853" s="145"/>
      <c r="D853" s="145"/>
    </row>
    <row r="854" spans="3:4" ht="15.75">
      <c r="C854" s="145"/>
      <c r="D854" s="145"/>
    </row>
    <row r="855" spans="3:4" ht="15.75">
      <c r="C855" s="145"/>
      <c r="D855" s="145"/>
    </row>
    <row r="856" spans="3:4" ht="15.75">
      <c r="C856" s="145"/>
      <c r="D856" s="145"/>
    </row>
    <row r="857" spans="3:4" ht="15.75">
      <c r="C857" s="145"/>
      <c r="D857" s="145"/>
    </row>
    <row r="858" spans="3:4" ht="15.75">
      <c r="C858" s="145"/>
      <c r="D858" s="145"/>
    </row>
    <row r="859" spans="3:4" ht="15.75">
      <c r="C859" s="145"/>
      <c r="D859" s="145"/>
    </row>
    <row r="860" spans="3:4" ht="15.75">
      <c r="C860" s="145"/>
      <c r="D860" s="145"/>
    </row>
    <row r="861" spans="3:4" ht="15.75">
      <c r="C861" s="145"/>
      <c r="D861" s="145"/>
    </row>
    <row r="862" spans="3:4" ht="15.75">
      <c r="C862" s="145"/>
      <c r="D862" s="145"/>
    </row>
    <row r="863" spans="3:4" ht="15.75">
      <c r="C863" s="145"/>
      <c r="D863" s="145"/>
    </row>
    <row r="864" spans="3:4" ht="15.75">
      <c r="C864" s="145"/>
      <c r="D864" s="145"/>
    </row>
    <row r="865" spans="3:4" ht="15.75">
      <c r="C865" s="145"/>
      <c r="D865" s="145"/>
    </row>
    <row r="866" spans="3:4" ht="15.75">
      <c r="C866" s="145"/>
      <c r="D866" s="145"/>
    </row>
    <row r="867" spans="3:4" ht="15.75">
      <c r="C867" s="145"/>
      <c r="D867" s="145"/>
    </row>
    <row r="868" spans="3:4" ht="15.75">
      <c r="C868" s="145"/>
      <c r="D868" s="145"/>
    </row>
    <row r="869" spans="3:4" ht="15.75">
      <c r="C869" s="145"/>
      <c r="D869" s="145"/>
    </row>
    <row r="870" spans="3:4" ht="15.75">
      <c r="C870" s="145"/>
      <c r="D870" s="145"/>
    </row>
    <row r="871" spans="3:4" ht="15.75">
      <c r="C871" s="145"/>
      <c r="D871" s="145"/>
    </row>
    <row r="872" spans="3:4" ht="15.75">
      <c r="C872" s="145"/>
      <c r="D872" s="145"/>
    </row>
    <row r="873" spans="3:4" ht="15.75">
      <c r="C873" s="145"/>
      <c r="D873" s="145"/>
    </row>
    <row r="874" spans="3:4" ht="15.75">
      <c r="C874" s="145"/>
      <c r="D874" s="145"/>
    </row>
    <row r="875" spans="3:4" ht="15.75">
      <c r="C875" s="145"/>
      <c r="D875" s="145"/>
    </row>
    <row r="876" spans="3:4" ht="15.75">
      <c r="C876" s="145"/>
      <c r="D876" s="145"/>
    </row>
    <row r="877" spans="3:4" ht="15.75">
      <c r="C877" s="145"/>
      <c r="D877" s="145"/>
    </row>
    <row r="878" spans="3:4" ht="15.75">
      <c r="C878" s="145"/>
      <c r="D878" s="145"/>
    </row>
    <row r="879" spans="3:4" ht="15.75">
      <c r="C879" s="145"/>
      <c r="D879" s="145"/>
    </row>
    <row r="880" spans="3:4" ht="15.75">
      <c r="C880" s="145"/>
      <c r="D880" s="145"/>
    </row>
    <row r="881" spans="3:4" ht="15.75">
      <c r="C881" s="145"/>
      <c r="D881" s="145"/>
    </row>
    <row r="882" spans="3:4" ht="15.75">
      <c r="C882" s="145"/>
      <c r="D882" s="145"/>
    </row>
    <row r="883" spans="3:4" ht="15.75">
      <c r="C883" s="145"/>
      <c r="D883" s="145"/>
    </row>
    <row r="884" spans="3:4" ht="15.75">
      <c r="C884" s="145"/>
      <c r="D884" s="145"/>
    </row>
    <row r="885" spans="3:4" ht="15.75">
      <c r="C885" s="145"/>
      <c r="D885" s="145"/>
    </row>
    <row r="886" spans="3:4" ht="15.75">
      <c r="C886" s="145"/>
      <c r="D886" s="145"/>
    </row>
    <row r="887" spans="3:4" ht="15.75">
      <c r="C887" s="145"/>
      <c r="D887" s="145"/>
    </row>
    <row r="888" spans="3:4" ht="15.75">
      <c r="C888" s="145"/>
      <c r="D888" s="145"/>
    </row>
    <row r="889" spans="3:4" ht="15.75">
      <c r="C889" s="145"/>
      <c r="D889" s="145"/>
    </row>
    <row r="890" spans="3:4" ht="15.75">
      <c r="C890" s="145"/>
      <c r="D890" s="145"/>
    </row>
    <row r="891" spans="3:4" ht="15.75">
      <c r="C891" s="145"/>
      <c r="D891" s="145"/>
    </row>
    <row r="892" spans="3:4" ht="15.75">
      <c r="C892" s="145"/>
      <c r="D892" s="145"/>
    </row>
    <row r="893" spans="3:4" ht="15.75">
      <c r="C893" s="145"/>
      <c r="D893" s="145"/>
    </row>
    <row r="894" spans="3:4" ht="15.75">
      <c r="C894" s="145"/>
      <c r="D894" s="145"/>
    </row>
    <row r="895" spans="3:4" ht="15.75">
      <c r="C895" s="145"/>
      <c r="D895" s="145"/>
    </row>
    <row r="896" spans="3:4" ht="15.75">
      <c r="C896" s="145"/>
      <c r="D896" s="145"/>
    </row>
    <row r="897" spans="3:4" ht="15.75">
      <c r="C897" s="145"/>
      <c r="D897" s="145"/>
    </row>
    <row r="898" spans="3:4" ht="15.75">
      <c r="C898" s="145"/>
      <c r="D898" s="145"/>
    </row>
    <row r="899" spans="3:4" ht="15.75">
      <c r="C899" s="145"/>
      <c r="D899" s="145"/>
    </row>
    <row r="900" spans="3:4" ht="15.75">
      <c r="C900" s="145"/>
      <c r="D900" s="145"/>
    </row>
    <row r="901" spans="3:4" ht="15.75">
      <c r="C901" s="145"/>
      <c r="D901" s="145"/>
    </row>
    <row r="902" spans="3:4" ht="15.75">
      <c r="C902" s="145"/>
      <c r="D902" s="145"/>
    </row>
    <row r="903" spans="3:4" ht="15.75">
      <c r="C903" s="145"/>
      <c r="D903" s="145"/>
    </row>
    <row r="904" spans="3:4" ht="15.75">
      <c r="C904" s="145"/>
      <c r="D904" s="145"/>
    </row>
    <row r="905" spans="3:4" ht="15.75">
      <c r="C905" s="145"/>
      <c r="D905" s="145"/>
    </row>
    <row r="906" spans="3:4" ht="15.75">
      <c r="C906" s="145"/>
      <c r="D906" s="145"/>
    </row>
    <row r="907" spans="3:4" ht="15.75">
      <c r="C907" s="145"/>
      <c r="D907" s="145"/>
    </row>
    <row r="908" spans="3:4" ht="15.75">
      <c r="C908" s="145"/>
      <c r="D908" s="145"/>
    </row>
    <row r="909" spans="3:4" ht="15.75">
      <c r="C909" s="145"/>
      <c r="D909" s="145"/>
    </row>
    <row r="910" spans="3:4" ht="15.75">
      <c r="C910" s="145"/>
      <c r="D910" s="145"/>
    </row>
    <row r="911" spans="3:4" ht="15.75">
      <c r="C911" s="145"/>
      <c r="D911" s="145"/>
    </row>
    <row r="912" spans="3:4" ht="15.75">
      <c r="C912" s="145"/>
      <c r="D912" s="145"/>
    </row>
    <row r="913" spans="3:4" ht="15.75">
      <c r="C913" s="145"/>
      <c r="D913" s="145"/>
    </row>
    <row r="914" spans="3:4" ht="15.75">
      <c r="C914" s="145"/>
      <c r="D914" s="145"/>
    </row>
    <row r="915" spans="3:4" ht="15.75">
      <c r="C915" s="145"/>
      <c r="D915" s="145"/>
    </row>
    <row r="916" spans="3:4" ht="15.75">
      <c r="C916" s="145"/>
      <c r="D916" s="145"/>
    </row>
    <row r="917" spans="3:4" ht="15.75">
      <c r="C917" s="145"/>
      <c r="D917" s="145"/>
    </row>
    <row r="918" spans="3:4" ht="15.75">
      <c r="C918" s="145"/>
      <c r="D918" s="145"/>
    </row>
    <row r="919" spans="3:4" ht="15.75">
      <c r="C919" s="145"/>
      <c r="D919" s="145"/>
    </row>
    <row r="920" spans="3:4" ht="15.75">
      <c r="C920" s="145"/>
      <c r="D920" s="145"/>
    </row>
    <row r="921" spans="3:4" ht="15.75">
      <c r="C921" s="145"/>
      <c r="D921" s="145"/>
    </row>
    <row r="922" spans="3:4" ht="15.75">
      <c r="C922" s="145"/>
      <c r="D922" s="145"/>
    </row>
    <row r="923" spans="3:4" ht="15.75">
      <c r="C923" s="145"/>
      <c r="D923" s="145"/>
    </row>
    <row r="924" spans="3:4" ht="15.75">
      <c r="C924" s="145"/>
      <c r="D924" s="145"/>
    </row>
    <row r="925" spans="3:4" ht="15.75">
      <c r="C925" s="145"/>
      <c r="D925" s="145"/>
    </row>
    <row r="926" spans="3:4" ht="15.75">
      <c r="C926" s="145"/>
      <c r="D926" s="145"/>
    </row>
    <row r="927" spans="3:4" ht="15.75">
      <c r="C927" s="145"/>
      <c r="D927" s="145"/>
    </row>
    <row r="928" spans="3:4" ht="15.75">
      <c r="C928" s="145"/>
      <c r="D928" s="145"/>
    </row>
    <row r="929" spans="3:4" ht="15.75">
      <c r="C929" s="145"/>
      <c r="D929" s="145"/>
    </row>
    <row r="930" spans="3:4" ht="15.75">
      <c r="C930" s="145"/>
      <c r="D930" s="145"/>
    </row>
    <row r="931" spans="3:4" ht="15.75">
      <c r="C931" s="145"/>
      <c r="D931" s="145"/>
    </row>
    <row r="932" spans="3:4" ht="15.75">
      <c r="C932" s="145"/>
      <c r="D932" s="145"/>
    </row>
    <row r="933" spans="3:4" ht="15.75">
      <c r="C933" s="145"/>
      <c r="D933" s="145"/>
    </row>
    <row r="934" spans="3:4" ht="15.75">
      <c r="C934" s="145"/>
      <c r="D934" s="145"/>
    </row>
    <row r="935" spans="3:4" ht="15.75">
      <c r="C935" s="145"/>
      <c r="D935" s="145"/>
    </row>
    <row r="936" spans="3:4" ht="15.75">
      <c r="C936" s="145"/>
      <c r="D936" s="145"/>
    </row>
    <row r="937" spans="3:4" ht="15.75">
      <c r="C937" s="145"/>
      <c r="D937" s="145"/>
    </row>
    <row r="938" spans="3:4" ht="15.75">
      <c r="C938" s="145"/>
      <c r="D938" s="145"/>
    </row>
    <row r="939" spans="3:4" ht="15.75">
      <c r="C939" s="145"/>
      <c r="D939" s="145"/>
    </row>
    <row r="940" spans="3:4" ht="15.75">
      <c r="C940" s="145"/>
      <c r="D940" s="145"/>
    </row>
    <row r="941" spans="3:4" ht="15.75">
      <c r="C941" s="145"/>
      <c r="D941" s="145"/>
    </row>
    <row r="942" spans="3:4" ht="15.75">
      <c r="C942" s="145"/>
      <c r="D942" s="145"/>
    </row>
    <row r="943" spans="3:4" ht="15.75">
      <c r="C943" s="145"/>
      <c r="D943" s="145"/>
    </row>
    <row r="944" spans="3:4" ht="15.75">
      <c r="C944" s="145"/>
      <c r="D944" s="145"/>
    </row>
    <row r="945" spans="3:4" ht="15.75">
      <c r="C945" s="145"/>
      <c r="D945" s="145"/>
    </row>
    <row r="946" spans="3:4" ht="15.75">
      <c r="C946" s="145"/>
      <c r="D946" s="145"/>
    </row>
    <row r="947" spans="3:4" ht="15.75">
      <c r="C947" s="145"/>
      <c r="D947" s="145"/>
    </row>
    <row r="948" spans="3:4" ht="15.75">
      <c r="C948" s="145"/>
      <c r="D948" s="145"/>
    </row>
    <row r="949" spans="3:4" ht="15.75">
      <c r="C949" s="145"/>
      <c r="D949" s="145"/>
    </row>
    <row r="950" spans="3:4" ht="15.75">
      <c r="C950" s="145"/>
      <c r="D950" s="145"/>
    </row>
    <row r="951" spans="3:4" ht="15.75">
      <c r="C951" s="145"/>
      <c r="D951" s="145"/>
    </row>
    <row r="952" spans="3:4" ht="15.75">
      <c r="C952" s="145"/>
      <c r="D952" s="145"/>
    </row>
    <row r="953" spans="3:4" ht="15.75">
      <c r="C953" s="145"/>
      <c r="D953" s="145"/>
    </row>
    <row r="954" spans="3:4" ht="15.75">
      <c r="C954" s="145"/>
      <c r="D954" s="145"/>
    </row>
    <row r="955" spans="3:4" ht="15.75">
      <c r="C955" s="145"/>
      <c r="D955" s="145"/>
    </row>
    <row r="956" spans="3:4" ht="15.75">
      <c r="C956" s="145"/>
      <c r="D956" s="145"/>
    </row>
    <row r="957" spans="3:4" ht="15.75">
      <c r="C957" s="145"/>
      <c r="D957" s="145"/>
    </row>
    <row r="958" spans="3:4" ht="15.75">
      <c r="C958" s="145"/>
      <c r="D958" s="145"/>
    </row>
    <row r="959" spans="3:4" ht="15.75">
      <c r="C959" s="145"/>
      <c r="D959" s="145"/>
    </row>
    <row r="960" spans="3:4" ht="15.75">
      <c r="C960" s="145"/>
      <c r="D960" s="145"/>
    </row>
    <row r="961" spans="3:4" ht="15.75">
      <c r="C961" s="145"/>
      <c r="D961" s="145"/>
    </row>
    <row r="962" spans="3:4" ht="15.75">
      <c r="C962" s="145"/>
      <c r="D962" s="145"/>
    </row>
    <row r="963" spans="3:4" ht="15.75">
      <c r="C963" s="145"/>
      <c r="D963" s="145"/>
    </row>
    <row r="964" spans="3:4" ht="15.75">
      <c r="C964" s="145"/>
      <c r="D964" s="145"/>
    </row>
    <row r="965" spans="3:4" ht="15.75">
      <c r="C965" s="145"/>
      <c r="D965" s="145"/>
    </row>
    <row r="966" spans="3:4" ht="15.75">
      <c r="C966" s="145"/>
      <c r="D966" s="145"/>
    </row>
    <row r="967" spans="3:4" ht="15.75">
      <c r="C967" s="145"/>
      <c r="D967" s="145"/>
    </row>
    <row r="968" spans="3:4" ht="15.75">
      <c r="C968" s="145"/>
      <c r="D968" s="145"/>
    </row>
    <row r="969" spans="3:4" ht="15.75">
      <c r="C969" s="145"/>
      <c r="D969" s="145"/>
    </row>
    <row r="970" spans="3:4" ht="15.75">
      <c r="C970" s="145"/>
      <c r="D970" s="145"/>
    </row>
    <row r="971" spans="3:4" ht="15.75">
      <c r="C971" s="145"/>
      <c r="D971" s="145"/>
    </row>
    <row r="972" spans="3:4" ht="15.75">
      <c r="C972" s="145"/>
      <c r="D972" s="145"/>
    </row>
    <row r="973" spans="3:4" ht="15.75">
      <c r="C973" s="145"/>
      <c r="D973" s="145"/>
    </row>
    <row r="974" spans="3:4" ht="15.75">
      <c r="C974" s="145"/>
      <c r="D974" s="145"/>
    </row>
    <row r="975" spans="3:4" ht="15.75">
      <c r="C975" s="145"/>
      <c r="D975" s="145"/>
    </row>
    <row r="976" spans="3:4" ht="15.75">
      <c r="C976" s="145"/>
      <c r="D976" s="145"/>
    </row>
    <row r="977" spans="3:4" ht="15.75">
      <c r="C977" s="145"/>
      <c r="D977" s="145"/>
    </row>
    <row r="978" spans="3:4" ht="15.75">
      <c r="C978" s="145"/>
      <c r="D978" s="145"/>
    </row>
    <row r="979" spans="3:4" ht="15.75">
      <c r="C979" s="145"/>
      <c r="D979" s="145"/>
    </row>
    <row r="980" spans="3:4" ht="15.75">
      <c r="C980" s="145"/>
      <c r="D980" s="145"/>
    </row>
    <row r="981" spans="3:4" ht="15.75">
      <c r="C981" s="145"/>
      <c r="D981" s="145"/>
    </row>
    <row r="982" spans="3:4" ht="15.75">
      <c r="C982" s="145"/>
      <c r="D982" s="145"/>
    </row>
    <row r="983" spans="3:4" ht="15.75">
      <c r="C983" s="145"/>
      <c r="D983" s="145"/>
    </row>
    <row r="984" spans="3:4" ht="15.75">
      <c r="C984" s="145"/>
      <c r="D984" s="145"/>
    </row>
    <row r="985" spans="3:4" ht="15.75">
      <c r="C985" s="145"/>
      <c r="D985" s="145"/>
    </row>
    <row r="986" spans="3:4" ht="15.75">
      <c r="C986" s="145"/>
      <c r="D986" s="145"/>
    </row>
    <row r="987" spans="3:4" ht="15.75">
      <c r="C987" s="145"/>
      <c r="D987" s="145"/>
    </row>
    <row r="988" spans="3:4" ht="15.75">
      <c r="C988" s="145"/>
      <c r="D988" s="145"/>
    </row>
    <row r="989" spans="3:4" ht="15.75">
      <c r="C989" s="145"/>
      <c r="D989" s="145"/>
    </row>
    <row r="990" spans="3:4" ht="15.75">
      <c r="C990" s="145"/>
      <c r="D990" s="145"/>
    </row>
    <row r="991" spans="3:4" ht="15.75">
      <c r="C991" s="145"/>
      <c r="D991" s="145"/>
    </row>
    <row r="992" spans="3:4" ht="15.75">
      <c r="C992" s="145"/>
      <c r="D992" s="145"/>
    </row>
    <row r="993" spans="3:4" ht="15.75">
      <c r="C993" s="145"/>
      <c r="D993" s="145"/>
    </row>
    <row r="994" spans="3:4" ht="15.75">
      <c r="C994" s="145"/>
      <c r="D994" s="145"/>
    </row>
    <row r="995" spans="3:4" ht="15.75">
      <c r="C995" s="145"/>
      <c r="D995" s="145"/>
    </row>
    <row r="996" spans="3:4" ht="15.75">
      <c r="C996" s="145"/>
      <c r="D996" s="145"/>
    </row>
    <row r="997" spans="3:4" ht="15.75">
      <c r="C997" s="145"/>
      <c r="D997" s="145"/>
    </row>
    <row r="998" spans="3:4" ht="15.75">
      <c r="C998" s="145"/>
      <c r="D998" s="145"/>
    </row>
    <row r="999" spans="3:4" ht="15.75">
      <c r="C999" s="145"/>
      <c r="D999" s="145"/>
    </row>
    <row r="1000" spans="3:4" ht="15.75">
      <c r="C1000" s="145"/>
      <c r="D1000" s="145"/>
    </row>
    <row r="1001" spans="3:4" ht="15.75">
      <c r="C1001" s="145"/>
      <c r="D1001" s="145"/>
    </row>
    <row r="1002" spans="3:4" ht="15.75">
      <c r="C1002" s="145"/>
      <c r="D1002" s="145"/>
    </row>
  </sheetData>
  <mergeCells count="9">
    <mergeCell ref="H46:I46"/>
    <mergeCell ref="H51:I51"/>
    <mergeCell ref="B19:B26"/>
    <mergeCell ref="C44:E44"/>
    <mergeCell ref="H44:I44"/>
    <mergeCell ref="C45:E45"/>
    <mergeCell ref="H45:I45"/>
    <mergeCell ref="C46:E46"/>
    <mergeCell ref="B48:B56"/>
  </mergeCells>
  <phoneticPr fontId="55" type="noConversion"/>
  <conditionalFormatting sqref="Q1 Q9 Q28 Q36">
    <cfRule type="cellIs" dxfId="2" priority="1" operator="less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0"/>
  <sheetViews>
    <sheetView workbookViewId="0">
      <pane ySplit="13" topLeftCell="A14" activePane="bottomLeft" state="frozen"/>
      <selection pane="bottomLeft" activeCell="B15" sqref="B15"/>
    </sheetView>
  </sheetViews>
  <sheetFormatPr defaultColWidth="10.109375" defaultRowHeight="15" customHeight="1"/>
  <cols>
    <col min="1" max="1" width="11.44140625" customWidth="1"/>
    <col min="2" max="2" width="6" customWidth="1"/>
    <col min="3" max="3" width="12.44140625" customWidth="1"/>
    <col min="4" max="4" width="8.44140625" customWidth="1"/>
    <col min="5" max="5" width="8.109375" customWidth="1"/>
    <col min="6" max="6" width="9.88671875" customWidth="1"/>
    <col min="7" max="10" width="8.109375" customWidth="1"/>
    <col min="11" max="11" width="7.109375" customWidth="1"/>
    <col min="12" max="12" width="8.109375" customWidth="1"/>
    <col min="13" max="13" width="4.44140625" customWidth="1"/>
    <col min="14" max="14" width="7.5546875" customWidth="1"/>
    <col min="15" max="34" width="6" customWidth="1"/>
  </cols>
  <sheetData>
    <row r="1" spans="1:34" ht="19.5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9.5">
      <c r="A2" s="258" t="s">
        <v>349</v>
      </c>
      <c r="B2" s="258" t="s">
        <v>350</v>
      </c>
      <c r="C2" s="312" t="s">
        <v>3</v>
      </c>
      <c r="D2" s="313"/>
      <c r="E2" s="313"/>
      <c r="F2" s="313"/>
      <c r="G2" s="31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9.5">
      <c r="A3" s="259" t="s">
        <v>351</v>
      </c>
      <c r="B3" s="260">
        <v>2500</v>
      </c>
      <c r="C3" s="310" t="s">
        <v>352</v>
      </c>
      <c r="D3" s="278"/>
      <c r="E3" s="278"/>
      <c r="F3" s="278"/>
      <c r="G3" s="3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9.5">
      <c r="A4" s="259" t="s">
        <v>353</v>
      </c>
      <c r="B4" s="260">
        <v>330</v>
      </c>
      <c r="C4" s="310" t="s">
        <v>354</v>
      </c>
      <c r="D4" s="278"/>
      <c r="E4" s="278"/>
      <c r="F4" s="278"/>
      <c r="G4" s="3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39">
      <c r="A5" s="259" t="s">
        <v>355</v>
      </c>
      <c r="B5" s="260">
        <v>6</v>
      </c>
      <c r="C5" s="310" t="s">
        <v>356</v>
      </c>
      <c r="D5" s="278"/>
      <c r="E5" s="278"/>
      <c r="F5" s="278"/>
      <c r="G5" s="3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9.5">
      <c r="A6" s="261" t="s">
        <v>357</v>
      </c>
      <c r="B6" s="261" t="s">
        <v>358</v>
      </c>
      <c r="C6" s="315" t="s">
        <v>3</v>
      </c>
      <c r="D6" s="313"/>
      <c r="E6" s="313"/>
      <c r="F6" s="313"/>
      <c r="G6" s="31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4.25" customHeight="1">
      <c r="A7" s="262" t="s">
        <v>359</v>
      </c>
      <c r="B7" s="263">
        <v>1123</v>
      </c>
      <c r="C7" s="310"/>
      <c r="D7" s="278"/>
      <c r="E7" s="311"/>
      <c r="F7" s="2"/>
      <c r="G7" s="2"/>
      <c r="H7" s="2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pans="1:34" ht="19.5">
      <c r="A8" s="262" t="s">
        <v>360</v>
      </c>
      <c r="B8" s="263">
        <v>3</v>
      </c>
      <c r="C8" s="310"/>
      <c r="D8" s="278"/>
      <c r="E8" s="311"/>
      <c r="F8" s="2"/>
      <c r="G8" s="2"/>
      <c r="H8" s="2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 ht="19.5">
      <c r="A9" s="262" t="s">
        <v>361</v>
      </c>
      <c r="B9" s="263">
        <v>75</v>
      </c>
      <c r="C9" s="310"/>
      <c r="D9" s="278"/>
      <c r="E9" s="311"/>
      <c r="F9" s="2"/>
      <c r="G9" s="2"/>
      <c r="H9" s="2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pans="1:34" ht="19.5">
      <c r="A10" s="15" t="s">
        <v>362</v>
      </c>
      <c r="B10" s="264" t="s">
        <v>363</v>
      </c>
      <c r="C10" s="316" t="s">
        <v>364</v>
      </c>
      <c r="D10" s="278"/>
      <c r="E10" s="278"/>
      <c r="F10" s="278"/>
      <c r="G10" s="311"/>
      <c r="H10" s="2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 ht="14.25" customHeight="1">
      <c r="A11" s="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 ht="19.5">
      <c r="A12" s="317" t="s">
        <v>365</v>
      </c>
      <c r="B12" s="290"/>
      <c r="C12" s="290"/>
      <c r="D12" s="290"/>
      <c r="E12" s="290"/>
      <c r="F12" s="291"/>
      <c r="G12" s="318" t="s">
        <v>69</v>
      </c>
      <c r="H12" s="290"/>
      <c r="I12" s="290"/>
      <c r="J12" s="290"/>
      <c r="K12" s="290"/>
      <c r="L12" s="291"/>
      <c r="M12" s="293"/>
      <c r="N12" s="291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2"/>
    </row>
    <row r="13" spans="1:34" ht="21" customHeight="1">
      <c r="A13" s="170" t="s">
        <v>284</v>
      </c>
      <c r="B13" s="170" t="s">
        <v>73</v>
      </c>
      <c r="C13" s="170" t="s">
        <v>75</v>
      </c>
      <c r="D13" s="171" t="s">
        <v>76</v>
      </c>
      <c r="E13" s="170" t="s">
        <v>77</v>
      </c>
      <c r="F13" s="170" t="s">
        <v>78</v>
      </c>
      <c r="G13" s="175" t="s">
        <v>79</v>
      </c>
      <c r="H13" s="175" t="s">
        <v>10</v>
      </c>
      <c r="I13" s="175" t="s">
        <v>12</v>
      </c>
      <c r="J13" s="175" t="s">
        <v>80</v>
      </c>
      <c r="K13" s="175" t="s">
        <v>81</v>
      </c>
      <c r="L13" s="175" t="s">
        <v>82</v>
      </c>
      <c r="M13" s="176" t="s">
        <v>83</v>
      </c>
      <c r="N13" s="176" t="s">
        <v>84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2"/>
    </row>
    <row r="14" spans="1:34" ht="19.5">
      <c r="A14" s="265">
        <v>2000</v>
      </c>
      <c r="B14" s="265">
        <v>1900</v>
      </c>
      <c r="C14" s="266">
        <v>1</v>
      </c>
      <c r="D14" s="78">
        <f t="shared" ref="D14:D24" si="0">$B$9*$B$8</f>
        <v>225</v>
      </c>
      <c r="E14" s="75">
        <f t="shared" ref="E14:E24" si="1">B14-D14</f>
        <v>1675</v>
      </c>
      <c r="F14" s="76">
        <f t="shared" ref="F14:F24" si="2">E14/B14</f>
        <v>0.88157894736842102</v>
      </c>
      <c r="G14" s="78">
        <f t="shared" ref="G14:G24" si="3">IF(AND($B$10="A"),IF(B14&gt;=$B$3,$B$4*ROUNDUP($B$8/$B$5,0),0),$B$4*ROUNDUP($B$8/$B$5,0))</f>
        <v>0</v>
      </c>
      <c r="H14" s="78">
        <f>B14*營業基本資訊!$D$5</f>
        <v>984.16706666666676</v>
      </c>
      <c r="I14" s="78">
        <f>B14*營業基本資訊!$D$6</f>
        <v>0</v>
      </c>
      <c r="J14" s="78">
        <f>B14*營業基本資訊!$D$7</f>
        <v>0</v>
      </c>
      <c r="K14" s="78">
        <f t="shared" ref="K14:K24" si="4">B14*0.05</f>
        <v>95</v>
      </c>
      <c r="L14" s="78">
        <f t="shared" ref="L14:L24" si="5">SUM(G14:K14)</f>
        <v>1079.1670666666669</v>
      </c>
      <c r="M14" s="75">
        <f t="shared" ref="M14:M24" si="6">E14-L14</f>
        <v>595.83293333333313</v>
      </c>
      <c r="N14" s="267">
        <f t="shared" ref="N14:N24" si="7">M14/B14</f>
        <v>0.31359628070175427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2"/>
    </row>
    <row r="15" spans="1:34" ht="19.5">
      <c r="A15" s="265">
        <f t="shared" ref="A15:A24" si="8">$B$7*$B$8</f>
        <v>3369</v>
      </c>
      <c r="B15" s="265">
        <f t="shared" ref="B15:B24" si="9">ROUND(A15*C15,0)</f>
        <v>3201</v>
      </c>
      <c r="C15" s="266">
        <v>0.95</v>
      </c>
      <c r="D15" s="78">
        <f t="shared" si="0"/>
        <v>225</v>
      </c>
      <c r="E15" s="75">
        <f t="shared" si="1"/>
        <v>2976</v>
      </c>
      <c r="F15" s="76">
        <f t="shared" si="2"/>
        <v>0.92970946579194003</v>
      </c>
      <c r="G15" s="78">
        <f t="shared" si="3"/>
        <v>330</v>
      </c>
      <c r="H15" s="78">
        <f>B15*營業基本資訊!$D$5</f>
        <v>1658.0625160000002</v>
      </c>
      <c r="I15" s="78">
        <f>B15*營業基本資訊!$D$6</f>
        <v>0</v>
      </c>
      <c r="J15" s="78">
        <f>B15*營業基本資訊!$D$7</f>
        <v>0</v>
      </c>
      <c r="K15" s="78">
        <f t="shared" si="4"/>
        <v>160.05000000000001</v>
      </c>
      <c r="L15" s="78">
        <f t="shared" si="5"/>
        <v>2148.1125160000001</v>
      </c>
      <c r="M15" s="75">
        <f t="shared" si="6"/>
        <v>827.88748399999986</v>
      </c>
      <c r="N15" s="267">
        <f t="shared" si="7"/>
        <v>0.25863401562011867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2"/>
    </row>
    <row r="16" spans="1:34" ht="19.5">
      <c r="A16" s="265">
        <f t="shared" si="8"/>
        <v>3369</v>
      </c>
      <c r="B16" s="265">
        <f t="shared" si="9"/>
        <v>3032</v>
      </c>
      <c r="C16" s="266">
        <v>0.9</v>
      </c>
      <c r="D16" s="78">
        <f t="shared" si="0"/>
        <v>225</v>
      </c>
      <c r="E16" s="75">
        <f t="shared" si="1"/>
        <v>2807</v>
      </c>
      <c r="F16" s="76">
        <f t="shared" si="2"/>
        <v>0.92579155672823221</v>
      </c>
      <c r="G16" s="78">
        <f t="shared" si="3"/>
        <v>330</v>
      </c>
      <c r="H16" s="78">
        <f>B16*營業基本資訊!$D$5</f>
        <v>1570.5234453333335</v>
      </c>
      <c r="I16" s="78">
        <f>B16*營業基本資訊!$D$6</f>
        <v>0</v>
      </c>
      <c r="J16" s="78">
        <f>B16*營業基本資訊!$D$7</f>
        <v>0</v>
      </c>
      <c r="K16" s="78">
        <f t="shared" si="4"/>
        <v>151.6</v>
      </c>
      <c r="L16" s="78">
        <f t="shared" si="5"/>
        <v>2052.1234453333336</v>
      </c>
      <c r="M16" s="75">
        <f t="shared" si="6"/>
        <v>754.87655466666638</v>
      </c>
      <c r="N16" s="267">
        <f t="shared" si="7"/>
        <v>0.24896983992963931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2"/>
    </row>
    <row r="17" spans="1:34" ht="19.5">
      <c r="A17" s="265">
        <f t="shared" si="8"/>
        <v>3369</v>
      </c>
      <c r="B17" s="265">
        <f t="shared" si="9"/>
        <v>2864</v>
      </c>
      <c r="C17" s="266">
        <v>0.85</v>
      </c>
      <c r="D17" s="78">
        <f t="shared" si="0"/>
        <v>225</v>
      </c>
      <c r="E17" s="75">
        <f t="shared" si="1"/>
        <v>2639</v>
      </c>
      <c r="F17" s="76">
        <f t="shared" si="2"/>
        <v>0.92143854748603349</v>
      </c>
      <c r="G17" s="78">
        <f t="shared" si="3"/>
        <v>330</v>
      </c>
      <c r="H17" s="78">
        <f>B17*營業基本資訊!$D$5</f>
        <v>1483.5023573333335</v>
      </c>
      <c r="I17" s="78">
        <f>B17*營業基本資訊!$D$6</f>
        <v>0</v>
      </c>
      <c r="J17" s="78">
        <f>B17*營業基本資訊!$D$7</f>
        <v>0</v>
      </c>
      <c r="K17" s="78">
        <f t="shared" si="4"/>
        <v>143.20000000000002</v>
      </c>
      <c r="L17" s="78">
        <f t="shared" si="5"/>
        <v>1956.7023573333336</v>
      </c>
      <c r="M17" s="75">
        <f t="shared" si="6"/>
        <v>682.29764266666643</v>
      </c>
      <c r="N17" s="267">
        <f t="shared" si="7"/>
        <v>0.23823241713221593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2"/>
    </row>
    <row r="18" spans="1:34" ht="19.5">
      <c r="A18" s="265">
        <f t="shared" si="8"/>
        <v>3369</v>
      </c>
      <c r="B18" s="265">
        <f t="shared" si="9"/>
        <v>2695</v>
      </c>
      <c r="C18" s="266">
        <v>0.8</v>
      </c>
      <c r="D18" s="78">
        <f t="shared" si="0"/>
        <v>225</v>
      </c>
      <c r="E18" s="75">
        <f t="shared" si="1"/>
        <v>2470</v>
      </c>
      <c r="F18" s="76">
        <f t="shared" si="2"/>
        <v>0.91651205936920221</v>
      </c>
      <c r="G18" s="78">
        <f t="shared" si="3"/>
        <v>330</v>
      </c>
      <c r="H18" s="78">
        <f>B18*營業基本資訊!$D$5</f>
        <v>1395.9632866666668</v>
      </c>
      <c r="I18" s="78">
        <f>B18*營業基本資訊!$D$6</f>
        <v>0</v>
      </c>
      <c r="J18" s="78">
        <f>B18*營業基本資訊!$D$7</f>
        <v>0</v>
      </c>
      <c r="K18" s="78">
        <f t="shared" si="4"/>
        <v>134.75</v>
      </c>
      <c r="L18" s="78">
        <f t="shared" si="5"/>
        <v>1860.7132866666668</v>
      </c>
      <c r="M18" s="75">
        <f t="shared" si="6"/>
        <v>609.28671333333318</v>
      </c>
      <c r="N18" s="267">
        <f t="shared" si="7"/>
        <v>0.22608041311069876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2"/>
    </row>
    <row r="19" spans="1:34" ht="19.5">
      <c r="A19" s="265">
        <f t="shared" si="8"/>
        <v>3369</v>
      </c>
      <c r="B19" s="265">
        <f t="shared" si="9"/>
        <v>2527</v>
      </c>
      <c r="C19" s="266">
        <v>0.75</v>
      </c>
      <c r="D19" s="78">
        <f t="shared" si="0"/>
        <v>225</v>
      </c>
      <c r="E19" s="75">
        <f t="shared" si="1"/>
        <v>2302</v>
      </c>
      <c r="F19" s="76">
        <f t="shared" si="2"/>
        <v>0.91096161456272262</v>
      </c>
      <c r="G19" s="78">
        <f t="shared" si="3"/>
        <v>330</v>
      </c>
      <c r="H19" s="78">
        <f>B19*營業基本資訊!$D$5</f>
        <v>1308.9421986666669</v>
      </c>
      <c r="I19" s="78">
        <f>B19*營業基本資訊!$D$6</f>
        <v>0</v>
      </c>
      <c r="J19" s="78">
        <f>B19*營業基本資訊!$D$7</f>
        <v>0</v>
      </c>
      <c r="K19" s="78">
        <f t="shared" si="4"/>
        <v>126.35000000000001</v>
      </c>
      <c r="L19" s="78">
        <f t="shared" si="5"/>
        <v>1765.2921986666668</v>
      </c>
      <c r="M19" s="75">
        <f t="shared" si="6"/>
        <v>536.70780133333324</v>
      </c>
      <c r="N19" s="267">
        <f t="shared" si="7"/>
        <v>0.21238931592138235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2"/>
    </row>
    <row r="20" spans="1:34" ht="19.5">
      <c r="A20" s="265">
        <f t="shared" si="8"/>
        <v>3369</v>
      </c>
      <c r="B20" s="265">
        <f t="shared" si="9"/>
        <v>2358</v>
      </c>
      <c r="C20" s="266">
        <v>0.7</v>
      </c>
      <c r="D20" s="78">
        <f t="shared" si="0"/>
        <v>225</v>
      </c>
      <c r="E20" s="75">
        <f t="shared" si="1"/>
        <v>2133</v>
      </c>
      <c r="F20" s="76">
        <f t="shared" si="2"/>
        <v>0.90458015267175573</v>
      </c>
      <c r="G20" s="78">
        <f t="shared" si="3"/>
        <v>0</v>
      </c>
      <c r="H20" s="78">
        <f>B20*營業基本資訊!$D$5</f>
        <v>1221.4031280000002</v>
      </c>
      <c r="I20" s="78">
        <f>B20*營業基本資訊!$D$6</f>
        <v>0</v>
      </c>
      <c r="J20" s="78">
        <f>B20*營業基本資訊!$D$7</f>
        <v>0</v>
      </c>
      <c r="K20" s="78">
        <f t="shared" si="4"/>
        <v>117.9</v>
      </c>
      <c r="L20" s="78">
        <f t="shared" si="5"/>
        <v>1339.3031280000002</v>
      </c>
      <c r="M20" s="75">
        <f t="shared" si="6"/>
        <v>793.69687199999976</v>
      </c>
      <c r="N20" s="267">
        <f t="shared" si="7"/>
        <v>0.33659748600508893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2"/>
    </row>
    <row r="21" spans="1:34" ht="19.5">
      <c r="A21" s="265">
        <f t="shared" si="8"/>
        <v>3369</v>
      </c>
      <c r="B21" s="265">
        <f t="shared" si="9"/>
        <v>2190</v>
      </c>
      <c r="C21" s="266">
        <v>0.65</v>
      </c>
      <c r="D21" s="78">
        <f t="shared" si="0"/>
        <v>225</v>
      </c>
      <c r="E21" s="75">
        <f t="shared" si="1"/>
        <v>1965</v>
      </c>
      <c r="F21" s="76">
        <f t="shared" si="2"/>
        <v>0.89726027397260277</v>
      </c>
      <c r="G21" s="78">
        <f t="shared" si="3"/>
        <v>0</v>
      </c>
      <c r="H21" s="78">
        <f>B21*營業基本資訊!$D$5</f>
        <v>1134.3820400000002</v>
      </c>
      <c r="I21" s="78">
        <f>B21*營業基本資訊!$D$6</f>
        <v>0</v>
      </c>
      <c r="J21" s="78">
        <f>B21*營業基本資訊!$D$7</f>
        <v>0</v>
      </c>
      <c r="K21" s="78">
        <f t="shared" si="4"/>
        <v>109.5</v>
      </c>
      <c r="L21" s="78">
        <f t="shared" si="5"/>
        <v>1243.8820400000002</v>
      </c>
      <c r="M21" s="75">
        <f t="shared" si="6"/>
        <v>721.11795999999981</v>
      </c>
      <c r="N21" s="267">
        <f t="shared" si="7"/>
        <v>0.32927760730593597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2"/>
    </row>
    <row r="22" spans="1:34" ht="19.5">
      <c r="A22" s="265">
        <f t="shared" si="8"/>
        <v>3369</v>
      </c>
      <c r="B22" s="265">
        <f t="shared" si="9"/>
        <v>2021</v>
      </c>
      <c r="C22" s="266">
        <v>0.6</v>
      </c>
      <c r="D22" s="78">
        <f t="shared" si="0"/>
        <v>225</v>
      </c>
      <c r="E22" s="75">
        <f t="shared" si="1"/>
        <v>1796</v>
      </c>
      <c r="F22" s="76">
        <f t="shared" si="2"/>
        <v>0.88866897575457693</v>
      </c>
      <c r="G22" s="78">
        <f t="shared" si="3"/>
        <v>0</v>
      </c>
      <c r="H22" s="78">
        <f>B22*營業基本資訊!$D$5</f>
        <v>1046.8429693333335</v>
      </c>
      <c r="I22" s="78">
        <f>B22*營業基本資訊!$D$6</f>
        <v>0</v>
      </c>
      <c r="J22" s="78">
        <f>B22*營業基本資訊!$D$7</f>
        <v>0</v>
      </c>
      <c r="K22" s="78">
        <f t="shared" si="4"/>
        <v>101.05000000000001</v>
      </c>
      <c r="L22" s="78">
        <f t="shared" si="5"/>
        <v>1147.8929693333334</v>
      </c>
      <c r="M22" s="75">
        <f t="shared" si="6"/>
        <v>648.10703066666656</v>
      </c>
      <c r="N22" s="267">
        <f t="shared" si="7"/>
        <v>0.32068630908791024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2"/>
    </row>
    <row r="23" spans="1:34" ht="19.5">
      <c r="A23" s="265">
        <f t="shared" si="8"/>
        <v>3369</v>
      </c>
      <c r="B23" s="265">
        <f t="shared" si="9"/>
        <v>1853</v>
      </c>
      <c r="C23" s="266">
        <v>0.55000000000000004</v>
      </c>
      <c r="D23" s="78">
        <f t="shared" si="0"/>
        <v>225</v>
      </c>
      <c r="E23" s="75">
        <f t="shared" si="1"/>
        <v>1628</v>
      </c>
      <c r="F23" s="76">
        <f t="shared" si="2"/>
        <v>0.87857528332433887</v>
      </c>
      <c r="G23" s="78">
        <f t="shared" si="3"/>
        <v>0</v>
      </c>
      <c r="H23" s="78">
        <f>B23*營業基本資訊!$D$5</f>
        <v>959.82188133333341</v>
      </c>
      <c r="I23" s="78">
        <f>B23*營業基本資訊!$D$6</f>
        <v>0</v>
      </c>
      <c r="J23" s="78">
        <f>B23*營業基本資訊!$D$7</f>
        <v>0</v>
      </c>
      <c r="K23" s="78">
        <f t="shared" si="4"/>
        <v>92.65</v>
      </c>
      <c r="L23" s="78">
        <f t="shared" si="5"/>
        <v>1052.4718813333334</v>
      </c>
      <c r="M23" s="75">
        <f t="shared" si="6"/>
        <v>575.52811866666661</v>
      </c>
      <c r="N23" s="267">
        <f t="shared" si="7"/>
        <v>0.31059261665767224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2"/>
    </row>
    <row r="24" spans="1:34" ht="19.5">
      <c r="A24" s="265">
        <f t="shared" si="8"/>
        <v>3369</v>
      </c>
      <c r="B24" s="265">
        <f t="shared" si="9"/>
        <v>1685</v>
      </c>
      <c r="C24" s="266">
        <v>0.5</v>
      </c>
      <c r="D24" s="78">
        <f t="shared" si="0"/>
        <v>225</v>
      </c>
      <c r="E24" s="75">
        <f t="shared" si="1"/>
        <v>1460</v>
      </c>
      <c r="F24" s="76">
        <f t="shared" si="2"/>
        <v>0.86646884272997038</v>
      </c>
      <c r="G24" s="78">
        <f t="shared" si="3"/>
        <v>0</v>
      </c>
      <c r="H24" s="78">
        <f>B24*營業基本資訊!$D$5</f>
        <v>872.80079333333344</v>
      </c>
      <c r="I24" s="78">
        <f>B24*營業基本資訊!$D$6</f>
        <v>0</v>
      </c>
      <c r="J24" s="78">
        <f>B24*營業基本資訊!$D$7</f>
        <v>0</v>
      </c>
      <c r="K24" s="78">
        <f t="shared" si="4"/>
        <v>84.25</v>
      </c>
      <c r="L24" s="78">
        <f t="shared" si="5"/>
        <v>957.05079333333344</v>
      </c>
      <c r="M24" s="75">
        <f t="shared" si="6"/>
        <v>502.94920666666656</v>
      </c>
      <c r="N24" s="267">
        <f t="shared" si="7"/>
        <v>0.29848617606330358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2"/>
    </row>
    <row r="25" spans="1:34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spans="1:34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pans="1:34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 ht="15.75" customHeight="1">
      <c r="A29" s="43"/>
      <c r="B29" s="43"/>
      <c r="C29" s="43"/>
      <c r="D29" s="2"/>
      <c r="E29" s="2"/>
      <c r="F29" s="2"/>
      <c r="G29" s="2"/>
      <c r="H29" s="2"/>
      <c r="I29" s="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 ht="15.75" customHeight="1">
      <c r="A30" s="43"/>
      <c r="B30" s="43"/>
      <c r="C30" s="43"/>
      <c r="D30" s="2"/>
      <c r="E30" s="2"/>
      <c r="F30" s="2"/>
      <c r="G30" s="2"/>
      <c r="H30" s="2"/>
      <c r="I30" s="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pans="1:34" ht="15.75" customHeight="1">
      <c r="A31" s="43"/>
      <c r="B31" s="43"/>
      <c r="C31" s="43"/>
      <c r="D31" s="2"/>
      <c r="E31" s="2"/>
      <c r="F31" s="2"/>
      <c r="G31" s="2"/>
      <c r="H31" s="2"/>
      <c r="I31" s="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 ht="15.75" customHeight="1">
      <c r="A32" s="43"/>
      <c r="B32" s="43"/>
      <c r="C32" s="43"/>
      <c r="D32" s="2"/>
      <c r="E32" s="2"/>
      <c r="F32" s="2"/>
      <c r="G32" s="2"/>
      <c r="H32" s="2"/>
      <c r="I32" s="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4" ht="15.75" customHeight="1">
      <c r="A33" s="43"/>
      <c r="B33" s="43"/>
      <c r="C33" s="43"/>
      <c r="D33" s="2"/>
      <c r="E33" s="2"/>
      <c r="F33" s="2"/>
      <c r="G33" s="2"/>
      <c r="H33" s="2"/>
      <c r="I33" s="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 ht="15.75" customHeight="1">
      <c r="A34" s="43"/>
      <c r="B34" s="43"/>
      <c r="C34" s="43"/>
      <c r="D34" s="2"/>
      <c r="E34" s="2"/>
      <c r="F34" s="2"/>
      <c r="G34" s="2"/>
      <c r="H34" s="2"/>
      <c r="I34" s="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pans="1:34" ht="15.75" customHeight="1">
      <c r="A35" s="43"/>
      <c r="B35" s="43"/>
      <c r="C35" s="43"/>
      <c r="D35" s="2"/>
      <c r="E35" s="2"/>
      <c r="F35" s="2"/>
      <c r="G35" s="2"/>
      <c r="H35" s="2"/>
      <c r="I35" s="2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pans="1:34" ht="15.75" customHeight="1">
      <c r="A36" s="43"/>
      <c r="B36" s="43"/>
      <c r="C36" s="43"/>
      <c r="D36" s="2"/>
      <c r="E36" s="2"/>
      <c r="F36" s="2"/>
      <c r="G36" s="2"/>
      <c r="H36" s="2"/>
      <c r="I36" s="2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pans="1:34" ht="15.75" customHeight="1">
      <c r="A37" s="43"/>
      <c r="B37" s="43"/>
      <c r="C37" s="43"/>
      <c r="D37" s="2"/>
      <c r="E37" s="2"/>
      <c r="F37" s="2"/>
      <c r="G37" s="2"/>
      <c r="H37" s="2"/>
      <c r="I37" s="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pans="1:34" ht="15.75" customHeight="1">
      <c r="A38" s="43"/>
      <c r="B38" s="43"/>
      <c r="C38" s="43"/>
      <c r="D38" s="2"/>
      <c r="E38" s="2"/>
      <c r="F38" s="2"/>
      <c r="G38" s="2"/>
      <c r="H38" s="2"/>
      <c r="I38" s="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pans="1:34" ht="15.75" customHeight="1">
      <c r="A39" s="43"/>
      <c r="B39" s="43"/>
      <c r="C39" s="43"/>
      <c r="D39" s="2"/>
      <c r="E39" s="2"/>
      <c r="F39" s="2"/>
      <c r="G39" s="2"/>
      <c r="H39" s="2"/>
      <c r="I39" s="2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pans="1:34" ht="15.75" customHeight="1">
      <c r="A40" s="43"/>
      <c r="B40" s="43"/>
      <c r="C40" s="43"/>
      <c r="D40" s="2"/>
      <c r="E40" s="2"/>
      <c r="F40" s="2"/>
      <c r="G40" s="2"/>
      <c r="H40" s="2"/>
      <c r="I40" s="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pans="1:34" ht="15.75" customHeight="1">
      <c r="A41" s="43"/>
      <c r="B41" s="43"/>
      <c r="C41" s="43"/>
      <c r="D41" s="2"/>
      <c r="E41" s="2"/>
      <c r="F41" s="2"/>
      <c r="G41" s="2"/>
      <c r="H41" s="2"/>
      <c r="I41" s="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pans="1:34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pans="1:34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4" spans="1:3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pans="1:34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pans="1:34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pans="1:34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pans="1:34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pans="1:34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pans="1:34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pans="1:34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pans="1:34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pans="1:34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pans="1:3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</row>
    <row r="55" spans="1:34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</row>
    <row r="56" spans="1:34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pans="1:34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4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pans="1:34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pans="1:34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pans="1:34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spans="1:34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</row>
    <row r="64" spans="1:3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</row>
    <row r="65" spans="1:34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</row>
    <row r="66" spans="1:34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</row>
    <row r="67" spans="1:34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spans="1:34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spans="1:34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spans="1:34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</row>
    <row r="71" spans="1:34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spans="1:34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spans="1:34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pans="1:3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pans="1:34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</row>
    <row r="76" spans="1:34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</row>
    <row r="77" spans="1:34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</row>
    <row r="78" spans="1:34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</row>
    <row r="79" spans="1:34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</row>
    <row r="80" spans="1:34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</row>
    <row r="81" spans="1:34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</row>
    <row r="82" spans="1:34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spans="1:34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</row>
    <row r="84" spans="1:3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</row>
    <row r="85" spans="1:34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</row>
    <row r="86" spans="1:34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</row>
    <row r="87" spans="1:34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</row>
    <row r="88" spans="1:34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</row>
    <row r="89" spans="1:34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</row>
    <row r="90" spans="1:34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spans="1:34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</row>
    <row r="92" spans="1:34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</row>
    <row r="93" spans="1:34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</row>
    <row r="94" spans="1:3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</row>
    <row r="95" spans="1:34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</row>
    <row r="96" spans="1:34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spans="1:34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</row>
    <row r="98" spans="1:34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</row>
    <row r="99" spans="1:34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</row>
    <row r="100" spans="1:34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spans="1:34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spans="1:34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spans="1:34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</row>
    <row r="104" spans="1:3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</row>
    <row r="105" spans="1:34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</row>
    <row r="106" spans="1:34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</row>
    <row r="107" spans="1:34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</row>
    <row r="108" spans="1:34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</row>
    <row r="109" spans="1:34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</row>
    <row r="110" spans="1:34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</row>
    <row r="111" spans="1:34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</row>
    <row r="112" spans="1:34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</row>
    <row r="113" spans="1:34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</row>
    <row r="114" spans="1:3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</row>
    <row r="115" spans="1:34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</row>
    <row r="116" spans="1:34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pans="1:34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</row>
    <row r="118" spans="1:34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</row>
    <row r="119" spans="1:34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</row>
    <row r="120" spans="1:34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</row>
    <row r="121" spans="1:34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</row>
    <row r="122" spans="1:34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</row>
    <row r="123" spans="1:34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</row>
    <row r="124" spans="1:3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</row>
    <row r="125" spans="1:34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</row>
    <row r="126" spans="1:34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</row>
    <row r="127" spans="1:34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</row>
    <row r="128" spans="1:34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</row>
    <row r="129" spans="1:34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</row>
    <row r="130" spans="1:34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</row>
    <row r="131" spans="1:34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</row>
    <row r="132" spans="1:34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</row>
    <row r="133" spans="1:34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</row>
    <row r="134" spans="1: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</row>
    <row r="135" spans="1:34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</row>
    <row r="136" spans="1:34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</row>
    <row r="137" spans="1:34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</row>
    <row r="138" spans="1:34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</row>
    <row r="139" spans="1:34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</row>
    <row r="140" spans="1:34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</row>
    <row r="141" spans="1:34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</row>
    <row r="142" spans="1:34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</row>
    <row r="143" spans="1:34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</row>
    <row r="144" spans="1:3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</row>
    <row r="145" spans="1:34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</row>
    <row r="146" spans="1:34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</row>
    <row r="147" spans="1:34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</row>
    <row r="148" spans="1:34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</row>
    <row r="149" spans="1:34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</row>
    <row r="150" spans="1:34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</row>
    <row r="151" spans="1:34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</row>
    <row r="152" spans="1:34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</row>
    <row r="153" spans="1:34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</row>
    <row r="154" spans="1:3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</row>
    <row r="155" spans="1:34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</row>
    <row r="156" spans="1:34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</row>
    <row r="157" spans="1:34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</row>
    <row r="158" spans="1:34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</row>
    <row r="159" spans="1:34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</row>
    <row r="160" spans="1:34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</row>
    <row r="161" spans="1:34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</row>
    <row r="162" spans="1:34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</row>
    <row r="163" spans="1:34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</row>
    <row r="164" spans="1:3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</row>
    <row r="165" spans="1:34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</row>
    <row r="166" spans="1:34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</row>
    <row r="167" spans="1:34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</row>
    <row r="168" spans="1:34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</row>
    <row r="169" spans="1:34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</row>
    <row r="170" spans="1:34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</row>
    <row r="171" spans="1:34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</row>
    <row r="172" spans="1:34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</row>
    <row r="173" spans="1:34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</row>
    <row r="174" spans="1:3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</row>
    <row r="175" spans="1:34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</row>
    <row r="176" spans="1:34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</row>
    <row r="177" spans="1:34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</row>
    <row r="178" spans="1:34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</row>
    <row r="179" spans="1:34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</row>
    <row r="180" spans="1:34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</row>
    <row r="181" spans="1:34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</row>
    <row r="182" spans="1:34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</row>
    <row r="183" spans="1:34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</row>
    <row r="184" spans="1:3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</row>
    <row r="185" spans="1:34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</row>
    <row r="186" spans="1:34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</row>
    <row r="187" spans="1:34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</row>
    <row r="188" spans="1:34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</row>
    <row r="189" spans="1:34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</row>
    <row r="190" spans="1:34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</row>
    <row r="191" spans="1:34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</row>
    <row r="192" spans="1:34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</row>
    <row r="193" spans="1:34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</row>
    <row r="194" spans="1:3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</row>
    <row r="195" spans="1:34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</row>
    <row r="196" spans="1:34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</row>
    <row r="197" spans="1:34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</row>
    <row r="198" spans="1:34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</row>
    <row r="199" spans="1:34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</row>
    <row r="200" spans="1:34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</row>
    <row r="201" spans="1:34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</row>
    <row r="202" spans="1:34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</row>
    <row r="203" spans="1:34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</row>
    <row r="204" spans="1:3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</row>
    <row r="205" spans="1:34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</row>
    <row r="206" spans="1:34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</row>
    <row r="207" spans="1:34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</row>
    <row r="208" spans="1:34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</row>
    <row r="209" spans="1:34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</row>
    <row r="210" spans="1:34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</row>
    <row r="211" spans="1:34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</row>
    <row r="212" spans="1:34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</row>
    <row r="213" spans="1:34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</row>
    <row r="214" spans="1:3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</row>
    <row r="215" spans="1:34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</row>
    <row r="216" spans="1:34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</row>
    <row r="217" spans="1:34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</row>
    <row r="218" spans="1:34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</row>
    <row r="219" spans="1:34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</row>
    <row r="220" spans="1:34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</row>
    <row r="221" spans="1:34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</row>
    <row r="222" spans="1:34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</row>
    <row r="223" spans="1:34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</row>
    <row r="224" spans="1:3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9:E9"/>
    <mergeCell ref="C10:G10"/>
    <mergeCell ref="A12:F12"/>
    <mergeCell ref="G12:L12"/>
    <mergeCell ref="M12:N12"/>
    <mergeCell ref="C7:E7"/>
    <mergeCell ref="C8:E8"/>
    <mergeCell ref="C2:G2"/>
    <mergeCell ref="C3:G3"/>
    <mergeCell ref="C4:G4"/>
    <mergeCell ref="C5:G5"/>
    <mergeCell ref="C6:G6"/>
  </mergeCells>
  <phoneticPr fontId="55" type="noConversion"/>
  <conditionalFormatting sqref="N13 O7:O11 O25:O1000">
    <cfRule type="cellIs" dxfId="1" priority="1" operator="lessThanOrEqual">
      <formula>0</formula>
    </cfRule>
  </conditionalFormatting>
  <conditionalFormatting sqref="N14:N24">
    <cfRule type="cellIs" dxfId="0" priority="2" operator="lessThan">
      <formula>0</formula>
    </cfRule>
  </conditionalFormatting>
  <dataValidations count="1">
    <dataValidation type="list" allowBlank="1" showErrorMessage="1" sqref="B10">
      <formula1>"A,B"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X22"/>
  <sheetViews>
    <sheetView workbookViewId="0"/>
  </sheetViews>
  <sheetFormatPr defaultColWidth="10.109375" defaultRowHeight="15" customHeight="1"/>
  <cols>
    <col min="1" max="1" width="20.6640625" customWidth="1"/>
    <col min="2" max="2" width="25.77734375" customWidth="1"/>
    <col min="3" max="3" width="14.5546875" customWidth="1"/>
    <col min="4" max="4" width="20.6640625" customWidth="1"/>
  </cols>
  <sheetData>
    <row r="1" spans="1:24" ht="19.5" customHeight="1">
      <c r="A1" s="319" t="s">
        <v>366</v>
      </c>
      <c r="B1" s="278"/>
      <c r="C1" s="278"/>
      <c r="D1" s="278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9.5" customHeight="1">
      <c r="A2" s="319" t="s">
        <v>367</v>
      </c>
      <c r="B2" s="278"/>
      <c r="C2" s="278"/>
      <c r="D2" s="278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9.5" customHeight="1">
      <c r="A3" s="277" t="s">
        <v>368</v>
      </c>
      <c r="B3" s="278"/>
      <c r="C3" s="278"/>
      <c r="D3" s="278"/>
      <c r="E3" s="277"/>
      <c r="F3" s="278"/>
      <c r="G3" s="278"/>
      <c r="H3" s="27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9.5" customHeight="1">
      <c r="A4" s="277" t="s">
        <v>369</v>
      </c>
      <c r="B4" s="278"/>
      <c r="C4" s="278"/>
      <c r="D4" s="278"/>
      <c r="E4" s="277"/>
      <c r="F4" s="278"/>
      <c r="G4" s="278"/>
      <c r="H4" s="278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6" spans="1:24" ht="19.5">
      <c r="A6" s="6" t="s">
        <v>2</v>
      </c>
      <c r="B6" s="6" t="s">
        <v>3</v>
      </c>
      <c r="C6" s="6" t="s">
        <v>370</v>
      </c>
    </row>
    <row r="7" spans="1:24" ht="19.5">
      <c r="A7" s="268" t="s">
        <v>371</v>
      </c>
      <c r="B7" s="268"/>
      <c r="C7" s="269">
        <f>營業基本資訊!C5</f>
        <v>1553948</v>
      </c>
    </row>
    <row r="8" spans="1:24" ht="19.5">
      <c r="A8" s="268" t="s">
        <v>372</v>
      </c>
      <c r="B8" s="268"/>
      <c r="C8" s="270">
        <v>1199</v>
      </c>
    </row>
    <row r="9" spans="1:24" ht="19.5">
      <c r="A9" s="268" t="s">
        <v>69</v>
      </c>
      <c r="B9" s="268" t="s">
        <v>373</v>
      </c>
      <c r="C9" s="269">
        <f>C8*(營業基本資訊!D6+營業基本資訊!D7+營業基本資訊!D8)</f>
        <v>0</v>
      </c>
    </row>
    <row r="10" spans="1:24" ht="19.5">
      <c r="A10" s="268" t="s">
        <v>374</v>
      </c>
      <c r="B10" s="268" t="s">
        <v>375</v>
      </c>
      <c r="C10" s="270">
        <v>200</v>
      </c>
    </row>
    <row r="11" spans="1:24" ht="18.75">
      <c r="A11" s="268" t="s">
        <v>376</v>
      </c>
      <c r="B11" s="268" t="s">
        <v>377</v>
      </c>
      <c r="C11" s="271">
        <f>C8/C10</f>
        <v>5.9950000000000001</v>
      </c>
    </row>
    <row r="12" spans="1:24" ht="18.75">
      <c r="A12" s="268" t="s">
        <v>378</v>
      </c>
      <c r="B12" s="268" t="s">
        <v>379</v>
      </c>
      <c r="C12" s="272">
        <f>(C8-C9-C10)/C8</f>
        <v>0.83319432860717269</v>
      </c>
    </row>
    <row r="13" spans="1:24" ht="18.75">
      <c r="A13" s="268" t="s">
        <v>380</v>
      </c>
      <c r="B13" s="268" t="s">
        <v>381</v>
      </c>
      <c r="C13" s="271">
        <f>C14/C8</f>
        <v>1555.5035035035035</v>
      </c>
      <c r="D13" s="242">
        <f>C13/30</f>
        <v>51.850116783450112</v>
      </c>
      <c r="E13" s="242">
        <f>D13/0.03</f>
        <v>1728.3372261150039</v>
      </c>
    </row>
    <row r="14" spans="1:24" ht="18.75">
      <c r="A14" s="268" t="s">
        <v>382</v>
      </c>
      <c r="B14" s="268" t="s">
        <v>383</v>
      </c>
      <c r="C14" s="273">
        <f>C7/C12</f>
        <v>1865048.7007007005</v>
      </c>
    </row>
    <row r="15" spans="1:24" ht="15.75">
      <c r="A15" s="246"/>
      <c r="B15" s="246"/>
      <c r="C15" s="246"/>
    </row>
    <row r="16" spans="1:24" ht="18">
      <c r="A16" s="268" t="s">
        <v>384</v>
      </c>
      <c r="B16" s="268"/>
      <c r="C16" s="274">
        <v>0.3</v>
      </c>
    </row>
    <row r="17" spans="1:3" ht="18.75">
      <c r="A17" s="268" t="s">
        <v>149</v>
      </c>
      <c r="B17" s="268"/>
      <c r="C17" s="273">
        <f>(C10+C9)/(1-C16)</f>
        <v>285.71428571428572</v>
      </c>
    </row>
    <row r="18" spans="1:3" ht="18.75">
      <c r="A18" s="268" t="s">
        <v>385</v>
      </c>
      <c r="B18" s="268"/>
      <c r="C18" s="273">
        <f>C17*(營業基本資訊!D6+營業基本資訊!D7+營業基本資訊!D8)</f>
        <v>0</v>
      </c>
    </row>
    <row r="19" spans="1:3" ht="18.75">
      <c r="A19" s="268" t="s">
        <v>386</v>
      </c>
      <c r="B19" s="268"/>
      <c r="C19" s="273">
        <f>C7/((C17-C10-C18)/C17)</f>
        <v>5179826.666666666</v>
      </c>
    </row>
    <row r="20" spans="1:3" ht="18.75">
      <c r="A20" s="268" t="s">
        <v>387</v>
      </c>
      <c r="B20" s="268"/>
      <c r="C20" s="271">
        <f>C19/C17</f>
        <v>18129.39333333333</v>
      </c>
    </row>
    <row r="21" spans="1:3" ht="18.75">
      <c r="A21" s="268" t="s">
        <v>388</v>
      </c>
      <c r="B21" s="268"/>
      <c r="C21" s="275">
        <f>C19*C16</f>
        <v>1553947.9999999998</v>
      </c>
    </row>
    <row r="22" spans="1:3" ht="18.75">
      <c r="A22" s="268" t="s">
        <v>389</v>
      </c>
      <c r="B22" s="268"/>
      <c r="C22" s="273">
        <f>C21/C20</f>
        <v>85.714285714285722</v>
      </c>
    </row>
  </sheetData>
  <mergeCells count="6">
    <mergeCell ref="A1:D1"/>
    <mergeCell ref="A2:D2"/>
    <mergeCell ref="A3:D3"/>
    <mergeCell ref="E3:H3"/>
    <mergeCell ref="A4:D4"/>
    <mergeCell ref="E4:H4"/>
  </mergeCells>
  <phoneticPr fontId="5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營業基本資訊</vt:lpstr>
      <vt:lpstr>營業成本項目</vt:lpstr>
      <vt:lpstr>單品成本結構(客戶填寫)</vt:lpstr>
      <vt:lpstr>2025 營收銷量(客戶填寫)</vt:lpstr>
      <vt:lpstr>商品組合</vt:lpstr>
      <vt:lpstr>「BVG建議定價」</vt:lpstr>
      <vt:lpstr>BVG建議定價 (試算用)</vt:lpstr>
      <vt:lpstr>BVG建議定價</vt:lpstr>
      <vt:lpstr>牛肉麵免運組合試算表</vt:lpstr>
      <vt:lpstr>3.多入折扣計算</vt:lpstr>
      <vt:lpstr>隱藏分頁. 目標業績計算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2026-05-09T13:56:04Z</dcterms:modified>
</cp:coreProperties>
</file>